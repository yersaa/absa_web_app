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iploma1\"/>
    </mc:Choice>
  </mc:AlternateContent>
  <xr:revisionPtr revIDLastSave="0" documentId="13_ncr:1_{A80D70A5-A7CA-4795-9474-8611C914B5E0}" xr6:coauthVersionLast="47" xr6:coauthVersionMax="47" xr10:uidLastSave="{00000000-0000-0000-0000-000000000000}"/>
  <bookViews>
    <workbookView xWindow="-110" yWindow="-110" windowWidth="25820" windowHeight="13900" activeTab="1" xr2:uid="{00000000-000D-0000-FFFF-FFFF00000000}"/>
  </bookViews>
  <sheets>
    <sheet name="Summary" sheetId="1" r:id="rId1"/>
    <sheet name="Data" sheetId="2" r:id="rId2"/>
    <sheet name="Aspect by Language" sheetId="3" r:id="rId3"/>
  </sheets>
  <definedNames>
    <definedName name="_xlnm._FilterDatabase" localSheetId="1" hidden="1">Data!$A$1:$T$1134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 l="1"/>
  <c r="D14" i="3"/>
  <c r="C14" i="3"/>
  <c r="B14" i="3"/>
  <c r="D13" i="3"/>
  <c r="C13" i="3"/>
  <c r="B13" i="3"/>
  <c r="D12" i="3"/>
  <c r="C12" i="3"/>
  <c r="B12" i="3"/>
  <c r="D11" i="3"/>
  <c r="C11" i="3"/>
  <c r="B11" i="3"/>
  <c r="D10" i="3"/>
  <c r="C10" i="3"/>
  <c r="B10" i="3"/>
  <c r="D9" i="3"/>
  <c r="C9" i="3"/>
  <c r="B9" i="3"/>
  <c r="D8" i="3"/>
  <c r="C8" i="3"/>
  <c r="B8" i="3"/>
  <c r="D7" i="3"/>
  <c r="C7" i="3"/>
  <c r="B7" i="3"/>
  <c r="I14" i="1"/>
  <c r="H14" i="1"/>
  <c r="G14" i="1"/>
  <c r="F14" i="1"/>
  <c r="E14" i="1"/>
  <c r="I13" i="1"/>
  <c r="H13" i="1"/>
  <c r="G13" i="1"/>
  <c r="F13" i="1"/>
  <c r="E13" i="1"/>
  <c r="I12" i="1"/>
  <c r="H12" i="1"/>
  <c r="G12" i="1"/>
  <c r="F12" i="1"/>
  <c r="E12" i="1"/>
  <c r="I11" i="1"/>
  <c r="H11" i="1"/>
  <c r="G11" i="1"/>
  <c r="F11" i="1"/>
  <c r="E11" i="1"/>
  <c r="I10" i="1"/>
  <c r="H10" i="1"/>
  <c r="G10" i="1"/>
  <c r="F10" i="1"/>
  <c r="E10" i="1"/>
  <c r="I9" i="1"/>
  <c r="H9" i="1"/>
  <c r="G9" i="1"/>
  <c r="F9" i="1"/>
  <c r="E9" i="1"/>
  <c r="B9" i="1"/>
  <c r="I8" i="1"/>
  <c r="H8" i="1"/>
  <c r="G8" i="1"/>
  <c r="F8" i="1"/>
  <c r="E8" i="1"/>
  <c r="B8" i="1"/>
  <c r="I7" i="1"/>
  <c r="G7" i="1"/>
  <c r="F7" i="1"/>
  <c r="E7" i="1"/>
  <c r="B7" i="1"/>
  <c r="B3" i="1"/>
  <c r="E11" i="3" l="1"/>
  <c r="B15" i="3"/>
  <c r="C15" i="3"/>
  <c r="D15" i="3"/>
  <c r="E8" i="3"/>
  <c r="E12" i="3"/>
  <c r="B10" i="1"/>
  <c r="E9" i="3"/>
  <c r="E13" i="3"/>
  <c r="E10" i="3"/>
  <c r="E14" i="3"/>
  <c r="E7" i="3"/>
  <c r="E15" i="3" l="1"/>
</calcChain>
</file>

<file path=xl/sharedStrings.xml><?xml version="1.0" encoding="utf-8"?>
<sst xmlns="http://schemas.openxmlformats.org/spreadsheetml/2006/main" count="28114" uniqueCount="4760">
  <si>
    <t>Review Dashboard</t>
  </si>
  <si>
    <t>Total reviews</t>
  </si>
  <si>
    <t>Language counts</t>
  </si>
  <si>
    <t>Aspect counts</t>
  </si>
  <si>
    <t>Language</t>
  </si>
  <si>
    <t>Count</t>
  </si>
  <si>
    <t>Aspect</t>
  </si>
  <si>
    <t>Mentioned</t>
  </si>
  <si>
    <t>Positive</t>
  </si>
  <si>
    <t>Neutral</t>
  </si>
  <si>
    <t>Negative</t>
  </si>
  <si>
    <t>Not mentioned</t>
  </si>
  <si>
    <t>ru</t>
  </si>
  <si>
    <t>FQ</t>
  </si>
  <si>
    <t>kz</t>
  </si>
  <si>
    <t>SS</t>
  </si>
  <si>
    <t>mixed</t>
  </si>
  <si>
    <t>OA</t>
  </si>
  <si>
    <t>Total</t>
  </si>
  <si>
    <t>CL</t>
  </si>
  <si>
    <t>PV</t>
  </si>
  <si>
    <t>Как читать:</t>
  </si>
  <si>
    <t>WS</t>
  </si>
  <si>
    <t>Mentioned = сколько отзывов вообще затрагивают аспект</t>
  </si>
  <si>
    <t>AM</t>
  </si>
  <si>
    <t>Positive / Neutral / Negative = тональность внутри этого аспекта</t>
  </si>
  <si>
    <t>LO</t>
  </si>
  <si>
    <t>Примечание:</t>
  </si>
  <si>
    <t>В части строк review_id пустой, поэтому общий счетчик лучше считать по language или text.</t>
  </si>
  <si>
    <t>Дополнительно: см. лист "Aspect by Language" для разбивки аспектов по ru / kz / mixed.</t>
  </si>
  <si>
    <t>review_id</t>
  </si>
  <si>
    <t>language</t>
  </si>
  <si>
    <t>star_rating</t>
  </si>
  <si>
    <t>text</t>
  </si>
  <si>
    <t>FQ_sent</t>
  </si>
  <si>
    <t>SS_sent</t>
  </si>
  <si>
    <t>OA_sent</t>
  </si>
  <si>
    <t>CL_sent</t>
  </si>
  <si>
    <t>PV_sent</t>
  </si>
  <si>
    <t>WS_sent</t>
  </si>
  <si>
    <t>AM_sent</t>
  </si>
  <si>
    <t>LO_sent</t>
  </si>
  <si>
    <t>1</t>
  </si>
  <si>
    <t>4</t>
  </si>
  <si>
    <t>Еда вкусная, персонал вежливый, но заказ ждали слишком долго.</t>
  </si>
  <si>
    <t>positive</t>
  </si>
  <si>
    <t>0</t>
  </si>
  <si>
    <t>NA</t>
  </si>
  <si>
    <t>negative</t>
  </si>
  <si>
    <t>2</t>
  </si>
  <si>
    <t>В помещении грязно, заказ перепутали, а цена для такого качества завышена.</t>
  </si>
  <si>
    <t>3</t>
  </si>
  <si>
    <t>5</t>
  </si>
  <si>
    <t>Очень уютное место, удобная локация, кофе свежий и вкусный.</t>
  </si>
  <si>
    <t>Тағам жаман емес, бірақ қызмет баяу және офицанттар көңіл бөлмеді.</t>
  </si>
  <si>
    <t>neutral</t>
  </si>
  <si>
    <t>очень вкусные бургеры,всем советуюю</t>
  </si>
  <si>
    <t>6</t>
  </si>
  <si>
    <t>Тамаша орын!</t>
  </si>
  <si>
    <t>7</t>
  </si>
  <si>
    <t>Бүгін түскі асқа Фритос комбо алдым. Тез дайындады. Рахмет</t>
  </si>
  <si>
    <t>8</t>
  </si>
  <si>
    <t>Классический чикен бургер алдым. Тауық еті шырынды, огурчики тұздығы дәмді. Булка жұмсақ. Жалпы ұнады, тағы келемін</t>
  </si>
  <si>
    <t>9</t>
  </si>
  <si>
    <t>бургер принесли холодным,хотя ждали почти час,сыр был сырой,худший филиал</t>
  </si>
  <si>
    <t>10</t>
  </si>
  <si>
    <t>Самые-самые лучшие пирожки, как дома, всё свежее всегда.</t>
  </si>
  <si>
    <t>11</t>
  </si>
  <si>
    <t>Пил кофе и в Риме, и в Париже, но вкуснее, чем капуч на фундучном молоке с фирменными сливками Джинжу, не пробовал ничего! Десерты тоже очень необычные. Ребята-бариста большие молодцы! Что можно улучшить? Маловато места, с посадкой можно что-то придумать?</t>
  </si>
  <si>
    <t>12</t>
  </si>
  <si>
    <t>Не очень удобное расположение, от метро идти мин 20 быстрым шагом через промзону. В самом кофе мест очень мало, а желающих очень много(( пирожные очень вкусные, кофе бывает вкуснее. Второй раз именно туда не пойду.</t>
  </si>
  <si>
    <t>13</t>
  </si>
  <si>
    <t>Положительное место с хорошими блюдами, только персонал отличился высокомерием и надменностью, не рекомендую к посещению, останется неприятный осадок.</t>
  </si>
  <si>
    <t>14</t>
  </si>
  <si>
    <t>Доставка очень долгая, на рекламной брошюре написано от 500 р доставка бесплатно, а по факту заплатили 100 р за доставку. Чек был на 577 р. Долго плевались от нагара, который был на сковородке с мясом, хруст на зубах неприятен. Испорченное мнение от вашего заведения.</t>
  </si>
  <si>
    <t>15</t>
  </si>
  <si>
    <t>Отличная кухня, прекрасный сервис, внимательный персонал. Кафе рекомендую.</t>
  </si>
  <si>
    <t>16</t>
  </si>
  <si>
    <t>Очень вкусно! И по-домашнему! Замечательный комплексный обед! Недорого, порции хорошие!</t>
  </si>
  <si>
    <t>17</t>
  </si>
  <si>
    <t>Лучший шашлык в Звенигороде. Приветливый и вежливый персонал, удобное расположение, всегда свежие продукты! Все очень вкусно.</t>
  </si>
  <si>
    <t>18</t>
  </si>
  <si>
    <t>Очень уютное местечко, освещение, музыка — отдохнуть с семьёй или друзьями: поесть, попеть и поплясать! Хорошее месторасположение. Радушные хозяева, приветливый персонал. Шашлычок очень вкусный, сочный, нежный. Однозначно рекомендую к посещению!</t>
  </si>
  <si>
    <t>19</t>
  </si>
  <si>
    <t>Красивый и уютный интерьер, приятные сотрудники. Обожаю их шаверму с фалафелем. Да и в принципе любимая сеть с шавермой.</t>
  </si>
  <si>
    <t>20</t>
  </si>
  <si>
    <t>Очень хорошая шаверная. Очень много видов шавермы, отличная атмосфера, хорошие сотрудники и очень вкусно.</t>
  </si>
  <si>
    <t>21</t>
  </si>
  <si>
    <t>Отличное место, всегда готовят вкусно и быстро, и особое внимание хочу уделить сервису, который здесь на высоте.</t>
  </si>
  <si>
    <t>22</t>
  </si>
  <si>
    <t>Хорошее заведение. Главное, что работает круглосуточно. Очень удобно, особенно для тех, кто прилетает рано утром. Кальян тоже понравился.</t>
  </si>
  <si>
    <t>23</t>
  </si>
  <si>
    <t>Цена = качество. Нормальная еда по нормальным ценам. Первый минус — официант, который вел себя как шоумен. Не уделял даже минимального внимания. Принося второй курс, не забрал пустые тарелки, а при оплате практически жонглировал терминалом. Атмосфера хорошая в заведении. Второй минус — мойщица. Посреди трапезы в полуметре от нас мыли пол, в том числе возле соседнего стола, и отжимали тряпку, выполаскивая в ведре. Ужасно. Админ стояла за стойкой и не обращала внимания. Паста была вкусной, и смузи тоже, за кухню — пять баллов, а в общем — три.</t>
  </si>
  <si>
    <t>24</t>
  </si>
  <si>
    <t>Скажу честно, понравилось очень. Всё очень достойно и вкусно.</t>
  </si>
  <si>
    <t>25</t>
  </si>
  <si>
    <t>Хорошее кафе. Цены средние, порции большие. Персонал доброжелательный. Не раз брали блюда в номер со всеми приборами и подносом, утром возвращали. Очень понравилось мясо по-домбайски.</t>
  </si>
  <si>
    <t>26</t>
  </si>
  <si>
    <t>Очень вкусно, манты, приятное место, можно заказать домой, доставка быстро и вовремя.</t>
  </si>
  <si>
    <t>27</t>
  </si>
  <si>
    <t>Отличное расположение места, замечательный персонал и повара, есть доставка. Кухня очень вкусная, можно вдоволь наесться. Порции хорошие и цены приемлемые.</t>
  </si>
  <si>
    <t>28</t>
  </si>
  <si>
    <t>Отличное местоположение. Еда ничего особенного. Персонал молодцы, всё на уровне. Официантки знают всё меню и очень аппетитно рассказывают про блюда. Кухня очень средняя для таких цен.</t>
  </si>
  <si>
    <t>29</t>
  </si>
  <si>
    <t>Все отлично. Место, обстановка. Обслуживание на высоте. Снял звезду за еду и напитки. Для нас оказались слишком специфичны, и не такой большой выбор. Но вкусно.</t>
  </si>
  <si>
    <t>30</t>
  </si>
  <si>
    <t>Один из любимых ресторанов. Давно не были в гостях, но на днях встретила знакомую бар-менеджера ресторана Александру, и она заманила нас новыми коктейлями. Попробовали пять видов, начиная от лёгких и переходя к более терпким. В самом ресторане приятная обстановка, нет суеты, горят свечи. Особенно хочу отметить чистейшую туалетную комнату со всевозможными уходовыми средствами. По кухне пробовали божественную индейку с пюре и сморчками, нежнейшие брускетты с крабом, мидии с вкуснейшим соусом. Вареники с сыром буквально минутку не доварили, ассорти тартаров несолёное и неперчёное. Обязательно вернемся ещё.</t>
  </si>
  <si>
    <t>31</t>
  </si>
  <si>
    <t>Красивый интерьер, блюда очень нежные, официанты и персонал приветливые, идеальное заведение, чтобы провести вечер и вкусно поужинать.</t>
  </si>
  <si>
    <t>32</t>
  </si>
  <si>
    <t>Прекрасный оригинальный дизайн интерьера. Отличная барная карта и подача коктейлей. Осьминога приготовили идеально. Советую попробовать.</t>
  </si>
  <si>
    <t>33</t>
  </si>
  <si>
    <t>Интерьер антуражный, современный, но диваны неудобные, кухня средняя. Ценник выше среднего.</t>
  </si>
  <si>
    <t>34</t>
  </si>
  <si>
    <t>Уютное место. Еда 5+, обстановка 5+, персонал и обслуживание 5+, коктейли и напитки 5+. Все свежее и очень вкусное. Всегда приятно бывать в таких заведениях.</t>
  </si>
  <si>
    <t>35</t>
  </si>
  <si>
    <t>Отличное место для проведения вечера. Сколько раз посещал этот ресторан, и всегда был впечатлён качеством сервиса, обстановкой и вкусной кухней. Отдельный респект барменам за топовые коктейли. Салат с опалённым лососем — топ к заказу.</t>
  </si>
  <si>
    <t>36</t>
  </si>
  <si>
    <t>Отличное место. Великолепные завтраки и меню в целом. Выделю лимонады — лучшие, что пробовали. Приятная обстановка, профессиональное обслуживание. Отличная детская комната.</t>
  </si>
  <si>
    <t>37</t>
  </si>
  <si>
    <t>Өте дәмді донерлер. Донерімді дайындап берген қызметкерлерге алғысым шексіз.</t>
  </si>
  <si>
    <t>38</t>
  </si>
  <si>
    <t>Маған дурум қатты ұнады, лавашы өте жұмсақ, іші тап-таза. Қызмет те жақсы.</t>
  </si>
  <si>
    <t>39</t>
  </si>
  <si>
    <t>Пловтың порциялары кішкентай. Әкелген палау суық, жай ғана қысқа толқынды пешке дұрыс жылытпаған, люля-кебаб та суық.</t>
  </si>
  <si>
    <t>40</t>
  </si>
  <si>
    <t>Благодарю кассира за отзывчивость и вежливость. Видно, что сотрудник в первую очередь направлен на клиентоориентированность. Очень вежливая и доброжелательная девушка.</t>
  </si>
  <si>
    <t>41</t>
  </si>
  <si>
    <t>Өте дәмді тағамдарды өте тез әкелді.</t>
  </si>
  <si>
    <t>42</t>
  </si>
  <si>
    <t>Заказываю третий раз, быстрая доставка и вкусная кухня.</t>
  </si>
  <si>
    <t>43</t>
  </si>
  <si>
    <t>Чудесное место, обслуживание на высшем уровне, официанты замечательные. Очень вкусно.</t>
  </si>
  <si>
    <t>44</t>
  </si>
  <si>
    <t>Бүгін кофеханада құрбыммен том-ям іштік, өте дәмді болды. Қызмет көрсеткен қыздар өте сыпайы.</t>
  </si>
  <si>
    <t>45</t>
  </si>
  <si>
    <t>Поварға үлкен алғыс, қолыңыз дерт көрмесін.</t>
  </si>
  <si>
    <t>46</t>
  </si>
  <si>
    <t>Өте дәмді донерлері.</t>
  </si>
  <si>
    <t>47</t>
  </si>
  <si>
    <t>Түнгі сменаның қызметкерлері топ, тамақтары өте жылдам дайындалады, дәмді.</t>
  </si>
  <si>
    <t>48</t>
  </si>
  <si>
    <t>Давно не ел такую сочную шаверму, советую, стоит своих денег. Отдельно благодарен персоналу за такое обслуживание.</t>
  </si>
  <si>
    <t>49</t>
  </si>
  <si>
    <t>Оте керемет донерлер.</t>
  </si>
  <si>
    <t>50</t>
  </si>
  <si>
    <t>Лучшее заведение.</t>
  </si>
  <si>
    <t>51</t>
  </si>
  <si>
    <t>Где можно посидеть душевно, тихо и очень вкусно. Пиццы и пасты отменные. Советую от души.</t>
  </si>
  <si>
    <t>52</t>
  </si>
  <si>
    <t>Последний раз пересолили абсолютно все блюда.</t>
  </si>
  <si>
    <t>53</t>
  </si>
  <si>
    <t>Всё очень посредственно. И кухня и обслуживание. Можно сходить один раз. Ничего интересного. Ценник средний.</t>
  </si>
  <si>
    <t>54</t>
  </si>
  <si>
    <t>Отличное место, вкусная еда, оригинальная подача. Спасибо официанту Савелию за профессиональный подход к сервису</t>
  </si>
  <si>
    <t>55</t>
  </si>
  <si>
    <t>Отличный ресторан. Вкусно всë, что заказывали. Уютная атмосфера. Стиль и забота о клиентах во всех мелочах.</t>
  </si>
  <si>
    <t>56</t>
  </si>
  <si>
    <t>Если вы хотите приятно провести вечер в кругу близких людей или просто отдохнуть после трудового дня- вам сюда!!!! Потрясающая атмосфера, уютный интерьер, спокойная ненавязчивая музыка, достойное обслуживание и разнообразное меню на любой вкус- все это сделает ваш вечер незабываемым! Нам особенно повезло с официантом- нас обслуживал молодой человек по имени Савелий- безусловно профессионал своего дела, да  ещё и с тонким чувством юмора!!! Браво! А ещё в середине вечера к нам подошла девушка- администратор, поинтересовалась все ли нас устраивает! Приятно!!!! Спасибо большое всему персоналу!!!</t>
  </si>
  <si>
    <t>57</t>
  </si>
  <si>
    <t>Очень вкусные бургеры и очень большие. По закусками тоже всё понравилось. И телефон без проблем зарядили</t>
  </si>
  <si>
    <t>58</t>
  </si>
  <si>
    <t>Уютное ламповое место. Мне всё понравилось: расположение (легко найти), меню и ассортимент (вкусно), обслуживание (молодой коллектив). А еще там играют в Мафию.</t>
  </si>
  <si>
    <t>59</t>
  </si>
  <si>
    <t>Была с друзьями в заведении, все понравилось спасибо большое персоналу за отличное обслуживание</t>
  </si>
  <si>
    <t>60</t>
  </si>
  <si>
    <t>Бугин келдик нарын мен лагман жареный заказ бердик тузын айталмаим невозможно жеуге сосын ауыстырып келди кеширимди сурамады! Кассага келип тойледик айтып турсам естимеген сиякты тур кассир енди келмеимиз</t>
  </si>
  <si>
    <t>61</t>
  </si>
  <si>
    <t>Нурдаулет официант оз жумысын тез жаксы орындайды бизге унады</t>
  </si>
  <si>
    <t>62</t>
  </si>
  <si>
    <t>Өте керемет тағамдары өте дәмді әнгіме жоқ күшті жер мені танғалдырғаны випкада бильярд столы бар екен ұнады керемет</t>
  </si>
  <si>
    <t>63</t>
  </si>
  <si>
    <t>Бәрі дәмді болды. Официант Нұрдәулет өте сыпайы болды, қызмет көрсетуі жылдам әрі сапалы. Рақмет!</t>
  </si>
  <si>
    <t>64</t>
  </si>
  <si>
    <t>Үш тандыр өте керемет құрбыларымен ауыз ашар болды Аружан деген қызға рахмет отмасферасы керемет қонақ жарлығымен таң қалдырды .Рахмет ризамын</t>
  </si>
  <si>
    <t>65</t>
  </si>
  <si>
    <t>Ауызашарға келдік. Барлығы ұнады. Обслуживание жасаған Аружанға үлкен рахмет. Барлығы дәмді, жақсы өтті. Үлкен рахмет советую</t>
  </si>
  <si>
    <t>66</t>
  </si>
  <si>
    <t>Отстойное место, пришли на ифтар ноль внимания, суп порция малая, подали холодным, второе упорно не выносили 25 минут, уже за соседние столики подали тортики к чаю, а нам не подали наш лагман. Лагман еле увидел в тарелке, порции выжатые, ужались прям в край, а денег запросили за человека. Официанты вообще замороченные, четверым говорили принести еду, ага ага и дальше по другим столам. Очень не рекомендую это место</t>
  </si>
  <si>
    <t>67</t>
  </si>
  <si>
    <t>Барлыгы унады. Тамактын барлыгын тез акелди. Барлыгы дамди. Шынгысханга коп Рахмет!!!</t>
  </si>
  <si>
    <t>68</t>
  </si>
  <si>
    <t>Очень вкусный шашлык</t>
  </si>
  <si>
    <t>69</t>
  </si>
  <si>
    <t>Нагетсы пережарили , баранина одни жилки, соус пролитый, разочаровали</t>
  </si>
  <si>
    <t>70</t>
  </si>
  <si>
    <t xml:space="preserve">Приятная атмосфера и хорошее обслуживание. Донер, шашлык и багет очень вкусные. Рекомендую! </t>
  </si>
  <si>
    <t>71</t>
  </si>
  <si>
    <t>Өте керемет екен, Рахмет И обслуживание и кухня на высшем уровне! Отдельное спасибо Гаухар</t>
  </si>
  <si>
    <t>72</t>
  </si>
  <si>
    <t>Бүгін «Шашлычок» кафесінде болдық. Тағамдары өте дәмді, әсіресе шашлык жақсы дайындалған. Қызмет көрсету де ұнады. Гаухар есімді қыз өте сыпайы, күлімсіреп қарсы алып, бәрін тез әрі ұқыпты ұйымдастырды. Осындай жылы қарым-қатынас үшін рахмет. Келушілерге осы орынды ұсынуға болады.</t>
  </si>
  <si>
    <t>73</t>
  </si>
  <si>
    <t>Шашлык оте дамды постоянно келип турамыз семьямызбен багалары кол жетимды сервис Оте кушти кызмет кору сапасы Жаксы</t>
  </si>
  <si>
    <t>74</t>
  </si>
  <si>
    <t>Шашлыктыры дәмді сочный бізге ұнады</t>
  </si>
  <si>
    <t>75</t>
  </si>
  <si>
    <t>Ауызашар уақытында келген едік тез дайындап жақсы қызмет көрсетті қыздарға рахмет</t>
  </si>
  <si>
    <t>76</t>
  </si>
  <si>
    <t>Baoli ресторанына жиі барып тұрамыз, әр келген сайын қызмет сапасы қуантады! Әсіресе қызметкерлер Акежан мен Арыстанбабқа ерекше алғыс айтқым келеді. Өте сыпайы, өз ісінің нағыз мамандары</t>
  </si>
  <si>
    <t>77</t>
  </si>
  <si>
    <t>Официанты приняли заказ нормально, без особых замечаний. Но еда совсем не понравилась: суп был пересолен, а мясо оказалось жестким и сухим. За такую цену ожидал намного лучшего качества.</t>
  </si>
  <si>
    <t>78</t>
  </si>
  <si>
    <t>С обслуживанием все было обычно, ничего плохого сказать не могу. А вот еда разочаровала: паста была уже остывшая, соус какой-то безвкусный, и в целом блюдо выглядело неаппетитно.</t>
  </si>
  <si>
    <t>79</t>
  </si>
  <si>
    <t>Персонал работал спокойно, заказ принесли как обычно. Но качество еды подвело: картошка была будто вчерашняя, а курица слишком жирная и с неприятным привкусом. Второй раз такое брать не хочется.</t>
  </si>
  <si>
    <t>80</t>
  </si>
  <si>
    <t>Қызмет көрсетуі қалыпты болды, тапсырысты алып, уақытында әкелді. Бірақ тамақтың сапасы ұнамады: ет тым қатты, ал гарнирдің өзі суып қалған екен. Дәмі де онша емес.</t>
  </si>
  <si>
    <t>81</t>
  </si>
  <si>
    <t>Персонал жаман жұмыс істеді деп айта алмаймын, бәрі кәдімгідей өтті. Бірақ тағам көңілден шықпады: пиццаның қамыры қатты, іші құрғақ болып қалған. Сапасы жақсырақ болса екен.</t>
  </si>
  <si>
    <t>82</t>
  </si>
  <si>
    <t>Қызмет көрсету жағы орташа, ерекше ештеңе байқалмады. Ал тамақ мүлде ұнамады: сорпасы тұзды, ал тауықтың дәмі ескі сияқты болды. Мұндай тағамнан көбірек күттім.</t>
  </si>
  <si>
    <t>Тапсырысым дәл келді, бәрі дұрыс салынған. Ештеңе ұмытпаған, соған риза болдым.</t>
  </si>
  <si>
    <t>Бәрін толық әкелді. Қосымша айтқан өзгерістерімді де ескеріпті.</t>
  </si>
  <si>
    <t>Тапсырыс толық болды, сусыннан бастап соусқа дейін түгел келді. Қателік болмағаны ұнады.</t>
  </si>
  <si>
    <t>Бургердің құрамын ауыстырып сұраған едім, бәрін дәл жасап беріпті. Осындай ұқыптылық қуантты.</t>
  </si>
  <si>
    <t>Жеткізілген тапсырысымда бәрі өз орнында болды. Чекпен де, тағаммен де бәрі сәйкес келді.</t>
  </si>
  <si>
    <t>Тапсырыс жалпы дұрыс келді, бірақ ерекше атап өтетіндей ештеңе жоқ. Қалыпты деңгейде болды.</t>
  </si>
  <si>
    <t>Бұл жолы тапсырысымда қате байқамадым. Барлығы әдеттегідей, дұрыс берілді.</t>
  </si>
  <si>
    <t>Не тапсырыс бердім, соны әкелді. Жаман емес, бірақ таңғалдырған да жоқ.</t>
  </si>
  <si>
    <t>Тапсырыстың құрамы дұрыс болды, ештеңе жетіспеді. Қысқасы, бәрі стандартты өтті.</t>
  </si>
  <si>
    <t>Артық та емес, кем де емес, тапсырыс дұрыс жиналған. Осындай болуы керек қой дегендей әсер қалдырды.</t>
  </si>
  <si>
    <t>Тапсырысымда бір тағам мүлде жоқ болып шықты. Соңында қайта хабарласып, уақыт жоғалттым, телефонды алмады</t>
  </si>
  <si>
    <t>Басқа сусын жіберіп қойыпты, мен мүлде басқа нәрсе таңдаған едім. Осындай қателіктер көңілге тиеді.</t>
  </si>
  <si>
    <t>Екі порцияның орнына біреуін ғана салып жіберген. Тапсырысты тексергенде барып байқадым.</t>
  </si>
  <si>
    <t>Құрамынан кейбір заттарды алып тастауды өтінген едім, бірақ соның бәрі сол күйі келді. Тапсырыс дұрыс жиналмаған.</t>
  </si>
  <si>
    <t>Мүлде басқа тапсырыс келді, менікінен мүлдем бөлек. Осындайда қайта күтіп отыру өте ыңғайсыз.</t>
  </si>
  <si>
    <t>Заказ собрали точно, все позиции были на месте. Даже соусы и приборы положили без напоминаний.</t>
  </si>
  <si>
    <t>Приятно удивило, что заказ пришел вообще без ошибок. Все, что выбрал, положили правильно.</t>
  </si>
  <si>
    <t>Попросил убрать один ингредиент, и это действительно учли. Заказ был собран очень внимательно.</t>
  </si>
  <si>
    <t>Все привезли как надо: блюда, напитки и дополнительные позиции совпали с заказом. Ничего не перепутали.</t>
  </si>
  <si>
    <t>Редко такое бывает, но здесь заказ оказался идеально точным. Все полностью соответствовало тому, что оформлял в приложении.</t>
  </si>
  <si>
    <t>Заказ пришел правильный, без каких-то замечаний. В целом все было как и должно быть.</t>
  </si>
  <si>
    <t>Ничего не перепутали, все позиции совпали. Обычная нормальная сборка заказа.</t>
  </si>
  <si>
    <t>На этот раз заказ был собран корректно. Без вау-эффекта, но и без ошибок.</t>
  </si>
  <si>
    <t>Все, что заказал, привезли в нужном количестве. В этом плане все стандартно и спокойно.</t>
  </si>
  <si>
    <t>По составу заказа вопросов не возникло, все было верно. Просто нормальный сервис без сюрпризов.</t>
  </si>
  <si>
    <t>В заказе не хватало одного блюда, хотя в чеке оно было указано. Пришлось отдельно разбираться.</t>
  </si>
  <si>
    <t>Вместо одного напитка положили совсем другой. Мелочь, но впечатление от заказа испортило.</t>
  </si>
  <si>
    <t>Просил убрать лук из блюда, но это пожелание проигнорировали. Заказ выполнили не совсем так, как было указано.</t>
  </si>
  <si>
    <t>Привезли не тот соус и забыли часть заказа. Из-за этого пришлось ждать еще дольше.</t>
  </si>
  <si>
    <t>Собрали заказ с ошибками: одна позиция была лишняя, а нужной как раз не оказалось. Очень неудобно получилось.</t>
  </si>
  <si>
    <t>Заказдан бір позиция жетіспеді, хотя в чеке бәрі көрсетілген. Қайта хабарласуға тура келді.</t>
  </si>
  <si>
    <t>Мен кола заказ бергенмін, бірақ фанта салып жіберіпті. Ұсақ нәрсе сияқты, но неприятно.</t>
  </si>
  <si>
    <t>Без соуса деп жазсам да, бәрібір қосып жіберген. Заказ комментарийін вообще оқымайтын сияқты.</t>
  </si>
  <si>
    <t>Еки порциянын орнына биреуин ғана акелди. Тапсырысты тексергенде барып байкадым, плохо.</t>
  </si>
  <si>
    <t>Вообще басқа заказ келді, менікінен бөлек. Осындай қателіктен кейін впечатление қатты түсіп кетті.</t>
  </si>
  <si>
    <t>Ножки ужасные корочка как будто сырая толстая. Фри не свежее. По фото сами всё видите! Ужас полнейший</t>
  </si>
  <si>
    <t>Время чека и время терминала,вот она ожидаемость своего среднего заказа Скорость хромает.</t>
  </si>
  <si>
    <t>ожидание ужасно долгое,около 20 минут ожидали картошку и стрипсы,на кухне орут матом ничего не делают,ужасное обслуживание</t>
  </si>
  <si>
    <t>Сегодняшняя смена вечерня, вся молодая,дерзкая,хамская.Особенно девушка низкого роста кассир.Не была компетентна.Заказ разумеется жду долго</t>
  </si>
  <si>
    <t>Все вкусно, быстрое обслуживание, но холодно внутри, с маленьким ребенком ходить не стоит, сквоздняк.двери с двух сторон октрываются.</t>
  </si>
  <si>
    <t>Среднее ожидания заказа минимум 30 минут, а персонал еле двигается!</t>
  </si>
  <si>
    <t>Дамир сізге ракмет үлкен. Бәрі өте дәмді әрі тойымды болды! Іші таза, ұзақ отыра бергің келеді мына вайбта. Жібек ханым жүзіңіз қандай жылы жан еді. Ісіңізге сәттілік тіледім Рахмет жақсы көңіл күй үшін</t>
  </si>
  <si>
    <t>Тамактары жаксы екен бирак уборныйда тазалык жок техперсонал слабый</t>
  </si>
  <si>
    <t>Корпоратив откиздик оте жаксы денгейде отты Аким админге Рахмет барин тусындырды</t>
  </si>
  <si>
    <t>Кухня жақсы, обслуживание керемет,бесык той жасадық ,бары унады, администратор Акимжанга коп рахмет бары быз калагандай отты</t>
  </si>
  <si>
    <t>Дархан ресторанының официанттары ужасно, обслуживание ноль. 22.11.2025ж күні 60 жас болды. Столдың үстіндегі желінбеген тамақтың бәрін алып кеткен. Ортаға билеуге шыққанда, масқара тонайды. Коланы сұраусыз ішед. Өзіміз сұрап алып ішіп отырдық құйшы берші деп. Админстраторға да айттық. Олда каз каз деп, сол беті пропал. Вообще ұнамады обслуживание ноль 100% тен 1%</t>
  </si>
  <si>
    <t>Все плохо, ресторан разваливается, уборные грязные, элементарно даже мыла нет в них. Не рекомендую.</t>
  </si>
  <si>
    <t>Как читать: число = сколько отзывов этого языка затрагивают аспект (где аспект = 1).</t>
  </si>
  <si>
    <t>Aspect by language</t>
  </si>
  <si>
    <t>Total mentions</t>
  </si>
  <si>
    <t>Примечание: один отзыв может попадать сразу в несколько аспектов, поэтому "Total mentions" — это сумма упоминаний аспектов, а не уникальных отзывов.</t>
  </si>
  <si>
    <t>118</t>
  </si>
  <si>
    <t>122</t>
  </si>
  <si>
    <t>124</t>
  </si>
  <si>
    <t>125</t>
  </si>
  <si>
    <t>127</t>
  </si>
  <si>
    <t>130</t>
  </si>
  <si>
    <t>Мә осылай да тамақ істеп береді екен уят жоқба кішкене? Или басқа асханада тамақтанбағансындарма?не бул</t>
  </si>
  <si>
    <t>131</t>
  </si>
  <si>
    <t>Тамақ дәмді, бірақ қызмет көрсету баяу болды.</t>
  </si>
  <si>
    <t>132</t>
  </si>
  <si>
    <t>Ресторан самый лучший в городе на мой взгляд, обслуживание отличное, официанты вежливы и тактичны, еда вкусная и приносят вовремя, не нужно ждать долго, но и не наставляют блюда на столе, все делают грамотно</t>
  </si>
  <si>
    <t>133</t>
  </si>
  <si>
    <t xml:space="preserve">Вкусная шаурма, сочная. В туалет после не? нормально сходил, не траванулся. </t>
  </si>
  <si>
    <t>134</t>
  </si>
  <si>
    <t>Рекомендую кофе и в целом завтраки. Подача красивая, яркая, вкусная. К сожалению не понравились круассаны в форме куба с начинкой так как они были очень приторные, сладкие через чур. В остальном отлично. Буду приходить за завтраками снова и снова.</t>
  </si>
  <si>
    <t>135</t>
  </si>
  <si>
    <t>Отличное заведение, очень вкусная еда. Администратор Ирода самая лучшая и дружелюбная! Также отмечу официанта Яна, человек всегда на позитиве и подскажет что лучше взять</t>
  </si>
  <si>
    <t>136</t>
  </si>
  <si>
    <t>Красивая картинка меню и сайта, по факту сухие безвкусные кексы с заварным кремом, который впрыснули шприцом и дешевая глазурь из пакет ка. Вернула этот сухой кекс, официант даже не извинился, пытался убедить, что он еще хороший и не смог вилкой даже куска отломить. При нас вернули торт. Заказали вафли- обычная самая дешевая смесь из пакетика в вафельнице, соус-сметана со сгущенкой. Было не вкусно все, а ценник как в хорошем ресторана. При нас люди с улицы в грязных куртках носили через весь крошечный зал какие-то коробки, неужели нет черного хода? Рядом с нами сидела пара с ноутбуками, к которой периодически подходил шептаться персонал, видимо кто-то из руководства. Все описанное было на их глазах, их все устраивало????? В общем повелись на красивую картинку, а по факту самые дешевые невкусно приготовленные продукты за большие деньги. Разочарование невероятное</t>
  </si>
  <si>
    <t>137</t>
  </si>
  <si>
    <t>Отличное атмосферное место с водными развлечениями. Хорошая кухня и кальян) отлично провели время на корпоративе и с ветерком поганили под парусом. Желающие показали класс на доске за катером. Свежий воздух, летний вечер и шикарный закат сделали настроение вечера. В общем отдохнули супер) Единственное что смазало впечатление так это то что до ближайшей остановки такси пришлось идти около 1,5 км до шлагбаума.</t>
  </si>
  <si>
    <t>138</t>
  </si>
  <si>
    <t>Отличное заведение. Вкусно. Приятная атмосфера. Бельгийское пиво Affligem, как в столичном пабе. Добавить бы скорости официанткам и не следят за полнотой пивных бокалов. Рекомендую.</t>
  </si>
  <si>
    <t>139</t>
  </si>
  <si>
    <t>Отличный ресторанчик . Интерьер потрясающий, вид радует от входа, все со вкусом, обслуживание отличное, спасибо официантке Валерии, очень милая и приятная, о еде, все свежее, вкусное, настойка лимончело это вообще огонь, рекомендую попробовать, коктейли пили, тоже вкусные. Шашлык сочный и мягкий. Отмечали юбилей, не пожалели , что выбрали данное заведение. Остались довольны.</t>
  </si>
  <si>
    <t>140</t>
  </si>
  <si>
    <t>Лучшая пицца в городе. Атмосферно, прекрасное обслуживание</t>
  </si>
  <si>
    <t>141</t>
  </si>
  <si>
    <t>К сожалению, это место очень разочаровало. Мы гости вашего города! Мы пришли страшно голодные, начитались отзывов и 40 мин шли пешком до этого кафе. Нас обслуживала официантка с черными волосами и с прилизанным хвостиком...уставшая и раздраженная... Сначала заказали Хоровац, но потом передумали и заказали Форель на углях. Попросили Хоровац убрать тогда из заказа... Каково же было наше удивление, когда официантка принесла Хоровац (это оказалось маленькое холодное блюдо, больше похожее на салат...скорее всего это и был салат, а не овощи на углях) и готовая к атаке сразу сказала, что мы не просили удалить это блюдо...мы перепирались, но официантка жестко стояла на своем... Что бы мы ни спрашивали на все был раздраженный ответ... Настроение было испорчено и еще при этом мы чувствовали себя виноватыми!!! Очень понятно отношение к гостям города! Повсюду клиент всегда прав, но в этом месте клиент совсем не прав! Сюда мы больше ни ногой!</t>
  </si>
  <si>
    <t>142</t>
  </si>
  <si>
    <t>Еда нормальная. Не скажу, что вау. Чего так хвалят - непонятно. Ждали долго, принесли не вместе. Не пошла бы второй раз</t>
  </si>
  <si>
    <t>143</t>
  </si>
  <si>
    <t>Нееее, сюда не надо. Еда готовится оооочень долго, и мягко скажем, среднего уровня ( много мест где можно поесть с бОльшим кайфом), обслуживание вообще «восторг». В общем, вкусной еды, улыбчивого персонала и быстрой отдачи блюд тут нет.</t>
  </si>
  <si>
    <t>144</t>
  </si>
  <si>
    <t>Приезжая в город, всегда идем в данное заведение. Очень вкусная еда и напитки. Но персоналу, а особенно администратору, необходимо поучиться манерам, ведь недовольным лицом и хамством портят впечатление..и не только о ресторане.</t>
  </si>
  <si>
    <t>145</t>
  </si>
  <si>
    <t>у кофейни неуважительная к гостям подача сочников! При покупке, его кладут просто на поднос без всего . Даже салфеточки не положат. Девушке на кассе самой от этой подачи смешно и она мне сразу сказала «у нас такая подача по регламенту» я говорю: «а можно салфетку хотя бы»? Девушка : «они у нас справа». Т.Е это гостю надо самой обойти очередь и взять эту салфетку это с учётом, что я заказ брала не с собой, а сидела за столиком. Хотелось бы заказ забирать с подноса в зоне отдачи уже готовый с салфетками, а не бегать по залу за ними! учитывая, что за столиками их нет и валяются крошки. Или хотя бы поставьте эти салфетки и в зоне отдачи ТОЖЕ ! Кстати сочень старый и дубовый</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</si>
  <si>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</si>
  <si>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</si>
  <si>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</si>
  <si>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</si>
  <si>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</si>
  <si>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</si>
  <si>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</si>
  <si>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</si>
  <si>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</si>
  <si>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</si>
  <si>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</si>
  <si>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</si>
  <si>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</si>
  <si>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</si>
  <si>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</si>
  <si>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</si>
  <si>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</si>
  <si>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</si>
  <si>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</si>
  <si>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</si>
  <si>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</si>
  <si>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</si>
  <si>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</si>
  <si>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</si>
  <si>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</si>
  <si>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</si>
  <si>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</si>
  <si>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</si>
  <si>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</si>
  <si>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</si>
  <si>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</si>
  <si>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</si>
  <si>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</si>
  <si>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</si>
  <si>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</si>
  <si>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119</t>
  </si>
  <si>
    <t>120</t>
  </si>
  <si>
    <t>121</t>
  </si>
  <si>
    <t>123</t>
  </si>
  <si>
    <t>126</t>
  </si>
  <si>
    <t>128</t>
  </si>
  <si>
    <t>129</t>
  </si>
  <si>
    <t>Тағамдары өте дәмді екен, әсіресе еттің дәмі жақсы ашылған. Порциясы да тойымды, бағасына сай болды.</t>
  </si>
  <si>
    <t>Бургері сырттай әдемі көрінгенімен, дәмі онша ұнамады, котлеті құрғақ болып қалды. Қызмет көрсетуі қалыпты, бірақ тамақтан көбірек күттім.</t>
  </si>
  <si>
    <t>Шашлығы өте жұмсақ, жақсы қуырылған, дәмдеуіштері де орнымен салынған. Күту уақыты ұзақ болмады, бәрі ұнады.</t>
  </si>
  <si>
    <t>Пиццаның қамыры қаттылау екен, ал ірімшігі аз сияқты көрінді. Іші таза, бірақ тағам сапасы көңілден толық шықпады.</t>
  </si>
  <si>
    <t>Сорпасы ыстық, қою және дәмді болды, үйдің тамағындай әсер қалдырды. Осындай сапа үшін қайта келуге болады.</t>
  </si>
  <si>
    <t>Тапсырыс дұрыс келді, ештеңе шатастырмаған. Бірақ тағамның өзі салқындап қалғандықтан, дәмі де онша сезілмеді.</t>
  </si>
  <si>
    <t>Донері өте дәмді, лавашы жұмсақ, іші құрғақ емес. Қызметкерлер де сыпайы сөйлеп, жақсы әсер қалдырды.</t>
  </si>
  <si>
    <t>Тағамдары жаман емес, бірақ ерекше есте қалатындай дәм байқамадым. Бағасы сәл қымбаттау көрінді.</t>
  </si>
  <si>
    <t>Кофесі де, десерті де өте дәмді болды, бәрі жаңа дайындалғаны білініп тұр. Ішіндегі атмосферасы да жайлы екен.</t>
  </si>
  <si>
    <t>Тауық еті қаттылау болып шықты, ал гарнирі мүлде суып қалған. Тапсырысты тез әкелгенімен, тағам сапасы ұнамады.</t>
  </si>
  <si>
    <t>Мантысы өте дәмді, қамыры жұқа, іші шырынды екен. Порциясы да жақсы, аш келсең тоясың.</t>
  </si>
  <si>
    <t>Тағамның дәмі орташа ғана, тұзы сәл көптеу болды. Қызмет көрсету жаман емес, бірақ бұл жердің асханасы онша әсер етпеді.</t>
  </si>
  <si>
    <t>Балық өте жақсы дайындалған, иісі де, дәмі де жаңа екенін байқатты. Тазалығы мен жалпы қызметі де көңілге қонды.</t>
  </si>
  <si>
    <t>Бағасына қарасаң, тағам сапасы әлдеқайда жақсы болуы керек еді. Пастасы құрғақ, соусы аз, сондықтан аса ұнамады.</t>
  </si>
  <si>
    <t>Өте дәмді тағам екен, әсіресе палауы ұнады, майы да, тұзы да орнымен. Орынның өзі де жайлы, достармен тыныш отырып тамақтануға болады.</t>
  </si>
  <si>
    <t>146</t>
  </si>
  <si>
    <t>147</t>
  </si>
  <si>
    <t>148</t>
  </si>
  <si>
    <t>149</t>
  </si>
  <si>
    <t>150</t>
  </si>
  <si>
    <t>151</t>
  </si>
  <si>
    <t>152</t>
  </si>
  <si>
    <t>153</t>
  </si>
  <si>
    <t>154</t>
  </si>
  <si>
    <t>155</t>
  </si>
  <si>
    <t>156</t>
  </si>
  <si>
    <t>157</t>
  </si>
  <si>
    <t>158</t>
  </si>
  <si>
    <t>159</t>
  </si>
  <si>
    <t>160</t>
  </si>
  <si>
    <t>Іші өте таза екен, үстелдер де, еден де жинақы болды. Осындай жерге қайта келгің келеді.</t>
  </si>
  <si>
    <t>Жалпы орын жаман емес, бірақ үстел үсті дұрыс сүртілмеген сияқты көрінді. Тамақ дәмді болды, алайда тазалық жағы жақсырақ болса екен.</t>
  </si>
  <si>
    <t>Кафенің іші тап-таза, ыдыстары да жылтырап тұр. Қызмет көрсетуімен бірге осы жағы да қатты ұнады.</t>
  </si>
  <si>
    <t>Дәретханасы таза болмағаны көңілге тиді. Мұндай жерде тамақтың дәмі жақсы болса да, әсер төмендеп кетеді екен.</t>
  </si>
  <si>
    <t>Тазалық жақсы сақталған, ас ішетін орын да өте ұқыпты. Атмосферасы да жайлы, отырып демалуға ыңғайлы.</t>
  </si>
  <si>
    <t>Үстелді ұзақ уақыт сүртпеген сияқты, кішкене жабысқақ болды. Қызметкерлер сыпайы, бірақ гигиена жағына көбірек мән берсе жақсы болар еді.</t>
  </si>
  <si>
    <t>Асханасы таза, ішінде жағымсыз иіс жоқ. Тамақ та дәмді, бәрі ұқыпты ұйымдастырылған екен.</t>
  </si>
  <si>
    <t>Орындықтар мен үстелдердің арасында қоқымдар қалып кеткен. Осындай ұсақ нәрсе бірден көзге түседі.</t>
  </si>
  <si>
    <t>Тазалығы ұнады, әсіресе ашық асүйде бәрі жинақы тұрғаны сенім береді. Тамақты да тәбетпен жейсің.</t>
  </si>
  <si>
    <t>Жалпы таза сияқты, бірақ қол жуу орнына қағаз бен сабын жетіспеді. Бұған да мән берген дұрыс.</t>
  </si>
  <si>
    <t>Іші өте мұнтаздай, едені де таза, ыдыстары да жақсы жуылған. Осындай жерде тамақтану жағымды екен.</t>
  </si>
  <si>
    <t>Тамақ жаман емес, бірақ үстелді біз келгенге дейін тазалап үлгермеген сияқты. Күтуге тура келді.</t>
  </si>
  <si>
    <t>Кафеде тазалық бар, бәрі өз орнында. Қызметкерлер де ұқыпты киінген, бұл да жақсы әсер қалдырды.</t>
  </si>
  <si>
    <t>Дәретхананың тазалығы көңілден шықпады, суы да шашылып жатты. Негізі мұндай нәрсе орын туралы ойды өзгертіп жібереді.</t>
  </si>
  <si>
    <t>Өте таза әрі жарық жер екен, іші кең, ауасы да жағымды. Осындай атмосферада отырып тамақтану ұнады.</t>
  </si>
  <si>
    <t>Тапсырысты тез әкелді, бірақ үстел үстінде алдыңғы клиенттен қалған іздер болды. Гигиена жағынан мұқият болған дұрыс.</t>
  </si>
  <si>
    <t>Тазалығы жақсы деңгейде, әсіресе ас құралдары мен ыдыстары таза болды. Осындай ұқыптылық бірден байқалады.</t>
  </si>
  <si>
    <t>Ішінде шаң байқалмаса да, еденде майда қоқыс болды. Тамақтың сапасы жақсы, бірақ тазалық толық көңілден шықпады.</t>
  </si>
  <si>
    <t>Өте ұқыпты орын екен, бәрі таза әрі жинақы. Қызметкерлердің де тазалыққа мән беретіні көрініп тұр.</t>
  </si>
  <si>
    <t>Жалпы әсер жаман емес, бірақ гигиена жағы орташа болды. Үстелдер тезірек сүртіліп, дәретхана жиірек тексерілсе, тіпті жақсы болар еді.</t>
  </si>
  <si>
    <t>Донері өте дәмді, шын айтам, Абая бойында жейтін ең мықты орындардың бірі! Еті жұмсақ, сусыны салқын, бағасы да қалта көтеретіндей. Қызметкерлері де сыпайы, тез әзірлеп береді. Келген сайын көңілімнен шығады. Әсіресе кешке достармен келіп, керемет атмосферада отырып жеуге лайық! Баршаға ұсынамын!</t>
  </si>
  <si>
    <t>Сервис нашар</t>
  </si>
  <si>
    <t>Керемет  өте дәмді</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</si>
  <si>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</si>
  <si>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</si>
  <si>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</si>
  <si>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</si>
  <si>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</si>
  <si>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</si>
  <si>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</si>
  <si>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</si>
  <si>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</si>
  <si>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</si>
  <si>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</si>
  <si>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</si>
  <si>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</si>
  <si>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</si>
  <si>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</si>
  <si>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</si>
  <si>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</si>
  <si>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</si>
  <si>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</si>
  <si>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</si>
  <si>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</si>
  <si>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</si>
  <si>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</si>
  <si>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</si>
  <si>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Кассир алып тастандаршы жумыстан менсенби турама адамды калай калай ози хиджаб киген кыз</t>
  </si>
  <si>
    <t>В зале чисто, столы аккуратно протерты, находиться внутри приятно. Сразу видно, что за порядком здесь следят.</t>
  </si>
  <si>
    <t>Еда вкусная, но чистота в зале оставила смешанные впечатления: на столе были крошки, и его долго не убирали.</t>
  </si>
  <si>
    <t>Очень понравилось, что в заведении чисто и нет посторонних запахов. В такой атмосфере даже еда кажется еще приятнее.</t>
  </si>
  <si>
    <t>В целом место неплохое, но пол был грязноват, особенно возле столиков. На такие вещи сразу обращаешь внимание.</t>
  </si>
  <si>
    <t>Туалет был чистый, мыло и салфетки на месте, что для меня всегда важно. За это отдельный плюс заведению.</t>
  </si>
  <si>
    <t>Персонал вежливый, заказ принесли быстро, но на подносе остались какие-то пятна. В плане гигиены хотелось бы аккуратнее.</t>
  </si>
  <si>
    <t>Внутри уютно и чисто, посуда без разводов, приборы тоже аккуратные. Оставило хорошее впечатление.</t>
  </si>
  <si>
    <t>Заказ понравился, но стол, за который сели, был плохо протерт. Пришлось просить, чтобы его убрали.</t>
  </si>
  <si>
    <t>В заведении чисто, светло и приятно находиться. Особенно понравилось, что даже в час пик все выглядело опрятно.</t>
  </si>
  <si>
    <t>Не могу сказать, что было грязно, но и идеальной чистоты тоже не заметил. Обычный средний уровень.</t>
  </si>
  <si>
    <t>На кухню, конечно, не заглянешь, но в зале все выглядело аккуратно и ухоженно. Это вызывает доверие к месту.</t>
  </si>
  <si>
    <t>Еда была нормальная, а вот в туалете чистота подкачала. Для общего впечатления такие детали очень важны.</t>
  </si>
  <si>
    <t>Понравилось, что сотрудники быстро убирают столы после гостей. Благодаря этому в зале сохраняется порядок.</t>
  </si>
  <si>
    <t>В помещении было душновато, и из-за этого казалось, что не очень свежо. Хотя явной грязи не заметил.</t>
  </si>
  <si>
    <t>Чистота на хорошем уровне: полы чистые, салфетки есть, мусор нигде не лежит. Можно спокойно сидеть и не отвлекаться на мелочи.</t>
  </si>
  <si>
    <t>Бургеры вкусные, но стаканы выглядели так, будто их плохо вытерли. Мелочь, но настроение немного испортило.</t>
  </si>
  <si>
    <t>Очень приятное место: чисто, аккуратно и без неприятных запахов. Атмосфера из-за этого становится намного лучше.</t>
  </si>
  <si>
    <t>На первый взгляд все нормально, но если присмотреться, на столах и диванах уже заметны следы износа и не самой тщательной уборки.</t>
  </si>
  <si>
    <t>Порадовало, что даже вечером, когда людей было много, в зале все равно поддерживали чистоту. Это говорит о хорошем уровне сервиса.</t>
  </si>
  <si>
    <t>Место само по себе уютное, но гигиена могла бы быть лучше: столовые приборы принесли не совсем чистыми. После этого впечатление стало хуже.</t>
  </si>
  <si>
    <t>Бағасына мүлдем сай емес, қымбат және дәмді болмады.</t>
  </si>
  <si>
    <t>Жылдам әрі тез. Жарайсыңдар жігіттер. Істеріңе береке берсін</t>
  </si>
  <si>
    <t>Бары зор оте жаксы</t>
  </si>
  <si>
    <t>Донері жақсы, дәмді болды, лавашы қытырлап тұр, тек донерге әдемі поднос пен қағаз төсеніш керек екен</t>
  </si>
  <si>
    <t>Фу зачем такой жир в курином донере,как собаке,увидела ,дальше не ела этот донер безвкусный донер ,только если слишком голодный,лучше Романовский продукт съесть ,и то вкусно</t>
  </si>
  <si>
    <t>Заказал донер,смотрю как делает повар На полу лежал лаваш,взял его перчатками с пола и дальше начал готовить теми же перчатками Где санитария?????</t>
  </si>
  <si>
    <t>без обид кнч но вкус средненький внутри токо мясо, картошка фри и ну кетчуп. В других менее популярных местах делают получше и вкуснее</t>
  </si>
  <si>
    <t>Кафе тамақтануға сай емес, лас, тарелканың арасынан тарақан ұшып шықты, қорқып кеттім, қасымдаға жігіт өлтіріп үлгерді, адамдарға таза орындарға күтіңіздер , бұл тамақтанатын жер</t>
  </si>
  <si>
    <t>Кушал в этом заведении отравился очень сильно еще и чек не дали после оплаты ! Не рекомендую это место если бережете свое здоровье</t>
  </si>
  <si>
    <t>Хотели вчера заказать еду но дозвониться не получилось телефон не берут пишем якобы заказ принимает но заказа нет и еды нет обратная связь вообще нету</t>
  </si>
  <si>
    <t>Дәмі деген керемет біріншірет барған едім дәмін айталмаймын)</t>
  </si>
  <si>
    <t>Ресторан очень хороший, еда очень вкусная, а владелец очень вежливый и дружелюбный. Я рекомендую вам посетить их заведение и насладиться их едой.</t>
  </si>
  <si>
    <t>Несколько раз приходили в это заведение на обед, ситуация по готовке еды очень печальная ждешь заказ по пол часа ! Официанты очень грубые. Еда средняя</t>
  </si>
  <si>
    <t>Были здесь 22 марта, посадка была полная. Каждый стол угощали кумысом, баурсаками и сладостями. Подача блюд заняла 50 минут, хотя при заказе официант предупредил об ожидании в 25 минут((( Рамен с томленой говядиной был очень соленый, не особо понравилось. Сырный Рамен был вкусный, роллы тоже.</t>
  </si>
  <si>
    <t>Не все позиции есть и многие сеты нельзя заказывать оказывается в зале И смысл тогда делать онлайн меню если это нельзя заказывать И многие позиции просто нету</t>
  </si>
  <si>
    <t>Ужасное место, ждала сидела официанта минут 30, кнопка на столе не работает нажимала 5раз никто не подошел, когда принимали заказ официант через не хочу принимает, насчет еды я спросила удон острый мне сказали нет, в итоге он был сильно острый , пампушки остывшие пришли, я б не советовала</t>
  </si>
  <si>
    <t>Шауырмалары өте дәмді, 1+1 акция үшін рақмет, балалар ойын алаңы бар екен</t>
  </si>
  <si>
    <t>SF шауырмалары өте дәмді,қызмет көрсетуі қазақша,рақмет үлкен</t>
  </si>
  <si>
    <t>Тут и без слов понятно. Ещё и запах хлорки от всей еды, мне сразу же плохо после приёма пищи стало.</t>
  </si>
  <si>
    <t>блин принесли абсолютно сухим,попросили переделать скзаали что такого нельзя,но при этом до этого мне переделывали в другом филиале,а также чайник вообще не протерли оставив грязным,перелили слишком много воды после чего кипяток разлился на ногу</t>
  </si>
  <si>
    <t>Ыстық донер жегім келіп келгенмін. Жоқ, именно суытып, суық донер 2 сағат күтіп отырып әкеліп берді. Сотрудниктері былжыраған, өте баяу қозғалатын, баяу қабылдайтын адамдар. 2 жасар баламен келгенмін. Ойын залы өте ыңғайсыз қуыста орналасқан. Бала ойын залынан шығып мені іздегенде сотрудниктер көріп тұрып, ешқандай әрекет жасаған жоқ. Хотя бы “бала лестницадан құлап кетпесін деп” лестницаның алдында тұрған баланы да ұстаған жоқ. Донері 80% майонез бен кетчуптан тұрады. Мүлдем ұнаған жоқ.</t>
  </si>
  <si>
    <t>тазалық жағы нашарлаума 1 донерді 35 мин күткенсыңғо</t>
  </si>
  <si>
    <t>Куринный суп, қара су ішкендей боласың, дым дәмі жоқ</t>
  </si>
  <si>
    <t>Шахи бзге жаксы кызмет корсетти Бари унады Рахмет Шахи</t>
  </si>
  <si>
    <t>11.11.2025 сағат 15:30 дағы кассадағы қыз өте дөрекі қазақша жауап бермиді адам таңдап сөйлеседі</t>
  </si>
  <si>
    <t>Шаурма в лепешке-ассорти. Мясо пересушенное просто на нет. Вы думаете что можно вывезти налив майонеза с кетчупом до краёв. Абсолютно не вкусно</t>
  </si>
  <si>
    <t>Не стоит келуге сегодня вопше душноо ужс Особенно отбасымен душно и игравой зал везде волос грязный ! Мы приедим часта такова не был И мы заказали обший последный себя заказал батон донер не стойт лутче цомян заказать а чизбургер соуса нету толька кетчуп и тд невкусно Админ проста так ответил на ватсап . Как можно понят</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</si>
  <si>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</si>
  <si>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</si>
  <si>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</si>
  <si>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</si>
  <si>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</si>
  <si>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</si>
  <si>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</si>
  <si>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</si>
  <si>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</si>
  <si>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</si>
  <si>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</si>
  <si>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</si>
  <si>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</si>
  <si>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</si>
  <si>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</si>
  <si>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</si>
  <si>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</si>
  <si>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</si>
  <si>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</si>
  <si>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</si>
  <si>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</si>
  <si>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</si>
  <si>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</si>
  <si>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</si>
  <si>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</si>
  <si>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</si>
  <si>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</si>
  <si>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</si>
  <si>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</si>
  <si>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</si>
  <si>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</si>
  <si>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</si>
  <si>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</si>
  <si>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</si>
  <si>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</si>
  <si>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</si>
  <si>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</si>
  <si>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</si>
  <si>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</si>
  <si>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</si>
  <si>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</si>
  <si>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</si>
  <si>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</si>
  <si>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</si>
  <si>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</si>
  <si>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</si>
  <si>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</si>
  <si>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Заказали сегодня шаурму в данном заведении. И в одной шаурме было 2 волоса. Администрация никак не отреагировали. Эти волосы могли съесть дети, которые были с нами вместе 🤢🤮 ужас!!!!</t>
  </si>
  <si>
    <t>Заказал комбо донер 1.5 а на самом деле обычный донер начинка ващее не очень!((( Буду иметь ввиду, не буду больше заказывать</t>
  </si>
  <si>
    <t>Калбасанын сыртын алмаған пакетымен бала шағамызбен жеп қойдыққ ужасссс,неме бале сұмдық калбасаның сыртын алмайма ,енлы алмаймыз !!!!!!!!</t>
  </si>
  <si>
    <t>Самый лучшие кофе, был тут первый раз , попробовал баранину, свинину , курицу , все мясо пожарино классно,  отзывчивый персонал ,большую благодарность хочу выразить Ольги администратору большое спасибо.</t>
  </si>
  <si>
    <t>Очень приятная уютная обстановка,обслуживание супер,весь персонал приятные и ответственные люди. Спасибо за обслуживание всем от администратора до техперсонала!!!! Меню очень актуальное,вкусное и недорогое. Рекомендую всем. Посещаем регулярно. Есть детская комната</t>
  </si>
  <si>
    <t>Спасибо большое от всей нашей компании за качественное и быстрое обслуживание! Очень вкусно накормили! Кафе замечательное!</t>
  </si>
  <si>
    <t>Вкусно!!!!Чисто!!!!Не дорого!!! Праздновали день рождения,всем очень понравилось. Отзывчивый персонал. Фирменные настойки очень вкусные.</t>
  </si>
  <si>
    <t>Вкуснейшая еда, отличный персонал, ребята молодцы, так держать</t>
  </si>
  <si>
    <t>Залетели ночью с друзьями, разбудили работника, сделал нас шаурму и несколько штук самсы с говядиной. 2 дня на толчке по видеосвязи обсуждали что туда больше ни ногой.</t>
  </si>
  <si>
    <t>Очень вкусная пицца. Нравится их система лояльности, каждый раз приятно сбивает цену. Приятное обслуживание и атмосфера. Место супер.</t>
  </si>
  <si>
    <t>Пицца детям понравилась, интерьер очень интересный, заказали ещё кактейли были вкусные с красивой подачей , вежливый персонал, было все очень вкусно!</t>
  </si>
  <si>
    <t>Сегодня заказали у вас доставку. Перепутали нам пасты, добавили то ли сырых креветок, то ли просто безвкусных. Трубки не берёте. Ужас, фу, плохо. Ходили к вам много раз, больше не будем. Ужасная забегаловка с сырыми креветками!</t>
  </si>
  <si>
    <t>Тамақтарыңыз өте дәмді екен. Көп көп рақмет</t>
  </si>
  <si>
    <t xml:space="preserve">Пасуда кір , официанттардын устінен сасык иіс шығып тұр, бакал вообще ужс сүртілмеген, везде барсаң базар сияқты, заказымды ұмытып кеткен, арен келеді столға заказ алшы деп журемиз и тазалық жоқ, бізден заказды кыз алды но үстінен иіс қатты шығып тұр ужсссс арен дегенде шыдадық </t>
  </si>
  <si>
    <t xml:space="preserve">Ыдыстары жуылмаган таза емес , стакан акелип берди ишинде пияз жур, ещё биз оган су куйып ишип отырмыз,биреу емес бирнеше официанттарга айтсан ундеми карап не истейын ауыстырып берейынба деп карап тур сонда конактын конилинен шыгуга ешкандай шара колданбайсыздарма </t>
  </si>
  <si>
    <t>Түскі 12де келдік. Е анау жоқ, е мынау жоқ. Не бар сонда, адамдар тамақ ішуге келеді ғой, тамақ жоқ!</t>
  </si>
  <si>
    <t xml:space="preserve">Масқара! Кеше ауызашарда масқара болдық, нан ішіндегі қуырдаққа тапсырыс беріп едік. ішінде болуы керек қоспалар жоқ, ет 1 келіге де жетпейді, кортобы да аз, сәбізін көрмедік, өте нашар! 6 адам жеу керек тағамды 2 адам жеп тоймай қалды. Қонақтардан ұялғанымызай. Тапсырыс берерде мұқият болыңыздар!!!! </t>
  </si>
  <si>
    <t>Шашлык өте нашар. Амал жоқ жедік</t>
  </si>
  <si>
    <t>Өте нашар қызмет көрсету, тамақтары тым кеш келеді +суық күйінде келеді. Столдың үстері таза емес дұрыс сүртілмейді</t>
  </si>
  <si>
    <t>Қызмет көрсету өте өте нашар. Адам таңдап қызмет көрсетеды, айтылған затты уақытында әкелмейді</t>
  </si>
  <si>
    <t>Қызмет көрсетуі нашар! Бірақ, тағамдары жақсы.</t>
  </si>
  <si>
    <t>Әжетхананы тазалап, жылы су ағызып қоюға болады ғой. 2 кабинкасы бар әжетхананың. 1-нің іші лас, жылы су жоқ.</t>
  </si>
  <si>
    <t>Сорпа айтқан едік, муздай қылып алып келді. Ысытып алып келіңіз десек 2 ші алып келгені жылы болды. Шашликте жып жыл.</t>
  </si>
  <si>
    <t xml:space="preserve">Өте керемет, тиімді, әрі элитный. Кесенеге де Керуенге де жақын өте, көремет барлығы </t>
  </si>
  <si>
    <t xml:space="preserve">Сәлеметсіз бе. 6.01.23 тойымыз осында өтті. Өте ұнады, рақмет. Еңбектеріңіз жемісті болсын!!! Іші әдемі, тамақтары тәтті, администратор мен официанттары пысық. </t>
  </si>
  <si>
    <t xml:space="preserve">27.12.22ж күні Жаңа жылдық корпоративте болдық. Банкет залы керемет ұнады. Тағамдары да, услугалары да ұнады. Администраторларына, қызметкерлеріне рахмет айтамын </t>
  </si>
  <si>
    <t>Мейрамхананың администраторына, аспазшыларына көп рахмет! Еңбектеріңіздің жемісін көріңіздер</t>
  </si>
  <si>
    <t xml:space="preserve">Өте жақсы күшті </t>
  </si>
  <si>
    <t>Кассадағы қыздардың қызметі өте нашар</t>
  </si>
  <si>
    <t>Екі рет бардым. Екеуінде де жақсы болды тамақтары.</t>
  </si>
  <si>
    <t>Жеткізу өте нашар</t>
  </si>
  <si>
    <t>Жақында осы жерге келіп кешкі ас іштік. Өте жақсы қарсы алды. Мәзірде тағамдар көп екен. Тапсырыс бердік. Көп ұзамай алып келді. Дәмі керемет екен. Отбасымызға ұнады. Әлі де тағы келеміз</t>
  </si>
  <si>
    <t>Ас үй өте дәмді.Біздің сүйікті отбасылық мейрамхана.Барлық отбасылық мерекелер тек осында.Өте жақсы қызмет!</t>
  </si>
  <si>
    <t>Мұндай тәтті, дәмді тағамдарды мен еш жерде жеп көрмедім. Өте ұнады. Дәмі деген сөз жоқ енді КЕРЕМЕТ! Шақырған қонақтарымыз да риза болды. Балдарға пицца өте қатты ұнады. Тек биіктен көріне беріңіздер! Жарайсыздар!</t>
  </si>
  <si>
    <t>Телефон көп уақыт алмайды</t>
  </si>
  <si>
    <t>Қызмет көрсету сапасы, тамағы күшті</t>
  </si>
  <si>
    <t>мәдениеттілік жоқ клиентпен</t>
  </si>
  <si>
    <t>өте жоғары сападағы сервис</t>
  </si>
  <si>
    <t>Керемет осы мейрамхана</t>
  </si>
  <si>
    <t>Донерлері ең дәмді. Администратор Райхан Аяжан одан да дәмді</t>
  </si>
  <si>
    <t>Кассир жігіт наглый, клиентпен қалай сөйлесуді білмейді. Книга жалобты қою керек, сұраққа дұрыс жауап бермейді.</t>
  </si>
  <si>
    <t>Өте дәмді Рахмет көп көп</t>
  </si>
  <si>
    <t>Баханди бургер номер один жигиттер көп көп рахмет Aлла разы болсын</t>
  </si>
  <si>
    <t>Өте дәмді болған повар. Сочный еще рахмет сіздерге</t>
  </si>
  <si>
    <t>Дәмді әрі жылдам. Керемет</t>
  </si>
  <si>
    <t>оте керемет</t>
  </si>
  <si>
    <t>Павлин досм зор қып істеп берді сочный кып бөлексің бургер топ</t>
  </si>
  <si>
    <t>Рахмет оте дамды Айдос</t>
  </si>
  <si>
    <t>Бургерлері керемет дәмді</t>
  </si>
  <si>
    <t>жақсы қызмет көрсетілді.тамаша.Жигиттер жақсы қарсы алып,ойдағыдан аса қызмет көрсетті үлкен рахмет!</t>
  </si>
  <si>
    <t>Бургер тауықпен күшті екен</t>
  </si>
  <si>
    <t>Оте жаксы бургер Ерсултан деген Палуан жасап берди.</t>
  </si>
  <si>
    <t>Өте дәмді бургер тек Bagandi да</t>
  </si>
  <si>
    <t>Керемет бургер екен маған ұнады</t>
  </si>
  <si>
    <t>Бургер кушты, дәмді, әрі тез, келіп көруге кеңес беремін</t>
  </si>
  <si>
    <t>Дәмі керемет, маған ұнады</t>
  </si>
  <si>
    <t>Керемет. Дәмді әрі жылдам</t>
  </si>
  <si>
    <t>Өте керемет</t>
  </si>
  <si>
    <t>Бәрі керемет дәмді</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</si>
  <si>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</si>
  <si>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</si>
  <si>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</si>
  <si>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</si>
  <si>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</si>
  <si>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</si>
  <si>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</si>
  <si>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</si>
  <si>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</si>
  <si>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</si>
  <si>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</si>
  <si>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</si>
  <si>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</si>
  <si>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</si>
  <si>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</si>
  <si>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</si>
  <si>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</si>
  <si>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</si>
  <si>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</si>
  <si>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</si>
  <si>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</si>
  <si>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</si>
  <si>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</si>
  <si>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</si>
  <si>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</si>
  <si>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</si>
  <si>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</si>
  <si>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</si>
  <si>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</si>
  <si>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</si>
  <si>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</si>
  <si>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</si>
  <si>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</si>
  <si>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</si>
  <si>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</si>
  <si>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</si>
  <si>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</si>
  <si>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</si>
  <si>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</si>
  <si>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</si>
  <si>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</si>
  <si>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</si>
  <si>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</si>
  <si>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</si>
  <si>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</si>
  <si>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</si>
  <si>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</si>
  <si>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</si>
  <si>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</si>
  <si>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</si>
  <si>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</si>
  <si>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</si>
  <si>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</si>
  <si>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</si>
  <si>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</si>
  <si>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</si>
  <si>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</si>
  <si>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</si>
  <si>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</si>
  <si>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</si>
  <si>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рахмет сіздерге өте дәмді болған</t>
  </si>
  <si>
    <t>Бургерлері дәмді көңілімнен шықты</t>
  </si>
  <si>
    <t>Мықты ,сөз жоқ. Тек осы бургерді жеймін постоянно. Жақсы обслуживаниесі</t>
  </si>
  <si>
    <t>Бургер дәмі өте керемет, жесең аузыңда ериді, быз бургерді тек осы жерден жиміз қолдарыңыз дерт көрмесін,бургер дәміне сөз жок!</t>
  </si>
  <si>
    <t>Бургерлері сочный өте дәмді, фрилары жұмсақ ауызда ериді</t>
  </si>
  <si>
    <t>Ресторандағы офитцант қыз қаралау келген, адаммен өте дөрекі сойлеседі! Чек алып келмейді 0,5 арақты 15 мың дейді алдым, ресепшнден сұрасам чекті ол жоқ дейді ондай чек! Офитцанттан сұраған едім ол қағазға жазып алып келді чекті міні деп менюда жоқ ед ондай арақ деп!! Номер керемет таза ұқыпты, мен комфортты сезіндім! Брақ арақтың чегі болмағаны жаман екен 15 мың дейді ёше, ол ақшаны қалтасына салған шығар не деген бардак!!</t>
  </si>
  <si>
    <t>стейк каттыгой достар. прожарка деген тусиник жок екен</t>
  </si>
  <si>
    <t>5 жұлдыз қоя алмаймын, себебі:  -1 жұлдыз - даяшылар аспанда ұшып жүр; -1 жұлдыз - кафенің көлемі кішкентай, сырт киімді ілу үшін бірнеше адамдарды таптат өту керек. Дәретханасы кішкентай, адамдар жүріп өтетін жерде қақтығысып қалу қауіпі бар.  +3 жұлдыз - Тамағы өте дәмді.</t>
  </si>
  <si>
    <t xml:space="preserve">Құрметті қонақтар))) Ас бөлімі кешіктіріп алып келуде, тағамнан соң 30минут әлі жоқ?( даяшылар ляғып әр жерде жүр тапсырыс 3адам қабылдады! </t>
  </si>
  <si>
    <t>Куырдак сорпаға піскен. Май емес сорпа.суйектегі еті сасып бүлініп кеткен. Кухняны қадағалаңыздар</t>
  </si>
  <si>
    <t>Тағамдарға сөзім жоқ өте дәмді. Бірақ бір раннер маған боқ ауыз сөз айтып бүкіл тәбетімді құртты. Қонақпен қалай сөйлесу керек екенін үйретіңіздер!</t>
  </si>
  <si>
    <t>Ноутбукпен отыруға болмайды деп шығарып жіберген кафе ма? Қай атам-заманнан қалған мынау бізде бесплатно вайфаймен отырасыңғо. Осыдан кім барар екен сіздерге</t>
  </si>
  <si>
    <t>Тағамдары дәмді. Бірақ обслуживание 0</t>
  </si>
  <si>
    <t>Кеше ғана тамақтан ұзын шаш шықты. Тамақтардың дәмі де бұрынғыдай емес, енді бармаспыз!</t>
  </si>
  <si>
    <t>Обслуживание 0. бүкіл приборларды тарсылдатып әкелді. Админ проблеманы шешудің орнына, дауыстап столға отырған адамдарға, отырғызбандар, сендер үшін ұрыс естуім керекпа? жәймен шешуге болады деп ойлаймын</t>
  </si>
  <si>
    <t>Қазақша мәзір жоқ және Администратор қыз дұрыс сөйлесе алмайды тағамдары жақсы</t>
  </si>
  <si>
    <t>Бармандар мына кафеге, обслуживание мулдем жок. Уят осындай касипкерлер барына</t>
  </si>
  <si>
    <t>сервис жоқ кафе. Осы кафенің бастықтары тас дәуірінен</t>
  </si>
  <si>
    <t>мұнда келудің қажеті жоқ адекватность уважение дегенді білмейді</t>
  </si>
  <si>
    <t>Мен мұнда бірінші рет болғам, тағам тапсырысымды 1 сағаттай күттім, бұл не деген сұмдық, өте нашар кафе</t>
  </si>
  <si>
    <t>Ноутбукпен баргам отыруга болмайды деп куып шыкты . Заказ бермесем бір сәрі , заказ беріп тамағын жеп онша болмасада отырсамда куып шықты . Обслуживание жағын айтпасамда түсінікті. Өте нашар. Дөрекі сөйлейді , видео доказательства бар</t>
  </si>
  <si>
    <t>Кызмет корсету сапасы оте нашар. Официанттар жетиспейди.</t>
  </si>
  <si>
    <t>Тамақтары өте керемет тек еттен жассалады бірақ ресторанның іші ожидания реальность болып калды катты әдемі шығар деп ойлаған едім өкінішке орай интерьер дизайны мүлде ұнаған жоқ . Обслуживание тоже көңіліміз толмады детский столикті де өзіміз іздеп жүріп алдық</t>
  </si>
  <si>
    <t>Мен осында болдым құрбыларыммен,кухня ұнады,интерьер ,бірақ деген нарсе болды,өте өкініштісі. Біз хлебной ассорти бердік,және біз тапсырыс бергендердің бәрін жей алмадық,себебітүскі уақыт жұмысқа үлгеру керек, жане самса бауырсақ салып беруін өтндік, и ең қызығы самсада бауырсақта салмаған, кішкентай тоқашты ғана салып жіберген,біз асығып пакетті ашпадық,жұмысқа келіп пакетті ашсақ бауырсақ,самса жок ((((( Көңіліміз қалды</t>
  </si>
  <si>
    <t>Өте ұзақ дайындалады!</t>
  </si>
  <si>
    <t>Кофе нашар, қызмет көрсету сапасы да өте төмен.</t>
  </si>
  <si>
    <t xml:space="preserve">Кимчитиге ұнамады, дәмдеуіштері өте көп. Қосымша күріштің өзі суық, қатты. Орналасқан жері жақсы, бірақ іші онша емес. </t>
  </si>
  <si>
    <t xml:space="preserve">Тамактары оте нашар, Палау, солянка, манты жареные быреуы дамды болмады, </t>
  </si>
  <si>
    <t>Қызмет көрсету сапасы өте төмен. Даяшыларға жалынып кетесін келуі үшін. Өкінішке орай</t>
  </si>
  <si>
    <t>Окиништи. Нашар</t>
  </si>
  <si>
    <t xml:space="preserve">Бүкілі керемет,бір өкіңіштісі өз елімде қазақ тілімнің өлгені ( мәзірдегі тіл мәселесі) Тілге құрмет-Елге құрмет… Ұлы мақсат бір қадамнан басталады. </t>
  </si>
  <si>
    <t xml:space="preserve">Қонақ алып келуге ұят жер! Адам көп, шумно, обслуживание нашар, менюде выбор аз, ожидание-реальность болып қалдық! </t>
  </si>
  <si>
    <t xml:space="preserve">Персоналдар негизи нашар кыздар адамнын кел бетине карап обслуживание жасайды.Бояган сланган кыздар келсе олип кала жаздайды.Барлыгымыз бир Алладан кегенимизди умытпаса екен деймин </t>
  </si>
  <si>
    <t xml:space="preserve">Тым жақсы кофейняның шырқын бұзды. Тары кофейнясының ашылғанын ұзақ күткенмін. 22.01.23 жолдасыммен коляскадағы баламмен барғанмын, ішіндегі қызметкерлер, официант, менеджер, администратор өз-өздерімен. Әсіресе адамның сырт келбетіне қарап, қызмет ететіні алаңдатты. Күтіп тұрғанымызға 20мин болды, өзімізбен бірге алдық кофені, бірақ ол кофенің дайын болуына тағы 20мин кетті, 1 кофе 250мл, 2 кофе алдық, счетқа за обслуживание қосып жіберген, соны айтып едім, сол қыздың ақшасын сұрап тұрғанда тарс ете берді чекті. Кофе5/10. Бірақ заведение дизайны , интерьері өте әдемі. Біз капучино тарымен,латте ірімшікпен алдық. Алып баратқан күштілігін көрмедім. Енді бармаспыз деп шештік. </t>
  </si>
  <si>
    <t>Баршаңызға Қайырлы күн! Төменде барлық кемшіл тұстарды астын сызып отырып жазып кеттім. Кешіріңіздер, алайда еріксіз басқа Қазақтың мынандай мақалы еске түседі екен “Қойшы көп болса-Қой арам өледі деген”. 4-бірдей “Директор” жүр дейді мыс. Төрт келіншек бастығымыз шайды 50-минут қайнатып жүр. (Қызыл көйлек, қара жолақты жейде, көк жейде, жане сары шашты директор)</t>
  </si>
  <si>
    <t xml:space="preserve">Көкжиек деген шай алдық, ол ұнамады. Құрамы түсініксіз, дәмі не тәтті емес, не қышқыл емес, қысқасы іше алмадық. Жалпы алғанда, мұндай этнокофеханалар ашылғанына өте қуаныштымыз! Қызмет сапасы жақсарып, мәзірдегі тағамдар көбейеді деп үміттенеміз. Іске сәт! </t>
  </si>
  <si>
    <t xml:space="preserve">Айтпақшы, ас мәзірін қазақшалап қойыңыздаршы, қазақ дәмін орысша оқыған шыны керек біртүрлі екен </t>
  </si>
  <si>
    <t xml:space="preserve">Интерьер минимализм стильде. Тамағымызды өте ұзақ күттік. Қуырдақ алуға кеңес бермеймін . Басқа алған тамағымыз дәмді болды </t>
  </si>
  <si>
    <t xml:space="preserve">Тарыға екінші рет келіп отырмын, бірінші рет Алматыда болғам. Екі ретте де қазақша мәзір жоқ. Техникалық ашылу болды деп түсіндірді, бірақ оның не қатысы бар? Неге орысша дайын онда? Сосын әкімші орысша жауап қатты қазақша сөйлесек. Келесі жолы барғанда, мәзір де болады деп үміттенем. </t>
  </si>
  <si>
    <t>Асханасынын багасы удай, кафе ресторандардын багасын кояды, мешиттин асханасында ,уяттан безгендер, Алладан корыкпайды екен</t>
  </si>
  <si>
    <t>Суши дайындау білмейма, німене. Ұнамады маған</t>
  </si>
  <si>
    <t>Қызмет көрсету сапасы төмен. Шляп-ляп қызмет</t>
  </si>
  <si>
    <t>Заказ көп уақыт күттік</t>
  </si>
  <si>
    <t>Суши, донер, пицца сөз жоқ керемет ал өкінішке орай шашлык жеу былай тұрсын тістеу мүмкін емес, Құрметті Шаурма Фуд администраторы түсінеміз кемшіліксіз нәрсе болмайды дегенмен мұндай нәрселерге жоғарғы дәрежеде назар аударсаңыздар дұрыс болар еді.</t>
  </si>
  <si>
    <t xml:space="preserve">Аруна жумысын өте жаксы укыпты жасайды екен,әрдайым кулип карсы алады,өте жаксы кыз!осында енді всегда келип турамыз. </t>
  </si>
  <si>
    <t xml:space="preserve">Сәлеметсіздерме! Бүгін өзіміз жақсы көретін халал асханасы бар Shaurma Food - қа келдік. Әрқашан мәзірден шаурма немесе суши-ролл алатынбыз. Бүгін басқаша әзірді алып көрдік. Ұнамады. Өте майлы, дәмі тек ащысы бар Том-ям әзірі. Келсеңіздер тек шаурмаға келіңіздер. Бірақ соның өзіндеде шаурмаларыда дәмсіз болып бара жатыр. </t>
  </si>
  <si>
    <t xml:space="preserve">Бағалары сұмдық көтеріліп кетіпті! Клиент бар екен деп ойына келген бағаны қоюға болмайды ғой! Нашар, өте нашар </t>
  </si>
  <si>
    <t>Балаларды ойнататын тик токерлер орыс тілінде сөйлейді, қазақша өткізсе жақсы болар еді, қызмет көрсету сапасы төмен, Ал тағамдары өте дәмді, аспаздарға рахмет!</t>
  </si>
  <si>
    <t>Осы адреске барып, қатты көңіліміз қалып кетті. 1-шіден торттары қатып қалған, 2 - шіден обслуживание төмен дәрежеде.</t>
  </si>
  <si>
    <t>Екінші аяқ баспастай болып кеттік.</t>
  </si>
  <si>
    <t>Әкелген шайын дәмі бір түрлі болды, толық кайф алған жоқпын шайдан</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</si>
  <si>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</si>
  <si>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</si>
  <si>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</si>
  <si>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</si>
  <si>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</si>
  <si>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</si>
  <si>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</si>
  <si>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</si>
  <si>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</si>
  <si>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</si>
  <si>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</si>
  <si>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</si>
  <si>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</si>
  <si>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</si>
  <si>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</si>
  <si>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</si>
  <si>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</si>
  <si>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</si>
  <si>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</si>
  <si>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</si>
  <si>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</si>
  <si>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</si>
  <si>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</si>
  <si>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</si>
  <si>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</si>
  <si>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</si>
  <si>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</si>
  <si>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</si>
  <si>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</si>
  <si>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</si>
  <si>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</si>
  <si>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</si>
  <si>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</si>
  <si>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</si>
  <si>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</si>
  <si>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</si>
  <si>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</si>
  <si>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</si>
  <si>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</si>
  <si>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</si>
  <si>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</si>
  <si>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</si>
  <si>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</si>
  <si>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</si>
  <si>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</si>
  <si>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</si>
  <si>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</si>
  <si>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</si>
  <si>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</si>
  <si>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</si>
  <si>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</si>
  <si>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Осындай кухня зиянды, қалай пісіріп жатқаны белгісіз, майы көп, ыдыс-аяқ дұрыстап жұмайтын сияқты</t>
  </si>
  <si>
    <t>Басқа фаст фудпен салыстырғанда орташа деп айтуға болады</t>
  </si>
  <si>
    <t>Ішкі атмосфера ұнамады</t>
  </si>
  <si>
    <t>Тамақтары дәмді, бірақ сусындары қымбат екен.</t>
  </si>
  <si>
    <t>тамактарынан узын шаштар</t>
  </si>
  <si>
    <t>Маған ұнады!!! Мадинага рахмет!!</t>
  </si>
  <si>
    <t>Қазір тегін вай-фай міндетті түрде бұндай заведениеде болу керек деп ойлаймын</t>
  </si>
  <si>
    <t>0.5 пепси 790 тенге қымбат собой болмайды дейді халыққа емес қалталарына жұмыс істейді</t>
  </si>
  <si>
    <t>Қазақша меню жоқ екен өкінішті.</t>
  </si>
  <si>
    <t>Мынау не? Донер дәмсіз</t>
  </si>
  <si>
    <t>Барлығы жақсы, бірақ ешқай кафесінде WiFi жоқ! Орнатыңызшы. Адамдарға солай ыңғайлы болады!</t>
  </si>
  <si>
    <t>Мақтаған тамақтары онша емес екен</t>
  </si>
  <si>
    <t>Онша емес.</t>
  </si>
  <si>
    <t>Кызмет корсету жаксы емес уже бырыншы рет емес не быр заказды умытып кетет не лапшамы аз болад</t>
  </si>
  <si>
    <t>Кассаға барып заказ бересің, тамак акеп бергенге 8%, жоқ түсінем өздерің келіп заказ алсаңдар.</t>
  </si>
  <si>
    <t>Салеметсиздерме. Омиримде корген багасына сапасы сайкес келмейтин кафе. Тамагы жаман, дамди емес мулдем</t>
  </si>
  <si>
    <t>Тамақтары орташа, көп баратын жер емес</t>
  </si>
  <si>
    <t>Лас жер, тамақты 1 сағат күтесіз</t>
  </si>
  <si>
    <t>1 сағат күттік қой пловты, капец асықпайды</t>
  </si>
  <si>
    <t>Абылай деген жигит персоналда, баскалардан гори менюда жылдамырак комектескен. Сол гана унапты</t>
  </si>
  <si>
    <t>Кариманың пловтары өте дәмді, көбіне Достықтағысына барамыз, онда бәрі керемет: кухня, обслуживание. Бірақ бүгін Қ.Сатбаевадағы филиалында болдық: кухнясы өте нашар, гуйру лагманның майы ағып тұр, лепешкасы 3-4 күн тұрып қалған қатты болды, ауыстырып әкелуін сұрап едік, тура сол нанды ысытып әкеле салды.Гнездо глухаря салаты вообще не очень, өтірік өтірік дайындай салған! Ташкентский чай. Бағасына мүлдем лайықты емес!!! Именно Сатбаевадағы Каримаға бармауға кеңес беремін!</t>
  </si>
  <si>
    <t>Кеше бардык ифтар менюлары ужасный порцасы аз куйеуиме вообще унамады самсасы 4жасар бала жейтиндей Кир кишкентай хотя любой жерден первый второй самса нан шайы барин аласын .багасы берген тамагына арзымайд .ОРАЗА АЙЫНДА ХОЗЯИНВНА ОТЕ УЯТ ЕКЕН ОСЫ МЕНЮДЫ ЖАСАГАН.ешкимге не советую бармандар деп айтам</t>
  </si>
  <si>
    <t>Палауы енді сөз жоқ дәмді! Қызметкерлері жылдам, бұл да жақсы. Бірақ, мекеменің іші лас секілді көрінді, жан жақта жиналмаған столдар, бос орынның үстіндегі жай тұрған ыдыс аяқтар, тсс. заттар мекеменің көркін бұзып тұр. Кейде ойлаймын сол жағалаудағы карималар оң жағалаудағы карималардан несі артық деп?) бір қалада сияқты еді, бірақ интерьерлері Дубай мен Дели секілді.</t>
  </si>
  <si>
    <t>Қайырлы күн! Құрметті қала тұрғындары мыналардың еттеріне күмәнім бар. Шашылыктары тастай қатты. Мүлде дәмсіз. Анау қалаға акеліп сатып жүрген иттің еті сияқты көрінді маған. Тапсырыс беріп 1 сағаттан аса күткен шашылығы рәсуа болды. Жарнамалары сұмдық енді.</t>
  </si>
  <si>
    <t>Мынадай масқараны көрмеген екенмін. Іші өте суық, даяршылар мүлдем жұмыс жассмайды. Мерекемнің быт шытын шығарды Енді бармаспын</t>
  </si>
  <si>
    <t>Самсадан басқасының барлығы өте төмен сапада болды, дәмі де жақсы емес, цомян лағман соясыз,тіпті жұмыртқаны да қуыра алмайды, шәй ап ашы, ең арзан шайдың дәмі шығып тұр! Алдында дәмді болатын сіздерде , өкінішті</t>
  </si>
  <si>
    <t>Каримага келип өкіінндіік. даяршылардын кызмет корсетулери ужааас нооолььь деген бал. Биринши десерт пен кола акелди сосын барып ыстык тамакпен шай акелди омиримде ондай обслуживание ешкайда кормегем кааашмммар, ещё касык вилка жок бес саусакпен же деди, шай ишетин кеселерди ишине су толтырып алып келди. кыскасы бардааак</t>
  </si>
  <si>
    <t>Тамақтары тұрып қалған сияқты, прям свежий емес</t>
  </si>
  <si>
    <t>Мынау даяршылармен олардың достары өздеріне мықты мықты пікір жазып жатыр ғой</t>
  </si>
  <si>
    <t>Гуйру лагман кайф қой кайф, бірақ салаттың дәмі шамалы бір түрлі болды</t>
  </si>
  <si>
    <t>Залда біраз іс бар, жиі-жиі тазалық жасау керек сияқты</t>
  </si>
  <si>
    <t>Ыдыс аяқ таза емес, іздері бар</t>
  </si>
  <si>
    <t>Ресепшын Антон мулдем қазакша білейды, сурақтарға мулдем жауап бермеді,</t>
  </si>
  <si>
    <t>Біраз кемшіліктері байқалады: (1) қазақ тіліне көзқарастары жаман, тілдік кемсіту бар, (2) кейбір шамдар істемейді (3) кішігерім сусындар/снэктер табу қиын</t>
  </si>
  <si>
    <t>Супервайзерлер мен администратор өте нашар жұмыс жасайды. Жұмыстарына өте салақ қарайды, адамдармен сөйлесуі өте грубый. Офицант болып жұмыс жасауға кеңес бермеймін, сыйластықтары нашар, персоналдарды ауыстыру керек!!</t>
  </si>
  <si>
    <t xml:space="preserve">Недеген кымбат ресторан. Милионерлерге арналган нагыз. </t>
  </si>
  <si>
    <t>Салатта қосылған еттің дәмі бар! Официанттар школьники. Өздерімен өздері шулап, ұл балалар бір бірін қуып, ә десе мя деп сойлеп бір біріне</t>
  </si>
  <si>
    <t>28.08 сүндет той өткіздік. Біз келіскен қыз жоқ. Келіскен дастархан болмады. Муз. ақша алды. Апарған заттарымызды тығып қойған. Еще халалмыз дейді. Енді келмейтіндей болып кеттік. Адм басқаша, официант мүлдем басқаша айтады. Сөздерінің тұрағы жоқ. Ешкімге кеңес бермеймін.</t>
  </si>
  <si>
    <t>Салеметсиздерме кассадагы кыздарыныз ужас сондай кассир кормеппин адамдармен сойлесуди билмиди омири барсан жулкынып ерси кылыктар корсетип отырады ер кисилерге кулип сойлеп кыздарга окшиып жекирип береди уже баругада желаниям жок</t>
  </si>
  <si>
    <t xml:space="preserve">Мұнда қымбат екен. Не советую </t>
  </si>
  <si>
    <t>Ауызашарға шақырылдық. Манты ужас жеуге мүмкін емес. Іші ет емес, сіңір. Үят емес пе қасиетті айда өтірік етпен манты жасау. Шорпа дәмді, палау четверка, салаттар орташа. Ұнағаны- азан оқылды, және бізге қызмет еткен жас жігіт Айбат, тез, вежливый. Мұмтазға шақырылмасам-өзім таңдап баратын жер емес.</t>
  </si>
  <si>
    <t>бағасы өте қымбат, баруға кеңес бермеймін!</t>
  </si>
  <si>
    <t>Антисанитария уборка қайда</t>
  </si>
  <si>
    <t>Мадинанын тамагын жемендер….. Енудагылар тамак жасамандар ваще</t>
  </si>
  <si>
    <t>Ас тамақтары нашарлады, интерьер дизайны арзан.</t>
  </si>
  <si>
    <t>Телефон ешқашан алмайды</t>
  </si>
  <si>
    <t>Бағалары қымбат, арзандату керек</t>
  </si>
  <si>
    <t>Жауапсыз және немқұрайлы қызметкерлер</t>
  </si>
  <si>
    <t>Қызметі жаман, ешкім бетперде тақпайды, бәрі қымбат</t>
  </si>
  <si>
    <t>Тамағымнан шіркей шыққан</t>
  </si>
  <si>
    <t>Заказымды 40минут куттим,10-15минутта келеды дешен.45 минкт откенсонда келмед.уакытты боска алды</t>
  </si>
  <si>
    <t>Сбережениигі филиал плов жедім өте дәмсіз. Екен майлы құсқым келді</t>
  </si>
  <si>
    <t>Сынық кеселермен шай береді</t>
  </si>
  <si>
    <t>Бағасы қымбат емес дәмді тамақтанатын орын</t>
  </si>
  <si>
    <t>Сәлеметсіздер ме? Елшібек Батыр көшесінде орналасқан "Мизам" кафесі санитарлық тазалығы жағынан өте лас, таракандардың бірі кіріп, бірі шығып жүр. Екінші жағынан столдардың айналасы шаң тозаң. Еңбекіші ауданына қарасты сэс орталығына АКТ жазып кеттік. Администратор кешірім сұраған жоқ. Не істесең оны істе дегендей, жазған АКТ-қа қолын қойып кетті. "Мизам" кафесіне аяқ аттап бармаспын. 07.03.2022 жылы болған күн</t>
  </si>
  <si>
    <t>Елшібек батыр көшесінде орналасқан "Мизам" кафесінің санитарлық жағынан өте лас. Посудалары таза емес, дақ, обслуживание клиентов өте нашар. Таракандар бірі кіріп,бірі шығып жатыр. Біз отырған столдың жаны лас, жан жағы мусор. Даяшы мен администраторына көрсеттік былқ етпеді, кафенің ластығын мойындамақ түгілі кешірім сұрау жоқ. Дәлел ретінде түсіріп алған суреттерімді жүктеймін. Көрмегенім Мизам кафесі болсын. Санэпидем станциясы қайда қарап отыр екен??? Осы оқиға 07.03.2022 орын алған.</t>
  </si>
  <si>
    <t>Карточкамен төлеу аппаратын дұрыстасаңыздар!</t>
  </si>
  <si>
    <t>Официант менюді жөнді білмейді,стол не вытирают,и заказды тез тез бер баска адамдар күтіп тұр деп.Говяжий суптан баска тағамдары норм,және тазалықтары өте нашар.Именно Момыұлыдағы мизам</t>
  </si>
  <si>
    <t>Қызметкерлері ұнамай щығып кеткен едім. Содан кейін кіргім келмей кетті. Бірақ басқа жердегі Мизамға барамын.</t>
  </si>
  <si>
    <t>қызмет көрсету деңгейі төмен</t>
  </si>
  <si>
    <t>Сервис өте жәй Заказ берген соң бір сағаттан көп уақыт күттік! Кеңес бермеймін</t>
  </si>
  <si>
    <t>14.07 осында таңғы ас ішуге келдік, менюда таңғы асқа кіретін бөректі көрсетіп, бірақ шындығына келгенде бөректің жоқ болғаны ұнамады. Официанттар жоқ болып кетеді</t>
  </si>
  <si>
    <t>Ассорти кәуапта еті аз, бағасына сай емес, кола сұрасаң, 1штук қалды дейді, пахлава свежий емес, бағалары ҚЫМБАТ, тамақтары бағасына сай емес! Бұл бағаға Sandyq restoranda жақсы отырасын!</t>
  </si>
  <si>
    <t>07.07.2021 бірінші рет бардым бұл кафеге және ол соңғысы админстраторға бастық шақыр десек көрші столда отырған бастығын жоқ деп алдап шақырмады. Минустары Десерты свежее емес Админстратор -100% Калкуляторы жок біздің телефоннан есептеп берді Донер сирой шикі</t>
  </si>
  <si>
    <t xml:space="preserve">Ыдыстары жуылмаган таза емес </t>
  </si>
  <si>
    <t>адамдар тамақ ішуге келеді ғой, тамақ жоқ!</t>
  </si>
  <si>
    <t>ауызашарда масқара болдық 1 сағат күттік</t>
  </si>
  <si>
    <t xml:space="preserve">Өте нашар қызмет көрсету, тамақтары тым кеш келеді </t>
  </si>
  <si>
    <t xml:space="preserve">Қызмет көрсету өте өте нашар. </t>
  </si>
  <si>
    <t>Тамақтары орташа, бағасы тиімді</t>
  </si>
  <si>
    <t>аса қатты ұнаған жоқ</t>
  </si>
  <si>
    <t xml:space="preserve">ужасный сервис, администраторша очень грубая, істеген істері прям міндет қой!! </t>
  </si>
  <si>
    <t>Трубканы вообще алмаиды. Сапа ноль</t>
  </si>
  <si>
    <t>Донер дайындауы оте томен сапада, Кетчуп пен Майонезі толтырып сорпа кылып береді, Баска тагамдарына кенес беремін</t>
  </si>
  <si>
    <t>24/7 ыстимз деп алып сагат 5 те жауып тастады карным аш калып кеттым далада жатырмын</t>
  </si>
  <si>
    <t>Менюдегі цена осындағы менюдегі ценамен сәйкес емес, отыратын место жоқ пока с собой күтіп тұрғанша. бағасына дәмі сәйкес келмейді</t>
  </si>
  <si>
    <t>Отстой, бармандар халкым басын истесе</t>
  </si>
  <si>
    <t>доставка 1:30 сагат ещё заказ умытып кеткен</t>
  </si>
  <si>
    <t xml:space="preserve">Заказ дым қабылдай алмайд ұзақ күтесің доставка ұзақ </t>
  </si>
  <si>
    <t>Круглосуточно емес</t>
  </si>
  <si>
    <t>Узак кутемыз</t>
  </si>
  <si>
    <t>не заказывайте арзымайды</t>
  </si>
  <si>
    <t>Заказ бергенимизге 2 сагат болды али акемеди.доставшик грубый богауыз соз аитып машинадан туспи отырды.заказымызды каита акетип.не акшамызды не тамагымызды бермеди.алаяктар.</t>
  </si>
  <si>
    <t>Вобще нашар, лавашты 50+ минут күттік, недеген сұмдық, не советую, енді келмейтіндей болдық</t>
  </si>
  <si>
    <t>Өте жаман заказды дұрыс алмады ешкімге ұсынбайм заказды 30 мин күттім оныда дұрыс апкелмеді тағы қатты сөлеп тұр</t>
  </si>
  <si>
    <t>Тагамдары мулдем унаган жоқ</t>
  </si>
  <si>
    <t>жакпай жатса акшанызды кайтып алыныз! Осындай жауап бола ма?</t>
  </si>
  <si>
    <t>Донердың ішіңде шыбын шықты!!!!аппетитің бәрің бұзды. Ақшасың қайтармады. Антисанитария!</t>
  </si>
  <si>
    <t>Доставкалары өтірік алдайды, 580 тенге деп жазылған жерден 1320 тг алды.</t>
  </si>
  <si>
    <t>Шаурмасы кушты негызы но сол жердегы кыз Су колымен салфетканы бересалт</t>
  </si>
  <si>
    <t>Етті дұрыс пісірмеген повар</t>
  </si>
  <si>
    <t>Ужас вообще куйып кеткен шаурманы салып жыберген собойга ещё куйыктын иысы шыгып тур.</t>
  </si>
  <si>
    <t>Лаваш суып қалған мұздай фри қатты күйіп кеткен қанша рет айттым фольгамен орап жіберші деп қағазға салып жібере салға 1 сағат тан кейін келді кешігіп</t>
  </si>
  <si>
    <t>Узак дайындалады.Персоналдары арнайы столда отырып алган.Сал столды таза суртсе боладыгой.Айтпесе блмим кыздар коп журеды.Оперативность жок.</t>
  </si>
  <si>
    <t>ен нашар заведения. персонал оз жумыстарын билмейди. тамактары ашып кеткен (бургер ишиндеги коспалары). тазалык мулде жок.</t>
  </si>
  <si>
    <t>Оте нашар откенде бир шаурма алдым ишинен шаш па или кыл ма билмедим шыкты бирак екинши рет отип баражатсам шаурма лавашка деген етти жерге тускенин кордим и карасам алып шаурмага кайтан салып отыр это ужас ещё касында мысык отыр</t>
  </si>
  <si>
    <t>Кішкентай әрі қымбат бірақ тәтті</t>
  </si>
  <si>
    <t>Кыздарынызга кишкене этика и эстетика дегенды уйретсеныздершы! Клиентпен калай сойлесуды билмейды! Грубиянка бари канша жылдан бери истеседе билмейды клиентке калай сойлеуды! Бурыннан сиздердн шаурмаларынызды жеушы едим! Енди соган бола ешкашан заказать етпимын! В общем рахмет -1клиент</t>
  </si>
  <si>
    <t>Тауке хана 14. 23.04.2023ж лаваштары нашар болып келді. Ақшасын төлеген соң жаксы қылып берсе боладғо. Ішінің бәрі сүйек жей алмайсыңда. Жазсаң ответ бермиді ещё оқып. Ақшаларында адалнан таппайма блин</t>
  </si>
  <si>
    <t>Ужасный обслуживание ещё бургер алу не стоит, невкусный Күтіңіз деп 50 минутта груба сөйлеп кетті</t>
  </si>
  <si>
    <t xml:space="preserve">Біз 2донер заказ бердік 50 минутта 3рет айтып зорға алдырдық. Бізден кейінгі келген адамдардың бәріне заказдарын әкеліп берді масқара адам деген солай обслуживать етема </t>
  </si>
  <si>
    <t>Наличный оплата жоқ. Заказ беру үшін обезательно каспиде акша болу керек</t>
  </si>
  <si>
    <t>жауапкершылык кайда</t>
  </si>
  <si>
    <t xml:space="preserve">Заказ берсең ұмытып кетеді баруға кеңес бермеймін </t>
  </si>
  <si>
    <t>Чикендери ен арзан тауык кишкентай. Дамсиз. Фри кишкентай. Мега жактагы донерка ужаас</t>
  </si>
  <si>
    <t>Жұмыстың обедке берілген уақытының бәрі осыларды күтумен өтті. Енді бармаған жерім осы болсын. Етті санап салыпжатқандай сөз жоқ мыналарға 1 лавашты 40 минут жасау деген не сұмдық.</t>
  </si>
  <si>
    <t>Тек 22.00ге дейн істейді</t>
  </si>
  <si>
    <t>Доставкамен алдырсам ішіне дым салмаған, LCдің минилавашындай ақ не деген сұмдық бұл</t>
  </si>
  <si>
    <t>Чиккендері күйіп кеткен өте нашар</t>
  </si>
  <si>
    <t>Өте нашар Заказды бір емес бірнеше рет шатастырады өте лас стулдын үстін бірнеше рет айтқан соң сүртіп алды бұнда келуге сіздерге совет бермеймін</t>
  </si>
  <si>
    <t>Тел көтермиді каз звандаймыз деп</t>
  </si>
  <si>
    <t>Жангелдиналағы сотрудниктері бей әдеби қызмет көрсетеді. Залда адам бар екен демейді шулап мазаны алады. Ескерту жасалсада базарда жүргендей</t>
  </si>
  <si>
    <t>24 сағат деп жазылып тұрғаны өтірік, сағат 8дерде барғанбыз екеуіне, екеуі де істемей тұр</t>
  </si>
  <si>
    <t>Шаурма мал</t>
  </si>
  <si>
    <t>Заказды 2 сағат кутесін</t>
  </si>
  <si>
    <t>Өте нашар ішінде бір түйір ет қана тырнақтай тауықтың еті үшін 650 теңге төлеү ақымақтық. Ішін чипсы мен толтырып береді</t>
  </si>
  <si>
    <t>Тағамдары өте керемет,ең тартымдылығы Халал болғаны күшті. Атмосферасы да өте керемет. Дами беріңіздер,Алла разы болсын</t>
  </si>
  <si>
    <t>Тамақтары оңша қатты дәмді емес</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</si>
  <si>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</si>
  <si>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</si>
  <si>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</si>
  <si>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</si>
  <si>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</si>
  <si>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</si>
  <si>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</si>
  <si>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</si>
  <si>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</si>
  <si>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</si>
  <si>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</si>
  <si>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</si>
  <si>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</si>
  <si>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</si>
  <si>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</si>
  <si>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</si>
  <si>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</si>
  <si>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</si>
  <si>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</si>
  <si>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</si>
  <si>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</si>
  <si>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</si>
  <si>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</si>
  <si>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</si>
  <si>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</si>
  <si>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</si>
  <si>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</si>
  <si>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</si>
  <si>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</si>
  <si>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</si>
  <si>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</si>
  <si>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</si>
  <si>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</si>
  <si>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</si>
  <si>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</si>
  <si>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</si>
  <si>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</si>
  <si>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</si>
  <si>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</si>
  <si>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</si>
  <si>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</si>
  <si>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</si>
  <si>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</si>
  <si>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</si>
  <si>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</si>
  <si>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</si>
  <si>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</si>
  <si>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</si>
  <si>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</si>
  <si>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</si>
  <si>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</si>
  <si>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</si>
  <si>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</si>
  <si>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</si>
  <si>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</si>
  <si>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</si>
  <si>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</si>
  <si>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</si>
  <si>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</si>
  <si>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</si>
  <si>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</si>
  <si>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</si>
  <si>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</si>
  <si>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</si>
  <si>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</si>
  <si>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</si>
  <si>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</si>
  <si>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</si>
  <si>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</si>
  <si>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</si>
  <si>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</si>
  <si>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</si>
  <si>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</si>
  <si>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</si>
  <si>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</si>
  <si>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</si>
  <si>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</si>
  <si>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</si>
  <si>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</si>
  <si>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</si>
  <si>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</si>
  <si>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</si>
  <si>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</si>
  <si>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</si>
  <si>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</si>
  <si>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</si>
  <si>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</si>
  <si>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</si>
  <si>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</si>
  <si>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</si>
  <si>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</si>
  <si>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</si>
  <si>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</si>
  <si>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</si>
  <si>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</si>
  <si>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</si>
  <si>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</si>
  <si>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</si>
  <si>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</si>
  <si>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</si>
  <si>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</si>
  <si>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</si>
  <si>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</si>
  <si>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</si>
  <si>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</si>
  <si>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</si>
  <si>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</si>
  <si>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</si>
  <si>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</si>
  <si>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</si>
  <si>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</si>
  <si>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</si>
  <si>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</si>
  <si>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</si>
  <si>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</si>
  <si>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</si>
  <si>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</si>
  <si>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</si>
  <si>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Капуччино ұнамай қалды, майлы</t>
  </si>
  <si>
    <t>Үйге доставка көп уақыт алады</t>
  </si>
  <si>
    <t>Доставкада торттарды салуын ұмытып қалды</t>
  </si>
  <si>
    <t>Кофе мықты енді, бағалар жағынан тығыздау екен</t>
  </si>
  <si>
    <t>Үстелдерді дұрыстап жинамайды, даяршылар ұйықтап жүреді</t>
  </si>
  <si>
    <t>Оператор жауапкершілігі жоқ.  Жактырмаи соилеп отыр.  Оз жұмысын толық блмеитын кыз</t>
  </si>
  <si>
    <t>461</t>
  </si>
  <si>
    <t>462</t>
  </si>
  <si>
    <t>463</t>
  </si>
  <si>
    <t>464</t>
  </si>
  <si>
    <t>465</t>
  </si>
  <si>
    <t>466</t>
  </si>
  <si>
    <t>Намазхана бар, өте комфортты, дизайны әдемі жер, креативты бар касса, күшті жер, тек телефонмен бакырып сөйлесетін апайлар болмаса</t>
  </si>
  <si>
    <t>кухнясы нашар</t>
  </si>
  <si>
    <t>2ге дейн жумыс жасамайды екен, полный отстой</t>
  </si>
  <si>
    <t>Қызмет көрсету сапасы өте төмен!</t>
  </si>
  <si>
    <t>Кафе емес хрень ғой</t>
  </si>
  <si>
    <t>1пиццаны 40минут куттым оте жай стеиды екен нашар</t>
  </si>
  <si>
    <t>467</t>
  </si>
  <si>
    <t>468</t>
  </si>
  <si>
    <t>469</t>
  </si>
  <si>
    <t>470</t>
  </si>
  <si>
    <t>471</t>
  </si>
  <si>
    <t>472</t>
  </si>
  <si>
    <t>Кеше осы рестораннан тапсырыс берген едім тауық қанаттары және пицца тапсырысым жылдам 27 минутта келді мен қуандым бірақ ол ұзақ болмады, қанатттаралдын дайындалған қатты және ескі болды соңына дейін жемедім. Ал пиццаға келер болсам ол 10 нан 5 мүн күткенімдей емес. Пікірді бүгін қалдыруым себебі тауықтың қанаттары олар балғын емес. Әттең маған бұл асхананы қатты мақтаған еді. Бірақ екі жұлдыз олардың мені әлемі алдағаны үшін. Енді сіздерге болмаймын және тапсырыс бермеймін. Сіздерге рахмет.</t>
  </si>
  <si>
    <t>Оте узак дайындайды тагамдарды</t>
  </si>
  <si>
    <t>Унаган жок, администратор клиентпен сойлесуди билмейди, коп тамактары жок, менюдын багасы отирик, менюдан болек багалар койып койган ауызбен айтатын! Шашлык заказ берсен минимум 5 штук, так что жалгыз баруга болмайды!</t>
  </si>
  <si>
    <t>Кассадағы қыз адамға менсімбей жауап береді. Қазақ тілінде сөйлестім. Менің алдымда екі адам орысша сөйлеп заказ берді. Менен кейінде орысша сөйлейтін клиенттер болды. Барлық орыс тілді клиенттермен жақсы сөйлесті. Мені қазақша сөйлескенімді менсімбей, сұрақтарыма дөрекі жауап алдым. Мен үш тілде сөйлесе аламын. (23.02.2022 кешкі 20:30 шамасында)</t>
  </si>
  <si>
    <t>Енді осы жерге аяғым баспас</t>
  </si>
  <si>
    <t xml:space="preserve">Тамақтардан таңдау аз, көбірек болса </t>
  </si>
  <si>
    <t>Кафеде бағалары қымбат вапще</t>
  </si>
  <si>
    <t>Туалеттер нереально сасиды, уборка қайда?!!!</t>
  </si>
  <si>
    <t>Осы жерде компаниямен Жаңа жылды қарсы алдық, тамақтары жақсы бірақ сервисіі баяу</t>
  </si>
  <si>
    <t>Дым выбор жоқ тамақтан . Енді келмейміз. Ұзақ күттіріп қойды.</t>
  </si>
  <si>
    <t>Интерьер ғана норм болмаса қалғаны оңша емес</t>
  </si>
  <si>
    <t>Арнайы палау жеуге барып едым, екі-үш кун тоңазытқышта тұрып қалған сияқты тамақ алып келді, жаңа жылытқаны көрініп тұр. Дәмсіз, мүлде ұнамады. Шолохов көшесі бойындағы мекемесінде де тап осындай жағдай. Кірген кезде тіке қарсы тұрған бөлмеде отырдым, үстелдердің орналасуы өте тар, орындықты қозғасаң көрші үстелде отырған адамдарға тіреліп, кедергі келтіреді.</t>
  </si>
  <si>
    <t>Негізі бәрі ұнады, бірақ порциялар кішкентай екен</t>
  </si>
  <si>
    <t>Кешіріңіз, мен 8 наурызда шамамен 12:30-13:00 сағатта сізден алған шорпаның картошкасы қатты, соңына дейін піспеген болды және палаудың қазысы иістеніп, бұзылып кеткен болды. Бұл туралы официантқа айтқанмын, бірақ ешқандай шара қолданбай, кешірім сұраған жоқ, сондай-ақ толық сомасын төледім. Бұл туралы жазған алдыңғы коментарийді өшіріп тастады</t>
  </si>
  <si>
    <t>обслужка оте нашар жакында еще офицантка Асылжан телефон жерге тусіріп телефонымды сындырып тастат Админкасы дым битирген жок ужасно</t>
  </si>
  <si>
    <t>Қызмет көрсету нашар</t>
  </si>
  <si>
    <t>Офицанттар грубо,шәйлары суық,тамақтары да суық шамалы</t>
  </si>
  <si>
    <t>1 сагат пицца куттик и то акелмеди.</t>
  </si>
  <si>
    <t>Шынымен порциялар азайып кетті, кризис па?</t>
  </si>
  <si>
    <t>Ыңғайсыз жерде орналасқан кафе, тым алыс</t>
  </si>
  <si>
    <t>Жақсы жер. Бастысы кофе ішетін орын бар)</t>
  </si>
  <si>
    <t>Алматыдағыдай емес екен. Адам аз, күткендегідей болмады</t>
  </si>
  <si>
    <t>Кофе қымбат</t>
  </si>
  <si>
    <t>Қазан кебаб заказ бергенбіз,менюда баска ,алдымызға тарелкаға салып алып келген. Алдын ала ескету жоқ,ол сковордкада арнайы алып келу керек еді. Ожидание и реальность болды. Официант дөрекі жауап берді. Момын болсаң басыңа шығады. Барғанда зіркілдеп талап ету керек екен. Одан қалса заказдарды шатастырып алып келеді.</t>
  </si>
  <si>
    <t>Тапсырыс берген тамақты ұзақ күтесин. 50 мин күттік бүгін, 08.06.18 . Бүгін біздің тапсырыс емес деп жеп отырған тамақты алып кетіп, сол тамақ сіздердікі екен деп қайта әкеліп берді. Басқа ыдысқа салып берген сон түсінбестік болды деп даяршы жауап берді ғой.</t>
  </si>
  <si>
    <t>Порциялары азғантай, бағасы қымбаттаған, дайындау уақыты өте ұзақ</t>
  </si>
  <si>
    <t>Тағамдары дəмді емес.Даяшылардың қызмет көрсетуі сапасы нашар.👎.Əжетхана тазалығы нашар,ыстық су жоқ. …</t>
  </si>
  <si>
    <t>Коп тамактар болмады,кызмет корсету нашарлау</t>
  </si>
  <si>
    <t>Лағманның шөбі көп екен.</t>
  </si>
  <si>
    <t>Тамағы қымбаттау.</t>
  </si>
  <si>
    <t>Қызмет сапасы төмен</t>
  </si>
  <si>
    <t>Үнді елінің тағамдарын ұнатса6ыздар, осында келіңіздер. Бағалары орташа. Дәмі жақсы. Ертеңіне іштеріңіз өту мүмкін. Орналасқан жері күшті.</t>
  </si>
  <si>
    <t>Тамагы өте нашар, тек дамдендыргыш ғана, ашы, дәмсіз, тамагы аз, бағасы қымбат, бір жеген адам екінші жемес</t>
  </si>
  <si>
    <t>Бұл мекеме тамақты көп уақыт күтесің</t>
  </si>
  <si>
    <t>Қызмет көрсетуі нашар, тамағымды әкеліп бермеймін, официанттары нашар</t>
  </si>
  <si>
    <t>Қызметі нашар. Ұзақ күтесін тапсырысты.</t>
  </si>
  <si>
    <t>өте керемет продукты бағасын арзандату керек! және кофесі ерекше</t>
  </si>
  <si>
    <t>Бағасы қымбат! Ішінде вытяжка жасамайды, тамақтың иісі қатты шығып тұр. Үстімізге сіңіп қалды.</t>
  </si>
  <si>
    <t>Сәлематсіз бе, Каспий QR - пен төйлем жасай алмайсын. Сол жағы ұнамайды. Сет ұстамайды магазиннің ішінде, сет ұстау үшін далаға шығу керек.</t>
  </si>
  <si>
    <t>Тағамдар өте қымбат. Бағасына лайықты емес. Обслуживание жақсы екен бірақ</t>
  </si>
  <si>
    <t>Тамақтарында еттері өте қатты. Əсіресе кəуəпта. Даяршылар берген тапсырысты қайта қайта ұмытып қала береді. Нанды 4 рет қайта қайта сұрап ақыры əкелді. Онда да басқа нана əкеліп тұр біз сұрағандай емес. Шетелдік қонағымыздан ұят болды. Олар уксус сұратып еді бірнеше ре айтып ақыры əкелмеді. Тіпті администраторына да айттық ол да Ия деп кетіп қалды. Сөйте тұра өте көп ақша төледік. Соңында берген ақшамыз ірі болып олардың сдачалары болмай 100 теңге үшін 10 минут тұрдық. Ақыры түркиядан келген қонағымызда 1 лира болып соны беріп əрең құтылдық. Баратын жер емес екен</t>
  </si>
  <si>
    <t>Нашар 1 порция бешбармак 4000 ТГ вопше не стоит нашар</t>
  </si>
  <si>
    <t>Орналаскан аймагы тамаша 😉 Биз кешкилик уакытта болдык Женил-желпи тамактанып, чай ишип алайык деп! Персоналы коп сиякты (официанттары асиресе))) Кутип алды, бирак коштасу жокпа дедим. Как говорится, никакой реакции. Как стояли и так стояли , пока я не ушел. Жаль. Ну бывает)) Кыскасы, бир дискомфорт байкалып калды. Алде оздери шаршап журме! Но за это они же хорошие деньги получают. И думаю им нужно над персоналом и над кухней поработать.. Это чисто субъективное мнение. Из за этого, пока только такие оценки.</t>
  </si>
  <si>
    <t>Қызмет көрсету сапасы дұрыс емес. Қарапайым газсыз су жоқ.</t>
  </si>
  <si>
    <t>Не советую • Обслуживание жаман; • Тамақтары шикі, дұрыс піспеген;</t>
  </si>
  <si>
    <t>Ұнамады Өте нашар, беспонтовый</t>
  </si>
  <si>
    <t>Ауыз ашарда өзіміді өзіміз күтіп шаршап қайттық.Ұнамады.Енді қайтып "Халва" мейрамханасына бармайтын болдық.Рахмет.</t>
  </si>
  <si>
    <t>Қызмет көрсету деңгейі өте нашар</t>
  </si>
  <si>
    <t>Обслужовение шамалы,офицанттар шайды акелип болмайт,жап жас оқушы балдар.сервировка жетпит.касыктары толык 350 адамға əкелинбет.жастар отыратын столға вообще қасық апармаған.4 адамға бир касык берген .жастарға офицант почти келмеген.офицанттарды көбейту керек.сосын ваза мен бокалдарды чехолға суртип тұр</t>
  </si>
  <si>
    <t>Енді той жасамаспыз ағайындарыма да кеңес берем жасамасын деп адменистратор өте нашар адам екен 2 мил н алып алды тамақ тамақ емес апарған еттерді ауыстырып жіберген столдағы тамақтардың дәмі жоқ музыканы әлсін әлсін тоқтата береді адам басын санап жүр столда отырғанда ыңғайсыз желкеңнен қарап тұрады. БАСҚА ТОЙХАНАЛАРҒА ЖАСАҢДАР СОҢЫНАН ӨКІНБЕС ҮШІН РАЧ СӨЗІМ.</t>
  </si>
  <si>
    <t>Өте лас жуады балшықтарын дұрыс жумайды</t>
  </si>
  <si>
    <t>Өте қымбат. Но бағасы сервиске сай емес. Зал өте суық, тоңып, ауырып қалдық. Поровой қоспаған. Ыдыстары сынық. Бешбармақтың еті өте құрғақ. Салаттары дәмсіз. Туалетінің суы жәй ағады. Раковинаның суы суық. Не рекомендую.</t>
  </si>
  <si>
    <t>Тазалыққа көп мəн беру қажет жəне тапсырысты тым ұзақ күту керек болады</t>
  </si>
  <si>
    <t>Жалпы жаман емес. Төмен баға қойған себебім: Барлық ақпараттар және мәзір тек орыс тілде. Мем.тіл қазақ тілі бола тұра осындай жағдайдың орын алуы өкінішті. Асхана Басшылығынан кемшілікті дереу дұрыстауын талап етемін.</t>
  </si>
  <si>
    <t>Мен үнемі Базиликке барамын. Бүгінгі салат бізге ұнаған жоқ</t>
  </si>
  <si>
    <t>жақсы ыңғайлы.</t>
  </si>
  <si>
    <t>Пиццалары дәмді екен.</t>
  </si>
  <si>
    <t>Неге екенин білмедім сиыр еті тоңып қалған, əрі дəмі де жоқ, маған ұнамады</t>
  </si>
  <si>
    <t>Шашлыктың еті қатты</t>
  </si>
  <si>
    <t>Жақсы ізденген заттарды табуға болады алысқа бармай</t>
  </si>
  <si>
    <t>Кухня дамди, обслуживание ноль. Узаааак кутесин</t>
  </si>
  <si>
    <t>Шашлыкке баруға болады енді, ондай керемет емес.</t>
  </si>
  <si>
    <t>Барі жақсы. Ең кажетті әжетханасы өте нашар. Не суы ақпайды, не дәретхана қағазы жоқ. Админстр.қауымы сол жағына көңіл бөліңіздер. Кеше біраз адам ағаш арасын аралауга мәжбүр болды.</t>
  </si>
  <si>
    <t>өтте нашар кафе,кир лас,ыстық кондиционер жоқ,қызмет көрсету жағы унамады.</t>
  </si>
  <si>
    <t>Огонек вы лучшие!!! Хотя сама живу на левом берегу . Бүгін Анамның туылған күніне орай алып келдім кухня өте дəмді,ОФИЦАНТ САГАТ РАХМЕТ СІЗГЕ!!! САГАТ ПРОФИ.СвОЕГО ДЕЛА!!!</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</si>
  <si>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</si>
  <si>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</si>
  <si>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</si>
  <si>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</si>
  <si>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</si>
  <si>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</si>
  <si>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</si>
  <si>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</si>
  <si>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</si>
  <si>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</si>
  <si>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</si>
  <si>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</si>
  <si>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</si>
  <si>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</si>
  <si>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</si>
  <si>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</si>
  <si>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</si>
  <si>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</si>
  <si>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</si>
  <si>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</si>
  <si>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</si>
  <si>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</si>
  <si>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</si>
  <si>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</si>
  <si>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</si>
  <si>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</si>
  <si>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</si>
  <si>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</si>
  <si>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</si>
  <si>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</si>
  <si>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</si>
  <si>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</si>
  <si>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</si>
  <si>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</si>
  <si>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</si>
  <si>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</si>
  <si>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</si>
  <si>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</si>
  <si>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</si>
  <si>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</si>
  <si>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</si>
  <si>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</si>
  <si>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</si>
  <si>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</si>
  <si>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</si>
  <si>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</si>
  <si>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</si>
  <si>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</si>
  <si>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</si>
  <si>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</si>
  <si>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</si>
  <si>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</si>
  <si>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</si>
  <si>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</si>
  <si>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</si>
  <si>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</si>
  <si>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</si>
  <si>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</si>
  <si>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</si>
  <si>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</si>
  <si>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</si>
  <si>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</si>
  <si>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</si>
  <si>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</si>
  <si>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</si>
  <si>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Заказды тез, ары дамды кылып жасайды</t>
  </si>
  <si>
    <t>Тема жигитер Рахмет</t>
  </si>
  <si>
    <t>Дәмді! Тойымды! Таза! Бастысы халал</t>
  </si>
  <si>
    <t>Оте дәмді тоиымды багалары да колжетымды жаксы</t>
  </si>
  <si>
    <t>Рахмет адемі болды бургерлеріңіз. Олжас деген жігіт жақсы істейді екен. Супер</t>
  </si>
  <si>
    <t>Бургер супер дамды екен оте унады ! Енды кайта кайта келемыз</t>
  </si>
  <si>
    <t>Сощный ыстық свежий вообще супер тойымды</t>
  </si>
  <si>
    <t>Бургер оте дамди сапалы халала Бик Сман Ерсултан жасап берди унады</t>
  </si>
  <si>
    <t>Бургерлері өте дәмді қызмет жақсы көрсетеді Бір жесең өзің іздеп келесің кеп көріңдер дәмін</t>
  </si>
  <si>
    <t>Қызмет көрсету жылдам, бургер өте дәмді!</t>
  </si>
  <si>
    <t>Оте дамды болды жыгытерге рхмет конылдегыдей истеп берды</t>
  </si>
  <si>
    <t>Керемет өте дәмді бургерлер тек Бахандиде</t>
  </si>
  <si>
    <t>Өте дәмді! Қызмет көрсету сапасы 5! Айдос красавчик!</t>
  </si>
  <si>
    <t>Өте дәмді бургерлер! Рақмет, bahandi! Отбасымызбен бірге бургер жеп кетеміз!</t>
  </si>
  <si>
    <t>жақсы қызмет көрсетілді.тамаша.Жигиттер жақсы қарсы алып,ойдағыдан аса қызмет көрсетті үлкен рахмет!!</t>
  </si>
  <si>
    <t>Керемет Аллах разы болсын</t>
  </si>
  <si>
    <t>Жарты сағат күтіп кофе іше алмадық. Бариста орнында жоқ. Coffe shop басшыларна ескерту беру керек. Абсолютно жарты сағат күттік ешкім келмеді.</t>
  </si>
  <si>
    <t>Қызмет көрсетуі өте жоғары Қолжетімді бағада барлық тағамдары!</t>
  </si>
  <si>
    <t>Кәусар шайханасының ішкі дизайны жақсы жасалынған+таза.Тамақтары дәмді әрі тойымды. Офицанттары өз жұмыстарын жақсы біледі. Меніңше олардың табыс мөлшерін басшылық көтеру керек</t>
  </si>
  <si>
    <t>Каусар шайхананың тағамдары көңілімнен шықты күшті керемет басқаларға айтарым келіңіздер өте жақсы</t>
  </si>
  <si>
    <t>Тамактары оте кушти, ауызбен айтып жеткизе алмаймын</t>
  </si>
  <si>
    <t>Керемет обслуживание 10|10 Тамактарда кушты</t>
  </si>
  <si>
    <t>Туркестанда бундай керемет тагамдар болады деп ойламагам, оте керемет, Шымкенттын Каусары сиякты жаксы екен, багаларыда кол жетымды</t>
  </si>
  <si>
    <t>Оте тамаша жер,музыкасы 100%супер,тагамдары,офисанттары оте сыпайы,красавчик админдери оте киши пейл оте сапалы оз жумысынын маманы 100%конилимнен шыкты!!!</t>
  </si>
  <si>
    <t>Оте тамаша жер,келгениме окинбедим конактарымда ырза,баринизге баруды кенес беремин.</t>
  </si>
  <si>
    <t>Отбасымызбен отырып, керемет әсер алдық, тағамдары өте дәмді, десерттері де керемет, рахмет үлкен, сіздердің тұрақты қонақтарыңыз боламыз</t>
  </si>
  <si>
    <t>Каусар шайханасы рақмеет көп көп сіздерге тағамдарыңыз ұнады</t>
  </si>
  <si>
    <t>Каусар шайханасы қазақи, әр қашан домыра үні ойналып, шабытыңды ашады тағамға деген</t>
  </si>
  <si>
    <t>Керемет тағамдары.Келуге тұрарлық жер</t>
  </si>
  <si>
    <t>Каусар чайханасының тағамдары өте дәмді, қызмет қөрсету сапасы өте жоғары</t>
  </si>
  <si>
    <t>Тамактары кушты</t>
  </si>
  <si>
    <t>Құрметті Тұркістан обылысың тұрғындармен қонақтары сіздерді біздің. Каусар шайханасына шакырамыз. Бұл жердің тамактармен офиктеріне көңілің толады. Әсіресе Администратор Бастыктарна алғысымыз шексіз. Сіздерді кутемміз</t>
  </si>
  <si>
    <t>өте керемет заведение маған ұнады шашлыктері дәмді лимонадтарыда өте күшті осындай Кәусар сияқты шайханалар көп болсын</t>
  </si>
  <si>
    <t>Каусардын тамақтары өте күшті келулеріңізге совет берем</t>
  </si>
  <si>
    <t>Өте дәмді тағамдар ,жоғарғы деңгейдегі қызмет,керемет атмосфера</t>
  </si>
  <si>
    <t>Маған тағамдары ұнайды, ерекше дәмді</t>
  </si>
  <si>
    <t>Бәрі керемет! Тагамдары зор</t>
  </si>
  <si>
    <t>Тағамдары өте дәмді</t>
  </si>
  <si>
    <t>Бәрі керемет!</t>
  </si>
  <si>
    <t>Ужасный кафе хозяйкалары сотканы жулып уруга дайын тур ноутбукпен отыргызбайды</t>
  </si>
  <si>
    <t>Өте керемет қазақтың иісі аңқып тұратын мейрамхана!!</t>
  </si>
  <si>
    <t>Қазақы құндылықтарға сай мейрамхана, астары өте дәмді</t>
  </si>
  <si>
    <t>Осындай қазахи дәстүрімізді қонақтарымызға ұсына алатындай ресторан барына ризашылығым шексіз.Тамақтары өте керемет,ресторанның атмосферасы,ойнаған әуендері өте керемет.Істеріңізге береке берсін,</t>
  </si>
  <si>
    <t>Тамақ тары өтке жақсы халал уақытылы келеді рахмет өте жақсы!</t>
  </si>
  <si>
    <t>Каусар шайхана оте керемет, тағамдары өте дәмді, тапсырысымыз кешікпей келеді,официанттары мәдениетті,бәрі халал, алғысым шексіз. Каусар шайханасына үлкен рахмет</t>
  </si>
  <si>
    <t>Оте керекмет Шайхана Каусар Алғысым шексіз</t>
  </si>
  <si>
    <t xml:space="preserve">Қызмет көрсету төмен дәрежеде ,не сұмдық келген кісіні қуу деген ноутбукпен адамдар тек ойын ойнамайт жумыс жасауға болад . </t>
  </si>
  <si>
    <t>Дәмді барі де ұнады</t>
  </si>
  <si>
    <t>Тамақтары өте дәмді.Бағалары да жақсы.</t>
  </si>
  <si>
    <t>Тамақтары өте дәмді.Таза,тыныш әрі жайлы жер.Жылдам әрі сапалы отбасымызбен жиі келіп тұрамыз</t>
  </si>
  <si>
    <t>Қайырлы күн баршаңызға. Бүгін Сандық мейрамханасында кешкі аста болдық. Өте керемет. Атмосфера, меню, интерьер, сервис, музыка бәрі жоғары деңгейде. Ресепшндегі Дильназ қарындасым кәсіби маман екендігін көрсетті. Қонақтарды жақсы қарсы алды. Даяшы Аружан қарындасымыз жоғары деңгейде қызмет көрсетті. Ұжымға көп рахмет. Істеріңіз алға баса берсін, еңбектеріңіз жемісті болсын. Сандық мейрамханасын ашқан азаматтарға үлкен рахмет. Ұлттық құндылықтарымызды дәріптеп, жоғары деңгейге көтеріпсіздер. Көп рахмет. Сандық мейрамханасы барлық қалада ашылып, клиенттеріңіз көбейе берсін.</t>
  </si>
  <si>
    <t>Түркістан қаласы, бәрі керемет! Қатты ұнады</t>
  </si>
  <si>
    <t>ари дамди, конилимизден катты шыкты, даяршы бала Мухамедиярга коп рахмет</t>
  </si>
  <si>
    <t>Мен Sandyq мейрамханасына келгенге дейін бізде осыншама ұлттық тағамларымыз көп екенін білмеппін. Осылай ұлттық тағамдарымызды насихаттай беріңіз, бәрі өте дәмді болды</t>
  </si>
  <si>
    <t>Керемет , казаки салт дастурге сай тамактар өте дамды</t>
  </si>
  <si>
    <t>Бүгін Сандық мейрамханасында құрбыларыммен болып қайттым. Атмосферасы,жанды дауыстағы әуендер өте керемет. Тамақтарының дәмі де өте керемет. Қызмет көрсету</t>
  </si>
  <si>
    <t>Жақсы ресторан. Даяшылар сыпайы және әдемі, тағамдар ұлттық, ұнады. 8/10, интерьерді әлде де жақсартуға болады, қалғаны керемет!</t>
  </si>
  <si>
    <t>Сандық ұжымына рахмет.Керемет жанды дауыста күй тындап,ыстық бауырсақпен шай ішіп, бір сергіп қалдық</t>
  </si>
  <si>
    <t>Өте ұнады, десерттері тәтті болды. Саят официант жақсы қарсы алды. Бірінші рет Туркестан қаласына келдік, қонақжай қала.</t>
  </si>
  <si>
    <t xml:space="preserve">Барлығы күшті  Тағамдары өте дәмді, рахаттанып тойып алдық. керемет көңіл күймен, әсем әнмен отырып тамақтандық, қызметкерлері өте сыпайы. </t>
  </si>
  <si>
    <t>Күшті қарсы алып , қызмет жасады. Рахмет сіздерге</t>
  </si>
  <si>
    <t>Өте керемет жер, тамақтары дамди, қызмет көрсету деңгейі өте жоғары Саят есімді даяршы жоғары деңгейде қарсы алды</t>
  </si>
  <si>
    <t>Ең бастысы керемет атмосфера. Қызмет көрсету деңгейі өте жоғары, тағамдары тіл үйірерлік. Қазақтың әрбір дастарханы осындай болсын. Рахмет өте дәмді болды!</t>
  </si>
  <si>
    <t>Дәмі тіл үйіретін мейрамхана! Әдетте қазақтың асханасы жұтаң деген түсінік бар, SANDYQ мейрамханасынан дәм тату арқылы бұл ойымды түбегейлі өзгерттім. Жәй ғана қайнатылған құрттан сан түрлі, өте дәмді тұздықтар жасауға болады екенін білдік. Даяшы Мұхамедиярға мың алғыс! Кез келген асты үлкен ыждахатпен түсіндіріп, сағына қайта оралатындай сезім қалдырды! Астанадан SANDYQ ашылатын болса, мен отбасымен тұрақты қонағы боламын! Рахмет үлкен</t>
  </si>
  <si>
    <t>Өте дәмді тағамдар, бәрі бізге өте ұнады, тағыда келетін боламыз, даяшы Ұлбала өте әдепті, бағамыз 10/10</t>
  </si>
  <si>
    <t>Тағамдары өте дәмді, тағамды ұсынуы ерекше, сервис ұнады</t>
  </si>
  <si>
    <t>Өте керемет тамақтары супер қызмет көрсету сапасы керемет Сандық мейрам ханаға мың алғыс,Аллах разы болсын сіздерге елімізде осындай мейрамхана көп болсын</t>
  </si>
  <si>
    <t>Ассалямуалейкум! Оте Керемет мейрамхана, оте дамди, кызмет корсетуы оте жогары денгейде! Осындай керемет асты буйырткан Алла га сансыз шукир! Дайындаган аспазшыга Рахмет, колыныз дерт кормесин! Осы Казаки накышта мейрамхана ашкан басшысына мын Алгас!</t>
  </si>
  <si>
    <t>барлығы ұнады</t>
  </si>
  <si>
    <t>Бәрі керемет. Тағамдары өте өте дәмді,сервис жоғары деңгейде. Түркістанда осындай ресторан бар екеніне қуанамыз!</t>
  </si>
  <si>
    <t xml:space="preserve">Құрметті қонақтар осындай керемет мейрамханада ас ішіп әжемді есіме алдым дәл әжем дайындаған Намад көжесін ішіп рахаттандым. Тағамдар өте дәмді керемет махаббат пен дайындалған. </t>
  </si>
  <si>
    <t>Алланың нұры жаусын, дайаршы қыздар жігіттер әдемі сыпайы</t>
  </si>
  <si>
    <t>Сандықтын тағамдары өте керемет бараңыздар көрініздер</t>
  </si>
  <si>
    <t>Өте керемет. Қызмет көрсету сапасы да, тағамдары да, атмосферасы да күшті.</t>
  </si>
  <si>
    <t>Бәрі керемет - тамағы дәмді, қызметкерлер сыпайы, интерьер тамаша, музыка мен ән шеруі де өте жақсы.</t>
  </si>
  <si>
    <t>Қазақ ұлтының құндылықтарын дәріптеп жатқан Сандық мейрамханасына респект! Тамақтары да өте дәмді , керемет</t>
  </si>
  <si>
    <t>мейрамхана “Сандық” қазақтың салт-дәстұрін, колоритін сақтай отырып, еш халыққа еліктемей қонақтарды қуантып, жақсы ниетпен қарсы алады. шет елден келгендерде таң қалып көріпдерін білдіргенін естіп жатыомыз. Осы мейрамхананың барлық қызметкерлеріне алғыс білдіреміз! Рақмет!</t>
  </si>
  <si>
    <t>Рахмет үлкен тамақтары керемет сөзім жоқ бурыңғы ата әжелеріміздің қолынан жегендей әсер алдым барлығы натуральный и полезно денсаулыкка...тіл үйіреді</t>
  </si>
  <si>
    <t>Тағамдары пайдалы әрі өте сапалы, сервис жоғары деңгейде</t>
  </si>
  <si>
    <t>Керемет, ұнады</t>
  </si>
  <si>
    <t>Өте керемет, сервис жоғары дәрежеде, бәріңізге дәм татуға кеңес беремін</t>
  </si>
  <si>
    <t>Күшті маган ұнады ұлттық тагамдар ұлттық киімдері жаксы сапалы дайаршылар кызмет көрсетеді рахмет сендерге жұмыстарыңыз алга басаберсің</t>
  </si>
  <si>
    <t>ӨТЕ КЕРЕМЕТ! ҚЫЗМЕТ, ТАҒАМДАР БАРЛЫҒЫ ЖОҒАРҒЫ САПАДА!</t>
  </si>
  <si>
    <t>Барлыгы оте дамди ма шаа Аллах даяршылардын кызмети оте жогары</t>
  </si>
  <si>
    <t>өте тамаша. Бешбармақ,Жібек жолы сорпасы өте дәмді, естен кетпес дәм. Официанттар өте сыпайы әсіресе бізге ұнағаны бір сары қыз. Дами берсін.</t>
  </si>
  <si>
    <t>Ерекше безендіру мен тамаша тағам түрлерімен таңғалдырудан шаршаманыздар. Ниет есимди жігітке барша Sandyq ұжымына алғысымыз шексіз</t>
  </si>
  <si>
    <t>тамактары оте дамди, озиме обслуживание катты унады. Арбитр аз-мазиринин курамын жане де Калай дайындалатыны турады оте керемет акпарат берип, тусиндирип жатыр. Керемет ресторанные бири</t>
  </si>
  <si>
    <t>Дәмді тағамдар, кызмет көрсету жоғары деңгейде!!! Ниет есімді официант өз жұмысын біледі екен</t>
  </si>
  <si>
    <t>Паста өте дәмді, тыныш, рахат орын</t>
  </si>
  <si>
    <t>Тағамдары өте дәмді! Қызмет көрсету де жоғары деңгейде</t>
  </si>
  <si>
    <t>Оте керемет бары дамды табиги онымдер. Кызмет корсету сапасыда жогары рахмет</t>
  </si>
  <si>
    <t>Өте дәмді тамақтар, сыпайы персоналдар</t>
  </si>
  <si>
    <t>Ассалаумагалейкум! ұжымына, басшылығына алғысым шексіз. Алла разы болсын. Қазақ екенімді сезіндім, балалық шағыма бір барып келдім. Даяшы қыз жігіттерге сөз жоқ өз істерінің маманы. Әр тамақты нақышына келтіріп тәбетімізді аша түсіп түсіндіріп берді. Тағы да рахметімді айтамын!</t>
  </si>
  <si>
    <t>Керемет, бәрі өте дәмді, интерьер, тағамдарды ұсынуы ерекше қуантты) нан астау:екі түрлі самса, үш түрлі тапа нан, бауырсақ, шелпек, қайнатпа…хм, ұмытылмас дәм)) бізді күткен инабатты қызға үлкен рахмет! Осындай ұлттық ресторандар көп болсын! Сіздердің өркендеуіңізге тілектеспіз!</t>
  </si>
  <si>
    <t>персоналдары оте жаксы, тамактары дамди</t>
  </si>
  <si>
    <t>барлығы өте жоғарғы деңгейде. тағамдарына сөз жоқ. нағыз көзің де, өзің де тойып қайтатын жер екен. бағасына сай қызметтері</t>
  </si>
  <si>
    <t>Тамақтар өте дәмді және қолжетімді, даяшыға рахмет жақсы қызмет етті</t>
  </si>
  <si>
    <t>Өте дәмді тағам! Аспазға рахмет!</t>
  </si>
  <si>
    <t>Тағамдары өте дәмді керемет әсіресе стейк рибай мощ. Аспазшыға, даяаршыға үлкен рахмет</t>
  </si>
  <si>
    <t>Тамақтары өте дәмді, бағалары қарапайып адам үшін қол жетімді, даяшы өте жоғары деңгейде жақсы қызмет көрсетті.</t>
  </si>
  <si>
    <t>Өте жақсы, тамактар керемет, обслуживание жаксы</t>
  </si>
  <si>
    <t>Мамам екеумізге ресторан унады. Ен бастысы таза, көрсеткен қызметі жақсы және тамағы тәтті, майлы емес. Рахмет.</t>
  </si>
  <si>
    <t>Тағамдары өте дәмді,өзіме ұнады. Сіздерге де кеңес берем.</t>
  </si>
  <si>
    <t>алғаш келгенімізде ең бірінші тамақтануға осы мейрамханада тамақтанған едік. Тағамдары,қызмет көрсетуі өте керемет,қатты ұнады. Жұмыстарыңызға тек Сәттілік тілеймін</t>
  </si>
  <si>
    <t>Быз кыдырып барғанбыз, Жана каланы аралап сіздердің ресторандарынызга кырдык Анамыз екеумыз бызге катты унады.Сыздердын конак жайлылық тарыныз арине салкын сусындарыныз каланын ыстыгын басатын оте дамды.</t>
  </si>
  <si>
    <t>Ресторан ужымына барлык жумыс керлерынызге Саттылык. Жаксы кундерыныз коп болгай</t>
  </si>
  <si>
    <t>келып бундай ресторан бар екенын кутпедым. Коктейльдын уш турын ишып кордык барлыгынын дамы керемет екен. Барменге болек рахмееет!</t>
  </si>
  <si>
    <t>Мен 28.04.2022 ресторанда болдым Сервис маган катты унады поварларга жеке рахметимди айтамын Тамактары оте дамди ари адеми Окрошки кандай дамди рахмет Гулдей бериниздер</t>
  </si>
  <si>
    <t>Мын алгыс</t>
  </si>
  <si>
    <t>Керемет Ресторан бізге ұнады. Кухнясы вапше супер. Тағамдары өте дәмді екен. Қызмет көрсету сапалы жоғары деңгейде. Іші таза. Осындай ресторандар көп болса ғой. Ресторан ұжымына үлкен РАХМЕТ</t>
  </si>
  <si>
    <t>Дәмді,әдемі,мықты,айтарға сөзім жоқ. Өте күші жер, тамақтары да дәмді әрі әдемі бағасы арзан осындай жерлер көп болсын</t>
  </si>
  <si>
    <t>қашан келсемде осы дәмханаға соқпай кетпеймін Өте дәмді қолжетімді бағада Қызмет көрсету сапасы өте жоғары Админы да өте жақсы кісі</t>
  </si>
  <si>
    <t>Кафе емес, дәмхана. Тағамдары өте дәмді, бірақ даяшылары үлгермей жатады. Администраторы бұл сұрақпен жұмыс істей алмайды.</t>
  </si>
  <si>
    <t>Өте тамаша ресторан екен.Кухня 10/10 оте дәмді,персонал өте кішіпейіл әрі көңілді</t>
  </si>
  <si>
    <t>Оте керемет маган унады тамактарыда дамди поварларга 5 лапшасы катты унады</t>
  </si>
  <si>
    <t>Оте дамди жылдам дайындайды бари керемет</t>
  </si>
  <si>
    <t>Тамақтары өте дәмді поврлары да жақсы 5</t>
  </si>
  <si>
    <t>Пулькоги күшті екен ұнады Басқа тағамдары жақсы екен Қызмет көрсету 3</t>
  </si>
  <si>
    <t>Өте дәмді тамақтары. Маған өте қатты ұнады Сервис бәрі де жоғары деңгейде Бәріне ұсынамын</t>
  </si>
  <si>
    <t>Керемет кафе, тамақтары өте дәмді. Офицанттары сыпайы,жақсы деңгейде қызмет көрсетеді. Атмосферасы ұнады. Почти 1 жылдан асты үзбей келіп жүргеніме. Стейк рамён сөз жоқ, аптасына 2-3 рет жейтін шығармын</t>
  </si>
  <si>
    <t>тамақтары өте дәмді. қызмет көрсету сапасы жоғары. барлығына кенес беремін</t>
  </si>
  <si>
    <t>Кушти кафе</t>
  </si>
  <si>
    <t>Интерьер өте жақсы , тамақтары да дәмді Персонал өте сыпайы , фонда қазақша өлеңдер</t>
  </si>
  <si>
    <t>Өте дәмді таңғы ас, қолайлы бағада, тамаша!</t>
  </si>
  <si>
    <t>заказ бердім өте дәмді, қыз өзі жалғыз әр столикті жаксы дәрежеде обслуживать етті. Өте керемет! Ұнады</t>
  </si>
  <si>
    <t>Өте дәмді тағамдар! бағасы да қол жетімд. официанттары сыпайы. Жексенбі күні отбасымызбен бардық лоторея ойнатты, лимонад Мохито ұтып алдық өте керемет!!! рақмет</t>
  </si>
  <si>
    <t>Бауырсақтары өте дәмді, кухнясы жақсы екен,официанттары күліп қарсы алады) барлығы керемет. қыз қызмет көрсетті бардығы ұнады!</t>
  </si>
  <si>
    <t>Плов өте дәмді. даяршы жақсы қызмет көрсетті керемет! Осы жерге келіп тамақтануды ұсынамын</t>
  </si>
  <si>
    <t>Даяршы кызға рахмет. Тамактары оте дамди.</t>
  </si>
  <si>
    <t>Официант жаксы обслуживание жасады . келіп едік қуанып қайттық</t>
  </si>
  <si>
    <t>Плов еже,өмірімде жемегенмын, братан отдуши бала шағаларың рахатын көр</t>
  </si>
  <si>
    <t>Өте ұнады керемет!! Өте дәмді жылқы еті, Қуырдақ, бургер күшті!</t>
  </si>
  <si>
    <t>қызмет көрсету қабілеті өте жоғары керемет екен</t>
  </si>
  <si>
    <t>Керемет! Ұнады</t>
  </si>
  <si>
    <t>офицант обслуживаниесы оте жақсы</t>
  </si>
  <si>
    <t>Даяшы кызмет корсетуи оте жогары денгейде! Сыпайы! Рахмет</t>
  </si>
  <si>
    <t>Өте дәмді тағамдар, керемет кафе!</t>
  </si>
  <si>
    <t>Бәрі қалыпты. 24/7 болғаны жақсы болды</t>
  </si>
  <si>
    <t>Өте дәмді бургер қасындағы айраны - ерекше бір идея екен. Рахмет</t>
  </si>
  <si>
    <t>Бәрі керемет, ханымға рақмет</t>
  </si>
  <si>
    <t>Өте ерекше орын. Ерекше вайб пен ерекше тағамдар және де ханымның қызмет көрсетуі күшті ұнады</t>
  </si>
  <si>
    <t>тарымен шай бәрі балалық шақтағы сияқты!</t>
  </si>
  <si>
    <t>Бірнеше рет болдық және қайталап келгің келе береді. Әр күні басқа тағамдардың дәмін татқан сайын ұнап жатыр. Администратор да, қызметкерлер де бәрі жақсы қарсы алып, күтеді</t>
  </si>
  <si>
    <t>Маган бургер Жане тари шай унады керемет</t>
  </si>
  <si>
    <t>рахмет. Кызметкерлеры оте керемет, сыпайы, конакжай.</t>
  </si>
  <si>
    <t>Бызге унаганы сервис, подача ,кофе тары капучино оте керемет.Быз куаныштымыз осындай этно стиль дамып жатканына</t>
  </si>
  <si>
    <t>Бізге қатты ұнады тары чай мен бауырсақ ірімшік сервис жоғарғы деңгейде</t>
  </si>
  <si>
    <t>Өте керемет жер Бізге ұнады барлығы жақсы рахмет</t>
  </si>
  <si>
    <t>Өте жақсы дәмхана</t>
  </si>
  <si>
    <t xml:space="preserve">Тәтті тағамдар </t>
  </si>
  <si>
    <t xml:space="preserve">Сыпайы қызметкерлер </t>
  </si>
  <si>
    <t>Әкімші өте жақсы қарсы алды</t>
  </si>
  <si>
    <t>Тамақтары бәрі өте дәмді рахмет өте жоғары деңгейде қызмет көрсетті!</t>
  </si>
  <si>
    <t>Тамактары оте дамди рахмет</t>
  </si>
  <si>
    <t>Бүгін меирамханасына таңғы ас ішуге бардым, даяшы өте керемет азамат екен.Мәзірден дәмдә дәмдә тағамдар ұсынып мені бір марқаитып жіберді</t>
  </si>
  <si>
    <t>Бізге қатты ұнады, официант қызға көп көп рахмет!</t>
  </si>
  <si>
    <t>көңілімнен шықты. Жылқы етімен бургері және ірімшігі бар бауырсақ топ екен</t>
  </si>
  <si>
    <t>Кухняга улкен рахмет тамактары оте дамди подача оте кушти  Кызмет корсеткенге улкен Рахмет</t>
  </si>
  <si>
    <t>Бәрі өте дәмді! Әсіресе тары каппучино. официант өте сыпайы қызмет көрсетті</t>
  </si>
  <si>
    <t>дәмханасында отырмыз,отбасымен барып исі аңқыған тарымен балқаймақпен шай ішіп,рахаттанып қалдық.Пицца жеп шаршаған екенбіз,мипалау жеп мәз болдық. даяшы қызымызға риза болдық</t>
  </si>
  <si>
    <t>Керемет сервис! Үйге келгендей сезінесің, жылы жүзді пысық даяршы қыздардыңб жұмысы керемет, сөмкеме бөлек кішкене үстел әкеліп қойды. Сорпа суып қалмасын деп жылы тастың үстінде беріледі мини бауырсақ ішіеде ірімшікпен өте дәмді болды. қысқасы, бәрі жоғары деңгейде! Өрлей беріңіздер!</t>
  </si>
  <si>
    <t>Пікірлерді ескеріп жатқаны қуантты. Бұл жолы қазақша, сапалы қызмет көрсете алды. Шыға бергенде “барлығы ұнады ма” деп сұрады қазақша мәзір туралы айтуды ұмытыппын. Соны қолға алсаңыздар</t>
  </si>
  <si>
    <t>Бәрі дәмді болды, қызмет көрсету сапасы жоғары деңгейде! Әсіресе ірімшікті бауырсақ және балқаймақтың дәмі тіл үйірердей болды. Көкжиек шайы міндетті түрде рекомендасьон. қызмет көрсеткенге көптен-көп рақмет!</t>
  </si>
  <si>
    <t>Кеше осы жерде болдық. Бізге қызмет көрсеткен қызға алғыс айтамыз. Өте сыпайы. Ал енді тамаққа келейік. "Қаттама нан" өте ұнады, жанындағы қаймағы керемет!</t>
  </si>
  <si>
    <t>Сиыр және жылқы етімен екі бургер алдық. Сиыр еті бұқтырылып піскен, сулы, дәмді болды. Ал жылқы еті әлдеқайда құрғақтау екен. Бургермен бірге шалап әкеледі екен, онысы өте дәмді!</t>
  </si>
  <si>
    <t>өте керемет. Кухнясы тамаша. қыз обслуживала бізді. Қандай сыпайы, өз жұмысын тиянақты істейді, барлығын түсіндіріп берді. Молодцы. рахмет осындай жер үшін</t>
  </si>
  <si>
    <t>Келіңіздер ауыл есіңізге түсіп,сол атмосфераны заманауи дәстүрмен салыстыра аласыз. Шаршамаңыздар,тұтынушыларыңызды риза етіп дами беріңіздер!</t>
  </si>
  <si>
    <t>Өте дәмді жер, барлығы да ұнады, және басқа да даяшылар жоғары деңгейде қызмет көрсетті. Достарыма және де қоңақтарға бұл жерге келулеріңізге кеңес беремін!!!</t>
  </si>
  <si>
    <t>Даяшының тамақтанушылармен қарым-қатынасы, жасаған қызметі жоғарғы деңгейде. Тағамдары дәмді, жылқы фаршмен жасалған бургерге дәмдеуіш қосса жақсы болар еді. Ас мәзірдегі тағамдары шектеулі болғанымен, келушілердің қызығушылығын туғызады.</t>
  </si>
  <si>
    <t>Осындай дәмханалар мен қызмет көрсететін даяшылардың болғаны көңілді қуантады. Жанданып өсе беріңіздер</t>
  </si>
  <si>
    <t>Бүгің отбасыммен келдым барлыгы керемет тағамдары тіл үйрет даяшыларыда сыпайы ұқыпты екен бір сөзбен айтқанда уақытымызды жақсы өткіздік</t>
  </si>
  <si>
    <t>барып риза болып едім, енді ашылғанына қуаныштымын. Техникалық кезеңі аяқталып, 24/7 уақыт жұмыс істегенін күтемін. Табыс тілеймін! Бұйырса әлі талай барып тұрамыз.</t>
  </si>
  <si>
    <t>Балалық шақтың дәмін еске түсіретін керемет тағамдары бар (тары көже, тары тәттілері), онымен қоса мен үшін жаңалық болған тары (талқан) қосылған балмұздақ ұнады. Көзге эстетикалық демалыс сыйлайтын жер</t>
  </si>
  <si>
    <t>Бізге өте қатты ұнады тағамдар, қызмет көрсету барлығы жоғарғы деңгейде. Күтіп алып жүрген қыздарға үлкен рахмет, өте сыпайы бірден адамдарды өздеріне тартады. Сондай керемет даяршылар, қазақ тілді, бізден төлем алған қызға да өте риза болдық. Орналасқан жері мен ішіндегі жиһаздар, ыдыстар барлығы ұнады. Тек бір жер ғана ұнамады, сол жерін реттесеңіздер екен</t>
  </si>
  <si>
    <t>Басқа кофейняларымен салыстырғанда орташа. Тамақтың дәмі, күтіп алу орташа деңгейде. гардеробқа өзің киім ілесің.Әрине, жаңадан ашылды қателіктерменминустар болады. Ендігі уақытта қызмет көрсетумен қатар, ұсынылатын астың дәміде өте жақсы болатынына сенеміз.ОТАНДЫҚ ӨНІМДІ ҚОЛДАЙЫҚ!</t>
  </si>
  <si>
    <t>Өте керемет! Тағамдары, сусындары, кофе - жоғары деңгей! админға рахмет, жұмысыңыз берекелі болсын!</t>
  </si>
  <si>
    <t>Тағамдардың дәмі ерекше</t>
  </si>
  <si>
    <t>Ауылым есіме түсіп кетті! Өте дәмді. барлығы ұнады!</t>
  </si>
  <si>
    <t>Барлық тағамдары жақсы барлығы ұнады қызмет көрсетуіде жоғарғы деңгейде даяшы қыз және админстраторға көп рақмет өз жұмыстарының маманы екен тек алға дами беріңіздер кішкене кемшіліктер бар әрине енді ашылған соң түсінуге болады. Сәттілік</t>
  </si>
  <si>
    <t>Өте дәмді, өте жылдам, өте тез дайындалады тағамдары. Өзіме катты ұнады, ашылғанына өте қуаныштымын. Осы жерге келип тамақтануға кенес беремін.</t>
  </si>
  <si>
    <t>Ракмет барлыгы унады, кыздар жаксы кызмет жасады болек ракмет</t>
  </si>
  <si>
    <t>Тамақтары өте дәмді, жайлы орын. Администратор сыпайы, мәдениетті-сізге рахмет. Барлығы ұнады. Кеңес берем,келіңіздер</t>
  </si>
  <si>
    <t>Арнайы тарымен шәй ішуге құрбыммен келгенбіз, өте дәмді болды. Бауырсақ, чищкейк , тары шәй тапсырысқа бергенбіз, бәрі ұнады. официантқа көп рахмет</t>
  </si>
  <si>
    <t>Бургер өтее дәмді екен</t>
  </si>
  <si>
    <t>Бургерлери оте дамды</t>
  </si>
  <si>
    <t>Бургер өте тәмді</t>
  </si>
  <si>
    <t>Тамаша,жақсы қызмет көрсету! Өте мейірімді официанттар, бәріне кеңес беремін!</t>
  </si>
  <si>
    <t>Бургер өте дәмді екен</t>
  </si>
  <si>
    <t>Нағыз сал дәстүрін ұстайтын кафесі. Бәрі керемет,тамақ деген сөз жоқ. Тәтті барлығы.</t>
  </si>
  <si>
    <t>Меню өте керемет Қызмет көрсету өте сыпайы даяшы Бургер ең дәмді</t>
  </si>
  <si>
    <t>Өте ұнады, тағамдары өте дәмді. Атмосферасы тіпті керемет жер екен</t>
  </si>
  <si>
    <t>Кеше осы мейрамханадан тамақтанған едім. Барлығы өте дәмді болды, әсіресе қаттамасының дәмі ерекше, енді ұлттық тағамдардан жиі-жиі барып дәм татып тұратын боламын, сіздерге сәттілік</t>
  </si>
  <si>
    <t>Кызмет көрсетуде өте кушти</t>
  </si>
  <si>
    <t>Пиццалары оте дәмді</t>
  </si>
  <si>
    <t>Өте керемет сушилар отаны</t>
  </si>
  <si>
    <t>Саламатсызба!! Оте жайлы ресторан!! Маган унайды,, жане оте дамди тагамдары !! Рахмет</t>
  </si>
  <si>
    <t>тағамдары өте дәмді</t>
  </si>
  <si>
    <t>Баруға кеңес беремін дәстүрлі асханамызды дәріптейік</t>
  </si>
  <si>
    <t>Тағамдары өте жаксы офисантар керемет</t>
  </si>
  <si>
    <t>Сушилары керемет.Тағамдарда жақсы</t>
  </si>
  <si>
    <t>Наурыз мерекесіне жұмыс ұйымдастырылған .Суши тағамдары өте дәмді + Наурыз мерекесіне тегін Наурыз көжесі, бауырсақ тегін берді. Тек жерге баруға кеңес! Даяршы молодец!</t>
  </si>
  <si>
    <t>Жаксы. Тамаша ресторан</t>
  </si>
  <si>
    <t>Мен бугин осы жерге келдим конак болып, бари оте дамди Офицант кыз жаксы обслуживаний жасады Рахмет</t>
  </si>
  <si>
    <t>Офисантар кушты обслуживаниясы кушты тамактары дәмды</t>
  </si>
  <si>
    <t>Керемет ресторан. Персонал өте мыкты Кулимдеп карсы алады Тамактардан айтатын болсам өте дамди болды Феттечуни курицей и грибами токпоки том ям и сет рим заказ бердик Өте дамди поварларга рахмет Админ жане офицанттар өте сыпайы кызымет корсету жогаргы денгейде</t>
  </si>
  <si>
    <t>Керемет отырыс болды ! Рахмет! Тамактары оте дамды!</t>
  </si>
  <si>
    <t>Қызмет көрсетулері жоғары дәрежеде. Ұнады</t>
  </si>
  <si>
    <t>оте кушты персонал, оте кушты кызмет корсетеды бары жоғары денгейде Администрацияга оте улкен Рахмет</t>
  </si>
  <si>
    <t>Оте керемет ерекше атмосфера.пицца ерекше дамди</t>
  </si>
  <si>
    <t>Өте жақсы офицантардың қызмет көрсету дәрежесі өте керемет суши ролдары дәмді оның ішінде цезарь запиченая өте дәмді керемет 5 деген баға кухняга</t>
  </si>
  <si>
    <t>Өте керемет орын!Ең бастысы оффицанттардың қалай қонақты күтіп алуығой бүгін бізге оффицант қызмет етті Алла разы болсын!Жұмысына тиянақты!</t>
  </si>
  <si>
    <t>Бүгін осы жерде болдым. Қызмет көрсету деңгейі өте жоғары , всем советую. Рахмет күліп қарсы алғандарынызға</t>
  </si>
  <si>
    <t>Керемет бизге мейрамхана унады, улкен жетистикке жетиниздер</t>
  </si>
  <si>
    <t>Өте жақсы тез дайындайды.</t>
  </si>
  <si>
    <t>Мен осы рестораннан унеми заказ тасимын,курьерлерге оте керемет сыйластык танытады,персоналдары оте керемет,аркашан кулип карсы алады</t>
  </si>
  <si>
    <t>Тамактанатын жер кушты екен обслуживание кушты официанттары этика эстетиканы бледы. официант оте куштыыыы.Дами берыныздер</t>
  </si>
  <si>
    <t>филиалындағыға рахмет тамақтары өте дәмді,тойымды. Қызмет көрсету сервистері тез әрі жоғары дәрежеде</t>
  </si>
  <si>
    <t>Суши өте дәмді, бағасы да қызмет көрсету де жоғары деңгейде. Барлықтарыңызға ұялмай баруға кеңес беремін.</t>
  </si>
  <si>
    <t>Керемет админ командасына үлкен үлкен рахмет ,кушти өз жумысының шебері!</t>
  </si>
  <si>
    <t>Тамактануга жаксы жер Астында мойка куні туні жасап тур 24/7 озім осында коп келем</t>
  </si>
  <si>
    <t>Кароке өте керемет.</t>
  </si>
  <si>
    <t>Керемет демалыс болды Рахмет</t>
  </si>
  <si>
    <t>бізге қызмет жасаған өте көнліміз толды өте таза сипайы тамақтары әнгиме жоқ бізге қатты ұнады рақмет</t>
  </si>
  <si>
    <t>Мә кушти екен</t>
  </si>
  <si>
    <t>оз жұмысын жақсы атқарды өте қарапайым қыз обслуживание вопще супер</t>
  </si>
  <si>
    <t>Бугин осы жерге отбасымызбен бардык, ұнады. Бизди официант жаксы жане тез кабылдады</t>
  </si>
  <si>
    <t>Бугин кальянга достарымызбен келдик, официант кызмет корсетти бари жаксы, унады тагы келемиз</t>
  </si>
  <si>
    <t>Бүгін отбасымызбен келіп тамақтандық, официантқа үлкеен рахмет, дикциясы, дауысы өте әдемі, өте жақсы қарап кызмет көрсетті</t>
  </si>
  <si>
    <t>Аллаһ разы болсын</t>
  </si>
  <si>
    <t>Өте күшті дәмді тағамдар, раннер өз ісін біледі!</t>
  </si>
  <si>
    <t>Тағамдары керемет, кызмет көрсету жоғары деңгейде рахмет</t>
  </si>
  <si>
    <t>Админстратор керемет жан екен, күтіп алып орын тауып берді. Өте сыпайы, көркіне ақылы сай жан екен. Өте керемет дер. Тағамдары дәмді. Қызмет көрсеткені өте жылдам, уақытында акелді. Қызметтері керемет. Өте ризамыз. Тағы келеміз балаларымыз өте риза</t>
  </si>
  <si>
    <t>Жақсы сервис үшін рахмет! Әсіресе администратор және даяршы көп көп рахмет!</t>
  </si>
  <si>
    <t>Администраторға көп рахмет! Орын тауып беріп, жайғастырып, жылы жүзбен қарсы алды. Даяшыларға және аспазшыға да рахмет, бәрі дәмді болды! Жұмыстарыңызға сәттілік!</t>
  </si>
  <si>
    <t>Өте керемет сервис! Администратор мен қыздарға көп рахмет! Барлығы дәмді!</t>
  </si>
  <si>
    <t>Қызымыздың туған күнін керемет тойлаттық! Даяшыға көрсеткен қызметі үшін алғыс білдіреміз.</t>
  </si>
  <si>
    <t>улкен рахмет,кызмет корсетуи керемет</t>
  </si>
  <si>
    <t>рахмет, барі өте дәмді</t>
  </si>
  <si>
    <t>Шауырма тамактары отте дамди ,тез акелинди заказдарым ,рахмет керемет кызмет корсетти</t>
  </si>
  <si>
    <t>Админ Керемет</t>
  </si>
  <si>
    <t>адамдарды күлімдеп қарсалады,оз жұмысына өте внимательно ,өте жақсы вежливая қыз екен</t>
  </si>
  <si>
    <t>Тағамдары өте дәмді.даяшы қызға рахмет. Маған бы осындай келін!</t>
  </si>
  <si>
    <t>қызға көп рақмет! Өте керемет қызмет көрсеткені үшін</t>
  </si>
  <si>
    <t>Хостес жұмысын өте жақсы атқарады қонақтарды всегда күліп қарсы алады өте жақсы қыз жұмысына тиянақты өте</t>
  </si>
  <si>
    <t>жаксы кызмет корсетти балаларга арналган ойнайтын жери жаксы екен тамактары да дамди екен</t>
  </si>
  <si>
    <t>бизге жаксы кызмет корсетти тамаша бари унады балаларга да ойнайтын жери и тамактары дамди</t>
  </si>
  <si>
    <t>Жақсы кызмет корсетти</t>
  </si>
  <si>
    <t>көп рақмет</t>
  </si>
  <si>
    <t>тез қызмет етеді, өте сыпай! Рахмет үлкен</t>
  </si>
  <si>
    <t>қыз асиресе оте жылы жузди киси екен</t>
  </si>
  <si>
    <t>Керемет тамақтары дәмді! обслуживание кушті раннерге рахмет!</t>
  </si>
  <si>
    <t>оте керемет кызмет корсетти. Рахмет</t>
  </si>
  <si>
    <t>керемет қызмет көрсету сервис жоғары деңгейде</t>
  </si>
  <si>
    <t>улкен Рахмет</t>
  </si>
  <si>
    <t>ракмет, жұмысын жақсы атқарады.</t>
  </si>
  <si>
    <t>рахмет қызмет көрсеткенінізге Өте керемет кеш болды Туған жақсы өтті</t>
  </si>
  <si>
    <t>молодец! Жұмысына өте жауапты жігіт</t>
  </si>
  <si>
    <t>тез жумыс истейди</t>
  </si>
  <si>
    <t>раннерге көп көп рахмет заказды уақытылы акелді және тез</t>
  </si>
  <si>
    <t>есимди официант кыз кызмет жасалды. Оте катты унады, 10 балдын 10 деген бага койдым. Оте сыпайы, Оз исинин шебери.</t>
  </si>
  <si>
    <t>Оте катты унады тагамдары дамди Рахмет</t>
  </si>
  <si>
    <t>Осы жерге тез тез келіп тұрамыз керемет тамақтары өте дәмді! Рахмет қызға. Жұмысына өте ұқыпты</t>
  </si>
  <si>
    <t>Керемет орын,раннерге рахмет,тез жеткизеди</t>
  </si>
  <si>
    <t>Өте берекелі орын, тамактары дәмді, официант жұмысын өте тиянақты жасайды маған ұнады</t>
  </si>
  <si>
    <t>еңбегіңіз бағалана берсін жалпы осы кафені сағынып келеміз. Бәрі өте өте дәмді</t>
  </si>
  <si>
    <t>официант оте сыпайы,жумысына адал екен</t>
  </si>
  <si>
    <t>Салеметсіздерме поворларына рахмет керемет тағамдар, обслуживание керемет болды пәннен және игровой зона үшін рахмет</t>
  </si>
  <si>
    <t>Балаларым жақсы көретін жер. Өз жұмыстарына тиянақты. Даяшы қыз өте тез тапсырыс қабылдап әкеліп отырды. Көбие беріңіздер.</t>
  </si>
  <si>
    <t>Оте керемет.Оператор оз жумысынын маманы,балаларыма оте катты унады</t>
  </si>
  <si>
    <t>өте тамаша сервис. Тамақтары дәмді. Рақмет</t>
  </si>
  <si>
    <t>жұмысын жақсы откарады әрдайым күлімсереп қарсы алады жақсы қыз</t>
  </si>
  <si>
    <t>Маган бари унады оте керемет обслуживание болды, тағамдары да керемет</t>
  </si>
  <si>
    <t>Кушти орын . Семейный нағыз кафе</t>
  </si>
  <si>
    <t>Администратор және өте жақсы қызмет көрсетті ,тағамдары өте дәмді барлығы жоғарғы сапада , әр демалыста келеміз балаларга қатты ұнайды , балалармен жақсы демалыс өткізуге болады</t>
  </si>
  <si>
    <t>админға рахмет. Обслуживание өте керемет. Тамақтары да дәмді. да келе жатқан мереуенізбен рахмет</t>
  </si>
  <si>
    <t>Өте дәмді тамақтар, обслуживание на высшем уровне рахмет Балалар ойнауға тағы да ойыншықтар көбейтсе одан да күшті болар еді</t>
  </si>
  <si>
    <t>Рахмет бари керемет болды</t>
  </si>
  <si>
    <t>көп рахмет!!! Тағамдары өте дәмді!</t>
  </si>
  <si>
    <t>Тамақтары өте дәмді екен, обслуживание өте жақсы, әсіресе официант мен , рахмет</t>
  </si>
  <si>
    <t>Керемет жер. Үнемі осында келеміз. Тамақтары дәмді. Ойнайтын алаңы үлкен. Балалармен сергіп қаламыз. Қызметкерлері сыпайы, қызмет көрсету деңгейі жоғары. Осында туылған күн атап өттік. Бізге қызмет көрсеткен раннер қызға алғысымыз шексіз. Банкеттің басынан аяғына дейін қасымызда болды. Көп көп рахмет.</t>
  </si>
  <si>
    <t>оте жаксы демалдык, тамактары оте дамди, балаларга ойын шаралары жаксы уйымдастырылган,Ойын сауык кешенінде баларға орын жеткілікті. Ішіндегі қызметкерлер жақсы ұйымдастырылған соңын даяршы әдепті ұқыпты қызметтін жақсы біледі және өте жоғары дәрежеде өзін көрсете білді!</t>
  </si>
  <si>
    <t>Барлығы ұнады, тамағы дәмді. рахмет.</t>
  </si>
  <si>
    <t>Өте кушты тармақтары дәмды қыз жақсы қызмет көрсетті рахмет</t>
  </si>
  <si>
    <t>рахмет! Барлығы жаксы дәмді болды.Обслуживания керемет</t>
  </si>
  <si>
    <t>Курметти , жумыстары унады,иши уютный унады</t>
  </si>
  <si>
    <t>Тағамдары өте дәмді әрі жылдам алып келді, бізге қызмет көрсеткенге ізгі ниетпен рахмет айтқым келеді</t>
  </si>
  <si>
    <t>жақсы қызмет жасады.ризамын,бірінші рет келуім.балпларыма өте қатты ұнады .кухня , обслуживания өте жақсы.</t>
  </si>
  <si>
    <t>Қызмет көрсету оте жаксы тамаша жаксы коныл куи сыйлады туған күнінды жаксы атап оттык раннер коп коп рахмет</t>
  </si>
  <si>
    <t>официантка рахмет тамактары керемет әсресе соустар</t>
  </si>
  <si>
    <t>Керемет жақсы , рақмет көп көп , пельмен өте дәмді</t>
  </si>
  <si>
    <t>жаксы кызмет корсетти коп коп рахмеет</t>
  </si>
  <si>
    <t>админга баламнын туган кунимен құттықтап баламнын конил куйин котердиниз ракмет сизге</t>
  </si>
  <si>
    <t>рахмет ! Алла разы болсын!</t>
  </si>
  <si>
    <t>Админ ханым мен даяшы қарындасыма мың алғыс, қызмет көрсету жоғарғы деңгиде . Туылған кунге деген силық үшын рахмееееет</t>
  </si>
  <si>
    <t>сіздің қызыметіңзге алғысым шексіз барлығы тамаша артығымен тіпті үстелмізде артық қоқс болмады жүмыс а адал екенсіз</t>
  </si>
  <si>
    <t>Жақсы отырдық , түінгі смена тыныш екен асықпай тамақтанып балаларымызды ойнатып біраз көңіл бөлдік рахмет менеджерге рахмет сыпайы қарапайым екен қызметкерлердің сыпайы қарапайым болғаны қонақтардың жиі келуіне де себеп Отбасыммен үнемі келемін</t>
  </si>
  <si>
    <t>рахмет бізге барлығы ұнады.ОФИЦИАНТТАРЫ ДА ЖАҚСЫ КҮТТІ.администраторға ерекще рахмет</t>
  </si>
  <si>
    <t>болып тамақ ішіп қайттық. Тамақтары өтте дәмді болды,Заказ бердік манты,шауырма ,суши ,детский меню ,фри,Люля кебаб бердік .Заказ әрі жылдам әкелді. раннер жылдам әкелді пысық қыз молодец. Тағы келеміз тамақ ішуге</t>
  </si>
  <si>
    <t>Тамақ дәмді, балалар үшін детский зона өте ынғайлы. Раннерге рахмет</t>
  </si>
  <si>
    <t>көп рахмет, жылдам бізге қызмет көрсеткені үшін</t>
  </si>
  <si>
    <t>биз достарымызбен кунде келемиз бари дамди. кызмет корсету унайды аркашан рахмет жаксы кызмет ушин</t>
  </si>
  <si>
    <t>Өте жақсы демалып шықтық Семьямызбен. Балалармен келуге оте ыңғайлы жер. Администратор барлығын мұқият қадағалап жүреді екен, персоналдар да жақсы.</t>
  </si>
  <si>
    <t>Тамақтары, қызмет көрсету сапасы өте керемет. Балаларыммен жиы келемін. Өсе беріңіздер. Адмистраторға рахмет</t>
  </si>
  <si>
    <t>рахмет за обслуживание. Бари жаксы болды. Тамактары да өте дәмді. Бәрі ойдағыдай</t>
  </si>
  <si>
    <t>өте керемет жер. Администратор мырзаға рахмет. Қызметін өте жақсы атқаратын азамат екен. Барша қызметкерлерге рахмет Қызметтеріңізге береке берсін.</t>
  </si>
  <si>
    <t>Унады. Таза,жылы ари жайлы. Балалар ойнайтын жери бар,оте ынгайлы. Администратор мырза,2-3 рет кандайда бир комек керек пе деп келип турды. Официанттарда шамасы келгенше жугирип оз жумыстарын жасап жур. Тамагына 10 деген багадан 8 деген бага коямын.</t>
  </si>
  <si>
    <t>Тамактары өте дамді. Тез алып келеды. Балдарға ыңғайлы ойын орындары бар және болек. Администратор жыгытте коныл көп боледі, өте жаксы. Тағы тап таза.</t>
  </si>
  <si>
    <t>Сиздердин тамактарыныз оте керемет администратор жигитке рахмет</t>
  </si>
  <si>
    <t>молодец, жаксы сервис корсетты!</t>
  </si>
  <si>
    <t>Кальянда болдық, рахмет, жақсы обслуживание жасады.</t>
  </si>
  <si>
    <t>Бугн подругам екеумиз тамактануга келдик,бари дамди болды поварам рахмет. администратор оте керемет,кулкиси ) конактармен жумыс жасау биледи,болашакта оз рестораны болсын. ранер оте керемет рахмет</t>
  </si>
  <si>
    <t>Тамағы өте дәмді. Атмосфера тамаша, даяшылар жақсы қызмет көрсетті. администратор ерекше қонақжайлылық танытты.</t>
  </si>
  <si>
    <t>Керемет қызмет, администратор әр қонақтың көңілін табуға тырысады, жақсы демалыс орны!</t>
  </si>
  <si>
    <t>Рахмеееи бәрі күшті болды. Администратор конактар ушин аландайды кайта кайта келип сурайды аландап бари кушти. Алла разы болсын</t>
  </si>
  <si>
    <t>көп рахмет барлығы ұнады</t>
  </si>
  <si>
    <t>даяршылар өте қатты ұнады стэйкттар өте дәмді</t>
  </si>
  <si>
    <t>Рахмет сіздерге жақсы тамақтары дәмді болды администраторға рахмет</t>
  </si>
  <si>
    <t>Тамақтары өте дәмді екен</t>
  </si>
  <si>
    <t>кафесі ұнады, өте керемет, ата-аналарға, балаларға жақсы жағдай жасалған, осындай жерлер көп болса. администраторларға және командасына рахмет көп көп</t>
  </si>
  <si>
    <t>Рахмет! Барлыгы унады, меню дамди, в заведении чисто, ен бастысы балаларга улкен площадка бар екен, админге, ранерге рахмет!</t>
  </si>
  <si>
    <t>Өте керемет сервис ! қызметіне жүгіндік</t>
  </si>
  <si>
    <t>Заказды оте тез акеледи! Оте дамди тамактары! Семьямен келетин орын! менеджер зала оте жаксы жигит! Казахша сойлеп карсы алады аркашан!</t>
  </si>
  <si>
    <t>Ресторанның тамақтары өте дәмді. Қызметкер өте сапалы қызымет көрсетті.</t>
  </si>
  <si>
    <t>кафеге қызымыздың Туған күнің атап өтуге келдік, өте керемет тағамдары өте дәмді екен. Даяшы қыз бен администрға рақмет, Қызымызды құттықтап мәз қылдырдыныздар! Тағы келеміз.</t>
  </si>
  <si>
    <t>Сәлем! Өте керемет орын. Балалармен ыңғайлы. бауырыма үлкен рақмет бар қызметі үшін</t>
  </si>
  <si>
    <t>Туған күнді жаксы атап өттік. Құттықтауларыңыз керемет болды. Сіздерге көп рахмет. Әсіресе офицанткаға көп көп рахмет. Келсі жолы да келеміз.</t>
  </si>
  <si>
    <t>Бәрі өте дәмді болды офицант рахмет</t>
  </si>
  <si>
    <t>тамақтарыңыз өте дәмді екен отбасымызьен унемі келіп тұрамыз деген қыз кушті мллодец екен,жугіріп журіп қызмет жасады</t>
  </si>
  <si>
    <t>Өте тамаша заведение,особенно кішкентай балаларға арналған зона, ханымға өте рахмет тапсырысты уақытылы алып келді</t>
  </si>
  <si>
    <t>Бугин подружкам екеумиз келгенде раннер жақсы карсы алды.</t>
  </si>
  <si>
    <t>официантқа рахмет, жақсы сервис</t>
  </si>
  <si>
    <t>Қайырлы күн! Раннердің бізге жасаған қызметі ұнады. Жұмысыңызға береке берсін</t>
  </si>
  <si>
    <t>Жаксы жер достармен жаксы отыдык ! рахмет!</t>
  </si>
  <si>
    <t>Бәрі қте дәмді қызмет көрсету унады досым екеуміз жейі келіп тұрамыз завидени унайды рахмет көп көп</t>
  </si>
  <si>
    <t>кызмет көрсету сапасы өте жаксы</t>
  </si>
  <si>
    <t>Жаксы кызмет корсетти. Бари унады. Керемет</t>
  </si>
  <si>
    <t>Тамақтары ұнады</t>
  </si>
  <si>
    <t>Официант қыз қолын келгенше қызмет атқарған сияқты, претензия жоқ</t>
  </si>
  <si>
    <t>өте керемет жігіт , біздерге келіп сұрап тұрды не керек деп жинастырып. Осындай жұмысшыларыныз көп болсын!!!!!</t>
  </si>
  <si>
    <t>жаксы жигит, кызмет корсетуи жаксы</t>
  </si>
  <si>
    <t>Керемет кызмет корсету официанттарга коп рахмет</t>
  </si>
  <si>
    <t>маладес жақсы деңгейде қызмет көрсетіп жатыр.</t>
  </si>
  <si>
    <t>бәрі тамаша! рахмет!</t>
  </si>
  <si>
    <t>Бүгін 01.02. отбасымыз бен отырып қайттық.Тамақтары өтте дәмді болды ,әрі жылдам тез заказдарымыз әкелінді.балалар ойнайтын жерлері бар.</t>
  </si>
  <si>
    <t>Тамақтары дәмді болды, заказды өте тез әрі жылдам әкелді. қызға рахмет кушты қызмет көрсетті, супер молодец еңбекқор қыз</t>
  </si>
  <si>
    <t>Бәрі өте дәмді , құрбым мен бірінші рет келдік оған ұнады келіп тұрамыз Офик Көп рахмет</t>
  </si>
  <si>
    <t>Бізге қызмет көрсеткен молодец супер өте жақсы көрсетті тек алға.Тағы келеміз</t>
  </si>
  <si>
    <t>администраторға алғысымызды білдіреміз</t>
  </si>
  <si>
    <t>Жалпы барі ұнады.</t>
  </si>
  <si>
    <t>Алла жумыстарынызга береке берсин.</t>
  </si>
  <si>
    <t>Музыкасы күшті болды, тамақпен бірге жақсы кірді</t>
  </si>
  <si>
    <t>Бәрі тамаша тема</t>
  </si>
  <si>
    <t>Бәрі керемет</t>
  </si>
  <si>
    <t>оффициант өте керемет обслуга жасады бізге бәрі ұнады!!!</t>
  </si>
  <si>
    <t>Тамақ өте дәмді, раннерге рахмет</t>
  </si>
  <si>
    <t>Оте керемет кызмет, кызмет жаксы астары дамди рахмет улкен кызметке</t>
  </si>
  <si>
    <t>Оте керемет отбасылык кафе.</t>
  </si>
  <si>
    <t>раннер оте жаксы кызмет корсетти</t>
  </si>
  <si>
    <t>Тағамдары өте керемет, дәмді! Даяшылар жарқын жүзді! Әсіресе сұлу қызға алғысымыз шексіз! Өз қызметіне адал қыз!</t>
  </si>
  <si>
    <t>жақсы қабылдап, заказды тез әкелді</t>
  </si>
  <si>
    <t>Бугин кальян шегуге келдим, тамактар дамди, обслуживание оте жаксы десем кателеспеймин.Официанттар оте миримди, сыпайы, жигиттермен кыздар. Оларга улкен рахмет. Жарайсындар</t>
  </si>
  <si>
    <t>Бугин достарымызбен кальян шегуге келдик. Бари унады, официанттар жумыстарын жаксы аткарды</t>
  </si>
  <si>
    <t>Колян шегуге кирдик тамактануга тапсырыс бердик кыз бизге оте керемет кызмет корсетти.Барлык жерде осылай болса екен.Рахмет</t>
  </si>
  <si>
    <t>Өте Корикти қыз екен, Обслуживание оте жақсы, Балдар жақсы конил көтерді</t>
  </si>
  <si>
    <t>осы официанттарга рахмет</t>
  </si>
  <si>
    <t>оте жаксы молодец кыздар жигиттерге рахмет !</t>
  </si>
  <si>
    <t>ужымына рахмет.Шаурмаларыныз оте дамди екен.Офицант рахмет.Жаксы кызмет корсетти.</t>
  </si>
  <si>
    <t>Тамақтары да қызмет көрсетуі де жақсы, рахмет</t>
  </si>
  <si>
    <t>Бәрі Тамаша</t>
  </si>
  <si>
    <t>Бугин отбасымызбен демалуга осы шаурмага келдик. Бари унады, офицанттар оте жогаргы денгейде кызмет корсетти</t>
  </si>
  <si>
    <t>өте керемет. Тамақтарыныз ұнады.</t>
  </si>
  <si>
    <t>оте жаксы кызмет сапасын корсеттi!</t>
  </si>
  <si>
    <t>Өте дәмді болған, енді часто алып тұрамын</t>
  </si>
  <si>
    <t>Өте жақсы официанттар. Күшті жұмыс істейді</t>
  </si>
  <si>
    <t>Барлыгы тамаша, раннер оте тамаша кызмет жасады</t>
  </si>
  <si>
    <t>Бул жерде бызге унады балалар алаңы өте күшты. рақмет</t>
  </si>
  <si>
    <t>Мен бүгін балаларымен бардым, барлығы дәмді болды, қыз қатты ұнады балаларыма қарады,жақсы жұмыс жасады көп рахмет</t>
  </si>
  <si>
    <t>раннер молодец жақсы қызымет көрсетеді екен. Тамақтары өте тәтті</t>
  </si>
  <si>
    <t>Шауырманын тамактары отте керемет жаксы унады .Раннер керемет кызмет корсетти</t>
  </si>
  <si>
    <t>Бари өте керемет! рахмет! Шауырмалары өте татти</t>
  </si>
  <si>
    <t>Өте керемет, бәрі дәді болды әсіресе рахмет өте тез сапалы қызымет көрсетті</t>
  </si>
  <si>
    <t>Офицант өте керемет қызмет көрсетті көп рахмет</t>
  </si>
  <si>
    <t>деген официантқа рахмееет ! Жақсы қызмет көрсету, дәмді тағам, керемет атмосфера</t>
  </si>
  <si>
    <t>Балалар ойнайтын алаңы өте жақсы тағамдарды да өте дәмді қарындасым жақсы қызмет жасады бәріне 5</t>
  </si>
  <si>
    <t>кафелерінің ішіндегі ең үлкен әрі әдемілерінің бірі. Тұрақты клиентпін, тамақтарға сөз жоқ, соңғы рет рамен с курицей алған болатынмын қайтадан айналып келуге тұрарлық</t>
  </si>
  <si>
    <t>Өте керемет,тамақтары өте дәмді сыпайы даяшылар, әсіресе кісі жеке атап кеткім келіп отыр, әкемнің туылған күнін тортпен құтықтап көңіл күй сыйлады</t>
  </si>
  <si>
    <t>Маған унады балалар ойнайтын жери бар тамактары дәмді рахмет қызмет көрсетуі ұнады.</t>
  </si>
  <si>
    <t>Өте дәмді, тағамдар отбасымызға унайды. Жоғары дәрежеде қызмет көрсетеді.</t>
  </si>
  <si>
    <t>көп рахмет, тамақты тез, суытпай алып келді, өте сыпайы қыз, шашлык өте дәмді.</t>
  </si>
  <si>
    <t>Күшті көңіл ашар орын, балалар алаңы өте тамаша қыздар керемет балаларды сүйгіш екен. Тамаша өтті күніміз рахмет қыздарға</t>
  </si>
  <si>
    <t>рахмет тамақтар уақыттылы келді</t>
  </si>
  <si>
    <t>Қызымның туған күні керемет өтті,тамақтары дәмді. Бізге торт әкеп берген қара киген жігіт пен қызды ерекше атап өткім келеді. Офицанттардың жүздері жылы. Администратор да жақсы адам екен.</t>
  </si>
  <si>
    <t>Салем. мырзаға рақмет. Жақсы қызмет көрсетті</t>
  </si>
  <si>
    <t>Тамақтары өте дәмді всегда осында келеміз. Обслуживаниесы жаксы официантқа рахмет жаксы кыз</t>
  </si>
  <si>
    <t>кушти. тамактары дамди. супер</t>
  </si>
  <si>
    <t>тамақтары өте дәмді, көп рахмеет</t>
  </si>
  <si>
    <t>Заказдарды өте тез акеледи. даяршы өте шапшаң. Укыпты . Осы жер өте унайды . Тағы келип турамыз .</t>
  </si>
  <si>
    <t>Рахмет коп коп кыздырга рахмет</t>
  </si>
  <si>
    <t>офицант, тамақтарыңыз өте дәмді</t>
  </si>
  <si>
    <t>өте жаксы қызмет көрсетты</t>
  </si>
  <si>
    <t>өте жаксы кызмет корсетті,рахмет</t>
  </si>
  <si>
    <t>Админ көп рақмет!Туған күніміз жоғары деңгейде өтті!Өте керемет,көп көп рақмет!Респект</t>
  </si>
  <si>
    <t>Қонаққа қызмет жоғары дәрежеде!</t>
  </si>
  <si>
    <t>Қызмет көрсетуы өте керемет</t>
  </si>
  <si>
    <t>рахмет сізге. Алла разы болсын.Барлығы керемет,дәмді болды.</t>
  </si>
  <si>
    <t>рахмет күлімдеп жүргенің үшін</t>
  </si>
  <si>
    <t>улкен Рахмет.Тагамдары оте дамды,ишы таза.Баламнын Туган кунин осы жерде откиздик.Официант жигитке Рахмет керемет</t>
  </si>
  <si>
    <t>Керемет ресторан барлығы ұнады Біздің офицант жігіт барлық нарсені бірден әкеп берди Келесі де тағы келеміз Барлықтарыңызга рахмет</t>
  </si>
  <si>
    <t>Балаларды ойнатып, карап отырган қызға рахмет, өте сүйкімді, өте сыпайы сөйлеседі.</t>
  </si>
  <si>
    <t>Барлығы ұнады. Жағдай жасалған</t>
  </si>
  <si>
    <t>Мен балалар ойнайтын жерде отыратын қызға ерекше алғысымды білдіремін. Өзі сондай мейірімді. Балаларды сенімді тапсырып асықпай тамақтанып алдық. Алла разы болсын сізге</t>
  </si>
  <si>
    <t>Көп рахмет! Еңбектеріңіз жемісті болсын!</t>
  </si>
  <si>
    <t>операторлар оте керемет жұмыстары. Балаларга отношениясы тамада.коп рахмет</t>
  </si>
  <si>
    <t>Офицантка керемет қызмет көрсетті .</t>
  </si>
  <si>
    <t>Қонаққа қызмет көрсету өте жоғары деңгейде, тағамдары жақсы сапада, әрқашан күлімдеп қарсы алады. Бәріне кеңес беремін</t>
  </si>
  <si>
    <t>Ерекше алғысымды менеджер мен официантқа білдіремін!</t>
  </si>
  <si>
    <t>Рамазан айында, ауыз ашарға өте ыңғайлы жер, барлықтарыңызға советую. официант өте тамаша кісі</t>
  </si>
  <si>
    <t>Өте дәмді және тез әкелді тағамдары. Администратор өте мәдениетті және адамдармен тез тіл табыса алады</t>
  </si>
  <si>
    <t>От басымызмен келдік өте жақсы дәмхана. Орын таппай жүргенбіз администраторлар келіп орын тауып берді. Және де бізге қызмет көрсеткенге үлкен РАХМЕТ. Өте жақсы қарым қатынас жасады</t>
  </si>
  <si>
    <t>Ресторан жаксы қызмет корсете билди.... офисант Алла разы болсын. Тез тез кызметі көрсетеді, меню жақсы түсіндіріп,таңдауымызға комектести. Қазак тілде де орыс тілде жақсы сөйлейді.</t>
  </si>
  <si>
    <t>Салеметсиздерме! Бари керемет, тагамдары дамди, мырзага рахмет!</t>
  </si>
  <si>
    <t>Өте керемет демалыс орны...Тағамдары өте дәмді. Қызмет көрсетуі тез,әрі сапалы... раннерге рахмет!!!Жұмыстарыңызға табыс тілеймін!</t>
  </si>
  <si>
    <t>Өте керемет мейрамхана, тамақтары өте дәмді, қызмет көсету жоғары денгейде әсіресе қызмет көрсету унайды өте жағымды, сыпайы, қонақжайлы озимызды уйдегідей сезіндік бәрі унады коп рахмет</t>
  </si>
  <si>
    <t>тағамдары оте дәмді жәнеде балаларды ойнататын жер ушин келеміз. Бізге қызмет көрсеткен</t>
  </si>
  <si>
    <t>Тағамдары өте дәмді.Қызмет көрсету сапасы</t>
  </si>
  <si>
    <t>жаксы жумыс жасайды...Жумысына саттилик тилеймин</t>
  </si>
  <si>
    <t>қызмет көрсетуі өте жақсы</t>
  </si>
  <si>
    <t>Қызмет көрсету сапасы өте жоғары денгейде</t>
  </si>
  <si>
    <t>Қызмет етулері өте тез. Өте дәмді. Офицанттардың қызмет етуі өте ұнады. Шеф повор тамақтын ұнаған ұнамағанын сұрады. Іші өте таща. Осы жерге келіп тамақтанып, демалуларызға ұсынамын</t>
  </si>
  <si>
    <t>Өте ұнады тамағы дәмді, балалар ойнайтын жері кең, официантка өте сүйкімді жақсы қызмет көрсетті</t>
  </si>
  <si>
    <t>Барлық тағамдары өте дәмді...Қызмет көрсету сапасы өте жоғары... Әсіресе раннер..Өз жұмысын тиянақты орындайды</t>
  </si>
  <si>
    <t>Детский зона оте керемет ханым оданда керемет рахмет Алла разы болсын балаларга жаксы коніл боліп ерекше назар аударып ойнатып осындай ханым сиякты жумысшыларыныз көп болсын</t>
  </si>
  <si>
    <t>Мен бүгін ресторанда болдым обслужка ұнады Офицант жақсы қарады тамақтар дәмді тез келді</t>
  </si>
  <si>
    <t>Тамактары барлыгы татти!! Персоналдарының барлығының қызметі ұнады! Бізге қызмет көрсеткен офицантқа коп рахмеет! Өте мейірімді! Риза болып шықтық! Жақсы көңіл күй сыйлай алды</t>
  </si>
  <si>
    <t>Тамақ, сервис керемет басқа филиалдарға қарағанда</t>
  </si>
  <si>
    <t>Өте керемет орын. Қызмет көрсетуі жоғары дәрежеде. Әсіресе, рақмет сізге</t>
  </si>
  <si>
    <t>Тағамдар дәмді әрі тез келеді, обслуживание жақсы. официанткаға, рахмет</t>
  </si>
  <si>
    <t>Отбасымен осы жерге келгенді ұнатамын. Тармақтары дәмді, қызметкерлері өте сыпайы. ерекше алғысымды білдіргім келеді.</t>
  </si>
  <si>
    <t>интерьері ұнайды, тағамдары дәмді, персоналдары әр қашан жылы қарсы алады. Балалар ойын зонасы бар</t>
  </si>
  <si>
    <t>Барлығы Жақсы, официант жігіттер өте сыпайы.</t>
  </si>
  <si>
    <t>брат донерге рақмет</t>
  </si>
  <si>
    <t>Бәрі дәмді болды! Рахмет</t>
  </si>
  <si>
    <t>Өте жаксы жер. Маған ұнады</t>
  </si>
  <si>
    <t>Көп рақмет. Алғашқы рет болдық жануямызбен. администратор, официант және қалған ұжымға көп көп рақмет. Өте дәмді.</t>
  </si>
  <si>
    <t>Бәрі өте дәмді болды! жақсы сервис көрсеткені үшін көп рахмет!</t>
  </si>
  <si>
    <t>жаксы адам та жаксы адам</t>
  </si>
  <si>
    <t>жаксы кызмет корсетти</t>
  </si>
  <si>
    <t>Жаксы кызмет аткарды</t>
  </si>
  <si>
    <t>жақсы қызмет атқарды, ұнады</t>
  </si>
  <si>
    <t>Басқа филиалдарға қарағанда өте тамаша жер. Жақында келген официант өте жылдам әрі тыйанақты екен. Маған қатты ұнады. Баруға кеңес беремін</t>
  </si>
  <si>
    <t>Рахмет өте керемет</t>
  </si>
  <si>
    <t>Рахмет сізге өте дәмді</t>
  </si>
  <si>
    <t>Тамактары өте дамды</t>
  </si>
  <si>
    <t>админ молодец. керемет, тамақтары дәмді әрі тез дайындалады.</t>
  </si>
  <si>
    <t>Рахмет керемет дамди рахмет дайяшы</t>
  </si>
  <si>
    <t>Рахмет сіздерге өте керемет дәмді сағанда жақсы қызмет жасады үлкен рахмет</t>
  </si>
  <si>
    <t>рахмет оте дамді рахмет</t>
  </si>
  <si>
    <t>Рахмет ужымына. Жоғары деңгейде. Тағамдары өте дәмді. Даяшылар жылдвм тағамдарымызды әкеліп берді. Рахмет</t>
  </si>
  <si>
    <t>Өте дәмді тамақтармен таңғалдырады, әдемі қызметің үшін рахмет</t>
  </si>
  <si>
    <t>Рахмет бәрі дәмді рахмет уақытымен заказ келді</t>
  </si>
  <si>
    <t>Администрация рахмет 10деген Баға</t>
  </si>
  <si>
    <t>болдық отбасымызбен өте ұнады. Администратор өте сыпайы , мейірімді, келген қонақтарды бар жақты көңілімен қарсы алды бәріміз риза болдық.</t>
  </si>
  <si>
    <t>Бүгін бізде баламыздың туған күн болған еді, осы жерде тойладық, бізді шын ниетімен керемет қарсы алып шығарып салған официантқа үлкен алғысымды білдірем. Сондай керемет көңілді қызмет көрсетім, қонақжайлық танытты. Рахмет</t>
  </si>
  <si>
    <t>Рахмет! Тағы келеміз. Жаңа жылдарыңызбен!</t>
  </si>
  <si>
    <t>администратор өте керемет адам тамақтары өте дәмді барлығы ұнады рахмет</t>
  </si>
  <si>
    <t>Оте жаксы орын тагамдары дамди</t>
  </si>
  <si>
    <t>Бүгін сіздердің пиццарияларыңызда мастер класста болдық. Жұмысты ұйымдастыру жоғары деңгейде жасалынған! Ұлыма пицца жасаған өте қатты ұнады! Бүгінгі күнді ерекше еткендеріңіз үшін, ерекше алғысымызды менеджер мен пиццамейкерге рахметімізді айтқымыз келеді!</t>
  </si>
  <si>
    <t>Өте дәмді. Заказ берсеңіздер өкінбейсіздер. Қызметкерлердің қызмет көрсетуі өте жоғары деңгейде</t>
  </si>
  <si>
    <t>Өте керемет Барлығы дәмді, қызмет жоғарғы деңгейде</t>
  </si>
  <si>
    <t>Ең сүйкті пиццперия! Бірақ кей кезде приложения арқылы заказдарды кешіктіріп жасайды. Жалпы басқасы бәрі ұнайды</t>
  </si>
  <si>
    <t>Бұл пиццерияда жиі боламын, барлық пицца ұнайды деп айта алмаймын, алайда өзіме ұнайтыны бар. Фонданмен шай ішкен керемет! Қызметкерлері</t>
  </si>
  <si>
    <t>Мммм Өте дәмді екееен</t>
  </si>
  <si>
    <t>Аллаһ разы болсын, рахмет, дайындауға бірден кірісіп, тез әзірледі, пицца да, додстер де дәмді! Орналасқан жері ыңғайлы. Ішінде тіпті балаға арналған орайтын үстел бар (baby care table), яғни барлығы адамдар үшін</t>
  </si>
  <si>
    <t>Дәмді әрі ыстық пицца, жұмысшылар керемет. Рахмет</t>
  </si>
  <si>
    <t>қызы мұнда пиццаны жақсы көреді</t>
  </si>
  <si>
    <t>Каладагы ен жаксы пиццерия пиццссы оте дамди персонал оз жумстарын жаксы билед барине кенес берем</t>
  </si>
  <si>
    <t>Керемет жер!!!</t>
  </si>
  <si>
    <t>Пиццалары өте дәмді ! Пиццерияның іші таза , жұмыскерлері жақсы ұқыпты. Қызмет көрсету дәрежелері керемет . Рахмет ары - қарай дами беріңіздер</t>
  </si>
  <si>
    <t>Әсіресе айта кетерім курьерлерлер жарайсыздар жолда байқап жүріңіздер!</t>
  </si>
  <si>
    <t>Тағамдары өте дәмді, қызметтері өте жоғары деңгейде этика, эстетика, субординация қатаң сақталған, ұйымшыл коллектив,тағамдарымен сол жерде тамақтанып тіпті үйіме үйіме алып кеттім</t>
  </si>
  <si>
    <t>Ең дәмді пицца жанеде жұмыстарына ұқыпты,таза, адамдармен сөйлесу мәнері жоғары</t>
  </si>
  <si>
    <t>Пицца өте дәмді! Қызымет көрсету сапасыда керемет! Алға!!!</t>
  </si>
  <si>
    <t>Жұмыстарыңызға табыс тілейміз</t>
  </si>
  <si>
    <t>Оте керемет кызмет корсетти. Жоғары деңгейде адамдармен калай сөйлесуді жақсы біледі . Жане тамактары оте дәмді? Особенно плов и тебян ру салаттары тоже күшті советую. Уақтылы келіп қайта қайта хабар алып тұрды рахмет үлкен тағыда келеміз</t>
  </si>
  <si>
    <t>Мен осы жерде тамактандым өте керемет маған өте қатты унады әсіресе деген жігіт, өте керемет атқарды</t>
  </si>
  <si>
    <t>Тамақтану үшін керемет орын! Барлық персоналдары жылы жүзді, өте жақсы</t>
  </si>
  <si>
    <t>Үлкен рахмеет</t>
  </si>
  <si>
    <t>Осында жұмыс жасайтын сотрудникпын ешқандай жамандық жоқ барлығыжаксы</t>
  </si>
  <si>
    <t>Салеметсиздерме мен осы дамханада жұмыс жасаймын ешқандай қорлық жоқ барлыгы жақсы</t>
  </si>
  <si>
    <t>Достарыммен бугин осы рестаранда отырдык лагман дамди екен</t>
  </si>
  <si>
    <t>Тамактары дамди маган унады</t>
  </si>
  <si>
    <t>Манты шашлик барі дамді келіулеріне болад</t>
  </si>
  <si>
    <t>Тамактары дамщи, қызымет көрсету өте жоғарғы деңгейде, офицант бауырымызға рахмет сыпайы, қарапайым бала екен</t>
  </si>
  <si>
    <t>Тағамдары өте керемет есте қаларлықтай</t>
  </si>
  <si>
    <t>Өте керемет. Тамақтарыда дәмді. Бізді жігіт обслуживать етті. Күліп күтіп шығарып салды. Риза болдым. Сондай жігіттердің 5-6 болса тағы 5 болар еді.</t>
  </si>
  <si>
    <t>коп рахмет тамак оте дамди</t>
  </si>
  <si>
    <t>официант жаксы обслужить етты</t>
  </si>
  <si>
    <t>Жақсы істейді чайді рахмет</t>
  </si>
  <si>
    <t>Барменнің шәйі өті дәмді екен</t>
  </si>
  <si>
    <t>күшті бармен</t>
  </si>
  <si>
    <t>күшті офицант</t>
  </si>
  <si>
    <t>лимонад өте дәмді шыкты</t>
  </si>
  <si>
    <t>кушты бармен</t>
  </si>
  <si>
    <t>Өте тамаша орын, жиі келеміз. Тағамдары дәмді, даяшлылары сыпайы, қызметтеріңізге рахмет</t>
  </si>
  <si>
    <t>Бармен Оз жумысын жаксы аткарады екен лимонады оте дали Рахмет жаксы Жер екен</t>
  </si>
  <si>
    <t>Бармен оз жумысын жақсы ыстейды, лимонадтар өте дамди</t>
  </si>
  <si>
    <t>Саламатсыздар ма жақсы жер екен особенно бармен өз жұмысын жақсы атқарады ташкентский чай өте дәмді енді жиі келіп тұрамыз</t>
  </si>
  <si>
    <t>Бармен чайді жақсы істейді күшті музыкасы аурасы жақсы жер екен советую</t>
  </si>
  <si>
    <t>әдемі сымбатты тірлігі таза екен жарайсын</t>
  </si>
  <si>
    <t>жарайсын тагамдары оте керемет</t>
  </si>
  <si>
    <t>керемет тағамдары</t>
  </si>
  <si>
    <t>жарайсын</t>
  </si>
  <si>
    <t>бауырым жарайсын</t>
  </si>
  <si>
    <t>керемет жер Офитсант красапчик</t>
  </si>
  <si>
    <t>зор жер қызыметері керемет Әсіресе деген раннер бала кремет қызымет жасады ырзамын повырларга рахмет тамактары дәмді</t>
  </si>
  <si>
    <t>тамактары дәмді пловы дәмді офитцантарының қызметкері отынмен шықты ішінде бала керемет опсу жление жасады</t>
  </si>
  <si>
    <t>крута центр офитсантар қызыметері зор Әсіресе красап чик</t>
  </si>
  <si>
    <t>Оператор оз жумысын жаксы аткарды, жарайсыз</t>
  </si>
  <si>
    <t>Плов дамди болды. рахмет</t>
  </si>
  <si>
    <t>Тамактары дамди рахмет</t>
  </si>
  <si>
    <t>оте жаксы обслуживание жасады. Улкен рахмет</t>
  </si>
  <si>
    <t>Улкен рахмет. Плов оте дамди</t>
  </si>
  <si>
    <t>улкен рахмет. Тамактар оте дамди</t>
  </si>
  <si>
    <t>рахмет өте жаксы обслуживание жасады</t>
  </si>
  <si>
    <t>Кеше болдык тамактары оте тамди, особенно Лагман, Офицанттар тез алып келди заказды, Официант Рахмет</t>
  </si>
  <si>
    <t>рахмет. Керемет қызмет жасады. Тамақтары оте дәмді маған ұнады</t>
  </si>
  <si>
    <t>жарайсың тамақтары дамди</t>
  </si>
  <si>
    <t>деген балаға көптен көп рахмет айтамын сыпайы тағамдарды бізге жылдам алып келіп отырды тағамдарыда өте дәмді әсіресе хански плов келуге кеңес беремін.</t>
  </si>
  <si>
    <t>деген жигит молодец</t>
  </si>
  <si>
    <t>Ресторанның тағамдары дәмді</t>
  </si>
  <si>
    <t>ең керемет офицанттардың бірі пловтарыңыз өте дәмді</t>
  </si>
  <si>
    <t>Күшті жаксы қызмет көрсетеді</t>
  </si>
  <si>
    <t>Цомян дәмді болды, және обслуживание быстро , официантка рахмет сізге</t>
  </si>
  <si>
    <t>Барлығы дәмді әсіресе плов, рахмет жақсы қызметі үшін</t>
  </si>
  <si>
    <t>тамақтары оте керемет. жараисын</t>
  </si>
  <si>
    <t>Бәрі дәмді болды. қызға рахмет! Жақсы қызмет көрсетті.</t>
  </si>
  <si>
    <t>қызмет көрсетуіңіз ұнады,рақмет</t>
  </si>
  <si>
    <t>Алла разы болсын сизге,барлыгы жаксы ,оте дамди</t>
  </si>
  <si>
    <t>даяшы қызымызға көптен көп рахмет айтамын сыпайы тағамдарды бізге жылдам алып келіп отырды тағамдарыда өте дәмді әсіресе хански плов келуге кеңес беремін</t>
  </si>
  <si>
    <t>жаксы жумыс істиді. тағамдары өте дәмді.Жарайсыңдар</t>
  </si>
  <si>
    <t>жарайсын.Жаксы кызмет корсети</t>
  </si>
  <si>
    <t>жараисын.</t>
  </si>
  <si>
    <t>өте жақсы қызмет көрсетеді</t>
  </si>
  <si>
    <t>молодец керемет кызмет жасады</t>
  </si>
  <si>
    <t>Өте керемет тамаша атмасфера болды! рахмет керемет қызмет көрсетті!</t>
  </si>
  <si>
    <t>жарайсың! Жақсы қызмет көрсетті! Өркенің өссін, үлкен қыз бол. Кафеде жақсы атмосфера . Арттағы бір келушінің айғайлағаны болмаса мұнда барлығы керемет. Құрметті тамақтанушы қонақтар, егер тапсырысты дұрыс әкелмесе , сабырлылықпен жағдайды баяндаңыздар. Олар да адам баласы</t>
  </si>
  <si>
    <t>Өте керемет отбасылық кеш болды</t>
  </si>
  <si>
    <t>жарайсың керемет қыз</t>
  </si>
  <si>
    <t>официант жумысын жаксы откарады жаксы кызмет корсети рахмет</t>
  </si>
  <si>
    <t>керемет қызмет көрсетті. Тамақтарды оте дәмді</t>
  </si>
  <si>
    <t>күшті обслуживание ушин рақмет</t>
  </si>
  <si>
    <t>жақсы қызымет көрсетті рахмет тамақтары өте дәмді екен</t>
  </si>
  <si>
    <t>официантка коп Рахмет кызметын жогары дарежеде жасады бзге унады тамактарыда оте керемет</t>
  </si>
  <si>
    <t>оте адемы молодцы Рахмет коп</t>
  </si>
  <si>
    <t>керемет официант</t>
  </si>
  <si>
    <t>керемет кыз. Жаксы кызмет корсетеды. Тамактары дамды.</t>
  </si>
  <si>
    <t>кушти официант жаксы кызмет корсети тамактары дамди улкен рахмет</t>
  </si>
  <si>
    <t>Қайырлы кеш. Бүгін осы кафеге отбасымызбен тамақтануға бардық, іші өте әдемі, тамақтары өте дәмді екен. Барша қызмет көрсеткен қыздар мен жігіттерге алғыс айтамыз. Және де администраторларға да алғысымыз шексіз барлығын қадағалап отырған.</t>
  </si>
  <si>
    <t>жаксы кызмет көрсетті</t>
  </si>
  <si>
    <t>өте жақсы қызмет көрсетеді. пловтары өте күшті</t>
  </si>
  <si>
    <t>тамактары оте керемет. оте керемет кызмет корсетеды</t>
  </si>
  <si>
    <t>өте керемет қызмет көрсетеді</t>
  </si>
  <si>
    <t>тамактары керемет рахмет</t>
  </si>
  <si>
    <t>керемет даяшы</t>
  </si>
  <si>
    <t>Рахмет Жаксы кызмет корсети</t>
  </si>
  <si>
    <t>рақмет жоғарғы дәрежедегі қызмет көрсеткені үшін</t>
  </si>
  <si>
    <t>Тамактары керемет даяшыға Рахмет жарайсын</t>
  </si>
  <si>
    <t>улкен рахмет керемет кызмет корсетты ризамыз</t>
  </si>
  <si>
    <t>жаксы кызмет аткарды, барлыгы тамаша болды</t>
  </si>
  <si>
    <t>Официантқа рахмет тамактары оте дамды</t>
  </si>
  <si>
    <t>рахмет кушти кызмет корсетти талабын орге жузсин</t>
  </si>
  <si>
    <t>Официант коп Рахмет тамактари оте дамды бызге оте катты унады</t>
  </si>
  <si>
    <t>рахмет жақсы қызмет көрсетет үлкен рахмет</t>
  </si>
  <si>
    <t>рахмет күшті қызмет көрсетті.</t>
  </si>
  <si>
    <t>Улкен Рахмет!!! Оз жумысына тиянакты кыз Жаксы кызымет Корести Осындай кзметкерлериниз Коп болсын жумыстарынызга Саттилик!!! Тамактарыныз Оте дамди</t>
  </si>
  <si>
    <t>оператор жігіт өз ісіне жауапты әрі тиянақты. Жақсы жұмыс жасайды. Керемет!</t>
  </si>
  <si>
    <t>керемет қыз әдемі күшті официант</t>
  </si>
  <si>
    <t>жақсы офицант жақсы кыз, тамақтарыңыз дәмді</t>
  </si>
  <si>
    <t>жақсы официант</t>
  </si>
  <si>
    <t>тамақтары және лимонадтары өте дәмді. Маған жалпы барлығы ұнады. Әсіресе даяшы қыз өз қызметін тез әрі сапалы атқара білді деп ойлаймын. Бұл менің өз пікірім. Келуге кеңес беремін</t>
  </si>
  <si>
    <t>Тамактанып оте дамди, даяршы кыз оте жаксы, тапсырысты жылдам жасады.. Келуге кенес беремин</t>
  </si>
  <si>
    <t>Самый худший ресторан. Хамят !!! Блюда отвратительные !!! Испорченый праздник!!!</t>
  </si>
  <si>
    <t>Раньше заходил сюда частенько, потом после пандемии не получалось как-то зайти и вот на днях побывал тут вновь. То ли повара поменялись, то ли экономить начали жёстко прям, но шашлык из баранины с конкретным таким запахом получился. Есть с чем сравнить, бываю стабильно 2-3 раза в неделю в разных заведениях и знаю как должно быть. По ценам молчу.... все таки уровень заведения высокий и цены тут не могут быть низкими, вопросов ноль. P.s. кстати именинникам так же больше скидок не делают. Ответ официанта убил - "надо было раньше говорить, что у вас ДР" мелочь, а осадок остался...</t>
  </si>
  <si>
    <t>Летняя терраса классная, посидеть на берегу очень приятно, но: Порции маленькие. Цена-качество не соответствует. Меню не особо разнообразное. Меню с завтраками совсем скучное. На террасе сломаны колонки, постоянно прерывалась музыка. Персонал не особо дружелюбный.</t>
  </si>
  <si>
    <t>Сегодня были в столовой при кафе. Суп борщ без вкуса. Салат оливье, майонеза очень мало, сухой. Компот это очень дорого. Цены столовой очень завышены. Качество блюд желает лучшего. Для супа это тоже очень дорого. Плов, при этом даже вес независили.</t>
  </si>
  <si>
    <t>Заходили 2 раза. По кухне замечаний нет. Вкусно, но меню очень ограниченное. А вот по официантам много вопросов. При первом посещении работала хорошая смена. Обслужили быстро, вежливо. Правильный порядок подачи блюд. А во второй раз, как будто попали в другое заведение. Даже одно из блюд подали не в полной компановке. Не учли пожелания в последовательности подачи, минут 10 не подавали меню, хотя занятых столиков было 3-4 штуки. Чуть лучше стало после того, как подошёл дежурный администратор. Работают очень молодые девушки. Наверное, надо для них организовать учёбу, или ответственнее их подбирать.</t>
  </si>
  <si>
    <t>Пишу отзыв про кафе. Сделали предзаказ внесли аванс. Посидели, отдохнули, чек был, заказ оплатили, также уточнили у официанта вошла ли сумма нашего залога, сказали «да конечно». Наша ошибка была, что без задней мысли мы оплатили счет и ушли домой. Также заказывали коктейли по акции 2+1. На следующий день позвонили с кафе извинились, оказалось, что сумму аванса не учли и вернут аванс. В итоге открыли чек и решили перепроверить, в итоге никакую акцию не посчитали, очень не приятная ситуация оказалась в итоге. Позвонили в кафе, администрация попросила принести чек, в итоге предложили коктейли с собой или выпить в кафе. Советую проверять чек на месте и сразу, т.к. кажется заведение совсем не дорожит своим имиджем.</t>
  </si>
  <si>
    <t>Ужасное место. Исходя из названия заведения, решили взять пару кусочков пирогов, это была ошибка. Лучше бы пошли поесть шаурмы. Пироги сухие, невкусные, да ещё и со скорлупой от яиц. Взяли пирог с капустой, пюре и курицей. Ужас. У пирога с картофельным пюре вкус как от пюре из доширака, у куриного нет вкуса грибов, хотя они там есть, а в пироге с капустой нашли скорлупу. В общем, не советую данное заведение.</t>
  </si>
  <si>
    <t>Ну что, была я в этом году в данном заведении. Гостей много, с большим трудом нашла место за стойкой у окна. Расположение кафе хорошее, интересный подход к организации пространства. Есть туалет, но как всегда очередь, не попла, про чистоту не скажу. В прошлом году была в этом кафе, название было другое, посуда одноразовая. Скорее всего хозяин поменялся. Сейчас посуда красивая, многоразовая. Ну а сейчас пройдем по персоналу и общей концепции заведения! На стойке бара мне сказали присаживайтесь, к вам сейчас подойдут. С большим трудом нашла место. Минут через 10 пришла девочка, принесла меню. В меню указано круасан 2 шт в порции. Я заказала круасан и глинтвейн. Меня предупредили, что круасан выпекается по факту, 20 минут. Минут через 15 принесли напиток и круасан 1 шт разрезанный на 2 части. Приборов нет, попыталась есть руками, но как то не то. Попросила приборы, принесли коробку с ножами и вилками и просто кинули на стол, но быстро убрали салфетки, которыми я вытерала пальцы и все это над моей тарелкой. Замечу выпечка вкусная, глинтвейн кислый. Но меня убило другое.... не успев положить в рот крайний кусочек круасана, у меня выхватили тарелку, а может я хотела облизать ее??. Я аж испугалась. В целом вкусно, но персонал напряг прям. На вопрос где второй круасан, сказали только один!!!!</t>
  </si>
  <si>
    <t>Не удобные столы,прохладно, долгое ожидание</t>
  </si>
  <si>
    <t xml:space="preserve">Как будто каждый сам по себе. Такое ощущение что сотрудников оставили без руководства. </t>
  </si>
  <si>
    <t xml:space="preserve">Постоянно одна и та же картина в фудкорте. Толпы подростков занимают все места и ведут себя, как животные- дерутся, орут, матерятся. С ребенком лучше туда не соваться. Видать, администрации все равно, что люди не будут туда ходить, останутся только подростки, которые гадят, орут, ломают и ничего не покупают. Никому не советую. Ходить туда, только портить настроение. Лучше пойти в тихое приличное место за те же деньги. </t>
  </si>
  <si>
    <t>Магазинов мало, кинотеатр дорогой.</t>
  </si>
  <si>
    <t xml:space="preserve">Сегодня побывала в заведении. В принципе было не так уж и плохо. Мухи не особо донимали, потому что все сидели на лампе и сношались. На окне лежала мёртвая моль. "Крылья" были отвратительные, пережаренные. Картофель по деревенски тоже подгорел. За такую еду ценник сильно завышен. Царит полная антисанитария. Стулья и столы липкие от грязи, персонал работает очень медленно. Поэтому заказ ждала очень долго. Но есть и плюсы. Чай и сырный соус были очень вкусными, Воппер был неплохой. Не смотря на "море" плюсов, в эту точку я не вернусь никогда. </t>
  </si>
  <si>
    <t xml:space="preserve">Моё любимое место было. Больше не ногой. Разочарованию нет предела. Ужасного качества продукты использованы. Картошка мертвая, сухая, без вкуса, долго лежала после приготовления. Я не говорю, что ни лука, ни лимончик не положили. Элементарно салфеток не дали. Увольте нахрен повтора, верните старого. </t>
  </si>
  <si>
    <t>Еда вкусная. Облепиховый чай, мясо, национальные лепешки. Была летом никаких особых проблем с обслуживанием не было, благодаря чему и посещала этот ресторан на ужин несколько раз. Но в январе пришла в ресторан, администратор посадил меня за столик и на этом все закончилось. В зале были заняты всего пару столиков, официанты весело болтали с барменом за стойкой. В итоге прождав без малого минут 45, несколько раз нажав на кнопку вызова официанта, ушла есть в другой ресторан. Не совсем понятно такое отношение к гостям.</t>
  </si>
  <si>
    <t>Маленькое, уютное кафе. Вкусные напитки, хорошая атмосфера. Но, чтобы дождаться одного напитка пришлось стоять 40 минут! Хотя перед нами было 4 человека. Очень медленно работет девушка-бармен, вторая девушка и на расчёте и достаёт стикеры и открытки тем, кто уже сделал заказ....а все остальные стоят и ждут. Про еду не скажу, т.к. даже присесть не где, на столько маленькое кафе. На вопрос, где можно сесть, ответили, что всё занято, хотя на брони был один стол. После этого даже и заказывать ничего не захочется. Очень маленький выбор стикеров, всего 2 группы, из женских групп было 2 карточки и всё????? Напиток был вкусным, но общее впечатление это не изменило. В следующий раз пройдём мимо этого кафе.</t>
  </si>
  <si>
    <t>Красивое место в центре, хорошие виды, приятная атмосфера. Цены чуть выше среднего. По меня заказали уху, стейк, картофель, селёдку, салат с угрем и крем-брюле и фирменные настойки. Самое вкусное из заказа крем-брюле и уха, остальное твёрдая тройка. Никак не впечатлило, как поесть то можно, как получить удовольствие, то только от атмосферы. Кухня не понравилась.</t>
  </si>
  <si>
    <t>Небольшой ресторан с хорошей обстановкой. Цены завышены в процентов на 50 от среднего уровня центра города. Для постояльцев гостиницы скидка 15 процентов. Качество пищи удовлетворительное. Борщ был пересолен. Шашлык приготовлен достойно, но много жил.</t>
  </si>
  <si>
    <t>Попали в 90-е, по вечерам громкая живая музыка с синтезатором и средним вокалом, репертуар шансон. Кухня ниже среднего, ждать долго. Приносят не синхронно закуски и горячее, хотя нас было двое. Официант был достойный. Вид очень классный! Хорошие местные настойки. Интерьер средний</t>
  </si>
  <si>
    <t>Заехали покушать, думали что кафе аналогичное в другом месте. По атмосфере и обслуживанию прекрасно, а вот по блюдам очень плохо. В салате зелень не то что не свежая, а ЗАСОХШАЯ и чтобы в глаза не бросалась в самый низ положили. Свинина есть невозможно - резина, говядина тоже. Все блюда из меню на мангале отсутствуют, и это во второй половине дня. Впечатление как будто тебя кормили вчерашним. Из всего что заказывали только чай был хорошим.</t>
  </si>
  <si>
    <t>Последний поход - просто песня и сказка)) По порядку: 1) Еда (был заказан стейк, люля и всякое по мелочи) - претензий 0, единственное что стейк было трудно порезать, но тут скорее вопрос к заточке ножей. Вкусно, добавить нечего 2) Обслуживание. Здесь прикол на приколе. Штопор за стол, где проводится банкет они не дают, иначе мы его украдём, если персонал просить открыть вино - то можно постареть, так и не вкусив виноградного напитка, потому что "Я одна работаю на 5 веранд", музыкальные колонки висят, но пользоваться ими нельзя, вдруг они сгорят, короче интересное обслуживание, мы поржали) 3) Цена. Вполне адекватные ценники для заведения с такой проходимостью. 4) Общий антураж. Был тут немалое количество раз и каждый раз одно и тоже, ближе часам к 10 вечера приезжает наряд полиции. Либо кого-то избили, либо кого-то ограбили, либо и то и то. Здесь собираются совершенно разномастные компании, поэтому если идешь туда - будь морально готов встретить не совсем трезвого человека, которому ты вряд ли понравишься. 5) По поводу развлекательных мероприятий, которых тут одно - танцы. Тут присутствует диджей, у которого можно даже заказать любимую песню, но с рядом ограничений, которые он вынужден соблюдать. Никакого блатняка, исключительно песни 90-х. Выход к танцполу из отдельных так скажем верандочек вы попадаете в большой зал, в котором прохладно, потому что дверь на улицу открывается каждые 35 секунд. В целом тут весело и вкусно, всем рекомендую!</t>
  </si>
  <si>
    <t>Раньше бургеры были вкуснее. И это не только здесь, это во многих, где я был. Неудобно найти, если ехать с дороги. Информеров явно не хватает. Не понятно, слышит тебя оператор или нет, говорить из машины приходится почти в крик. Ожидать заказ в паркинге, где жуткий запах выхлопа, не комфортно. Да и зона ожидания тесная на пару машин всего. Но заказ выдали быстро. Луковые кольца вкусные.</t>
  </si>
  <si>
    <t>Все очень рекомендуют кафе. Посетили, но сказать вау не могу. Цены на еду завышены, возможно связано с тем, что у прибрежной зоны повысили цены на аренду?????. Готовят вкусно, вафли вообще восторг.</t>
  </si>
  <si>
    <t>Выбрали по отличным отзывам, шли намеренно в данное заведение...как оказалось, зря. Зазывающий мужик - хам, который по непонятному принципу сажает к морю. Стол только освободился - туда нельзя, если освободится рядом, пересесть тоже нельзя, зато следующим туда сесть можно и аж провожают. Спрашиваешь его почему нельзя? Ну мало ли резерв... - потому что нельзя! Спрашиваешь официантов почему нельзя - никто не знает. Сначала сели...но поскольку на входе уже получили негативное отношение, решили пойти дальше, благо конкуренции много.</t>
  </si>
  <si>
    <t>Неплохие завтраки, кофе холодный и горький и совсем невкусный. Дескрты на вид красивые но на вкус не очень. Цены сильно завышены</t>
  </si>
  <si>
    <t>Цены!!! Как в элитном ресторане. По факту ну такое себе. Да 24ч работает, да асортимент. Но не за такие деньги. Ценники нечитаемы.</t>
  </si>
  <si>
    <t>Вам тут не будут рады, при чеке в кафе, попросят денег за уборную. Очень не свежие продукты, были на завтраке у всех настроение испорчено. Персонал как на каторге, кроме афициантки.</t>
  </si>
  <si>
    <t>Раньше было чище ....жаль что такое место проподает и цены для кого такие... Для мажоров?</t>
  </si>
  <si>
    <t>Были тут пару недель назад. Заказали том ям, мидии, жельен из рапана, осьминога. Всё кроме том яма принесли холодное(( были с ребёнком и разбираться было некогда, почему так произошло и чтобы хотя бы подогрели. Был вкусный только хлеб.</t>
  </si>
  <si>
    <t>Сегодня проезжала, была очень голодна и посетила данное заведенье. Пончики не люблю, взяла чебуреки: cо свининой с зеленью и с бараниной + кофе. По два укуса каждого чебурека достаточно чтобы понять, вкусная только зелень! Внутри жуткого качества склизкая масса вместо мяса! Кофе -это не кофе.</t>
  </si>
  <si>
    <t>Неоправданно завышенные цены в меню. Это заведение явно не соответствует ценовой политике. Блюда не вкусные. Дважды брали бефстроганов, вкус горчит! Долить кипятка в чайник с заказанным чаем жалко. Обслуживание долгое, минут 30 минимум на ожидание заказа.</t>
  </si>
  <si>
    <t>Посещали данное заведение 30 января этого года. Забежали поесть перед отъездом. Заказали 2 супа и хинкали, предварительно уточнив у официантки, успеют ли нам отдать заказ быстро, так как через час у нас электричка, на что официантка нас уверила, что через 15 минут нам принесут все блюда. По итогу удалось поесть только суп, через 35 минут ожидания уточнили, когда все таки принесут хинкали, на что услышали ответ, что нужно еще подождать 5-10 минут. Ресторан был полупустой, мы не стали ждать, и нам не вернули деньги за блюдо, которое даже не принесли! Поэтому не могу посоветовать данное заведение для посещение, уровень сервиса сильно хромает.</t>
  </si>
  <si>
    <t>В целом хороший развлекательный центр, рассчитан на детей с 1 года, но нет комнаты матери и ребёнка, даже поменять подгузник и подмыть негде. Следят за взрослыми детьми только в выходные дни, по-моему. А некоторые ведут себя безобразно, пока родители трапезничают. Из плюсов: Доступность. Чистота.</t>
  </si>
  <si>
    <t>Еда просто пушка. НО! ЕСЛИ НЕ БРОНИРОВАЛИ СТОЛИК, ТО ЛУЧШЕ НЕ ИДТИ, ЧТОБЫ НЕ ИСПОРТИТЬ НАСТРОЕНИЕ. Поясню почему: Крайне смущает километровая очередь в заведение, которая очень сильно отдает ожиданием на протяжении 20 минут, без возможности сесть или отойти. При этом переодически проскакивают особо наглые. Теряется какая-то премиальность и ламповость заведения. А бронирование осуществляется аж за два-три дня из-за чего теряется чувство приятной спонтанности. И как предложение ввести уже наконец электронную очередь, в которую можно будет добавиться только при личном присутствии с подтверждением телефона, что позволит не стоят и ждать 20 минут на ногах, а пройтись по магазинам</t>
  </si>
  <si>
    <t>Еда более-менее, за остальное минус. Трубку не берут, в очереди отстояли полчаса точно, видно, что пропускают «своих». У персонала отношение пассивно-агрессивное, как будто одолжение делают, что вообще к тебе подходят. Не советую.</t>
  </si>
  <si>
    <t>Почему я пошел в этот ресторан? Три года назад там было просто супер. Год назад дно. Думал вдруг изменились в лучшую сторону? Вдруг не произошло. Кухня стала еще хуже чем год назад. Все блюда оказались просто отвратительными! Стейк бар? Серьезно? С одним стейком под разными соусами? Салат с жареными баклажанами! Банальщина! И его не осилил! У официантки 10 раз спросил. Принесла фискальный счет??? Да-да! Ага! Фиг она его принесла! А я ей еще и на чай оставил! По итогу, заведение не рекомендую никому! Командировочным категорически посещать нельзя! Потом не отчитаетесь никогда!</t>
  </si>
  <si>
    <t>Были вечером. Загруженность небольшая. Оформлен неплохо. Еду подавали достаточно быстро. Но!... Шашлык мякоть взяли пол кило-просто дрянь. Один жир, пересушеный, холодный. Овощи на гриле недожареные. Цена-конь. Общение персонала так себе. Пиво-вода. Больше ни ногой.</t>
  </si>
  <si>
    <t>Кафе внешне заманивает, но детская комната платная 1 час , море продукты готовят с майонезом:(, блюдо блевота. Официанты стараются, вынос очень долог, по времени врут. Если на все эти нюансы не заморачиваться то всё вроде ни чё.</t>
  </si>
  <si>
    <t>Медленная смена а именно вечер время под вечер ждал заказ 30 минут ?? обслуживание особенно к курьерам</t>
  </si>
  <si>
    <t>Все хорошо, персонал норм. Но тут часто бывают гопники (как они себя называют "БКашники"). А в целом норм</t>
  </si>
  <si>
    <t>Доставка: Часто забывают класть лаваш, хлеб, особенно соусы и приборы. Цены взлетели до небес, а размер порций упал на самое дно. Даже кусочки шашлыка отрывают специально чтобы не дай бог больше граммов было. Еда вкусная это да, но ЦЕНА И КОЛИЧЕСТВО - это полное ДНО.</t>
  </si>
  <si>
    <t>Вкусно, но грустно. Некогда мое любимое заведение начало сильно скатываться. 1. Все сильно подорожало. Тут в принципе все ясно. События такие происходят, что все дорожает. 2. Том Ям тут брать не стоит. За свои деньги - это совсем плохо. Он очень пустой... 3. Фо Бо - мне зачастую везло, говядины всегда было много, она мягкая, свежая. Бульон насыщенный. Бывало, правда, что ростков пшеницы не было или чипсиков рисовых. В последний раз говядина была старая, не жевалась вообще. 4. Пересоленная лапша с морепродуктами, которых становится все меньше и меньше. 5. Самый большой минус: обслуживание. Девушка за кассой стоит настолько отмороженная, что иногда хочется помахать перед ее лицом рукой и сказать "вообще-то я тут гость, алло!!!". Уже не первый раз замечаю, что им ОТКРОВЕННО плевать на посетителей... Очень жаль, но больше к вам ходить не хочется совершенно.</t>
  </si>
  <si>
    <t>Решили компанией сходить отметить День рождения. Именинник приехал и никогда не был здесь. Мы искали для торжества кафе с кавказской кухней, предварительно забронировали стол на 7 человек. В кафе нас никто не встретил, за стойкой стояла недовольная женщина, которая пальцем показала, где наш стол. Сначала мы ооочень долго ждали, что к нам подойдут, чтобы принять заказ, но в итоге самим пришлось идти и звать эту женщину. Делать заказ тоже было сложно, просили совета у женщины, но она с отсутствующим видом просто стояла и ждала, пока мы сами сообразим. Теперь о еде. Впервые пробовала греческий салат с уксусной заправкой, ужасно. Шашлык съедобный, оджахури с бараниной мужу очень понравилось. Харчо - это что-то очень жидкое, непохожее на харчо. Пока мы сидели и ужинали, никто к нам не подходил, сидели за столом с горой грязных тарелок. Про заказанный мной чай, официантка вспомнила только когда мы уже собирались уходить. Хотела оплатить счет через эквайринг, но женщина категорически не хотела, чтобы я платила картой. Сначала уговаривала, чтобы я перевела деньги на номер телефона, потом требовала, чтобы мы своей компанией насобирали наличкой. Потом стала утверждать, что эквайринг не работает, хотя он был передо мной и в рабочем состоянии. В общем, я настояла на оплате картой через терминал оплаты, чем вызвала негодование женщины. Впечатления от отношения к гостям и ужасного обслуживания самые негативные. Второго нашего визита сюда не будет. Не рекомендую к посещению!</t>
  </si>
  <si>
    <t>По еде и напиткам нареканий нет, но обслуживание оставляет желать лучшего. Был забронирован стол на субботу вечер, мы пришли вовремя, на входе нас никто не встретил, официанты проходили мимо и делали вид, что не видят и не слышат нас. Когда пришлось чуть ли не криком привлечь внимание одного из них, нам сказали наотмашь "сейчас к вам подойдут". Прошло еще какое-то время, наконец появился хостес. Он не очень вежливо уточнил у нас, где третий гость, а потом лениво подозвал другого сотрудника взять наши куртки в гардероб. Эти 15 минут у входа уже формировали не самое классное впечатление о ресторане, но вишенкой на торте стал следующий комментарий, когда мы подходили к нашему заранее забронированному столу: "Знали бы вы, кого нам пришлось попросить освободить это место…". Мне тогда очень хотелось так же язвительно ответить, но я оставила этот пассаж без ответа. К слову сказать, мы несмотря ни на что улыбались и разговаривали со всеми корректно. В общем, кого они там попросили уйти, я не знаю, но зато знаю, что больше в это заведение не приду и никому это место не порекомендую :)</t>
  </si>
  <si>
    <t>Ужасное заведение, никому его не посоветую. Готовят не вкусно. Заказывали плов это одно название рис как каша, мясо старое даже прожевать не возможно, сухое. Мало того разогревают всю еду в микроволновке. Официанты работают медленно наличие меню не знают, мало того ежа не вкусная мы приборы ждали минут 20 все остыло. Было нас четыре человека двум принесли одно название похожее на плов, через 15 минут принесли для девушки салат который не соответствует меню по ингредиентам. Мне принесли еще через 20 минут. Когда уже все поели и ждали потом когда я покушаю. Даже одной звезды не заслуживают.</t>
  </si>
  <si>
    <t>Ужасно! Были. Дорого и не вкусно, столы жирные и грязные как в забегаловке на обочине, пахнет жареным.</t>
  </si>
  <si>
    <t>Вчера с семьёй посетили это заведение, уютно, тепло, персонал хороший, но цены не соответствуют серверовке и подаче заказов, обслужили как в дорожной забегаловке, не приятно, американо холодное принесли, пришли с улицы, замерзли и тут подача такая, шашлыки были пересоленные, пельмени очень вкусные вот их советую всем. Мороженное принесли ужасное месиво, там шариками и не пахнет, да и не понятно было ли там вообще 4 шарика! Лепёшки вчерашние, жевать было не возможно, у свежей лепёшки совсем другой вкус, есть детский уголок с карандашами, но нет бумаги, дети попросили порисовать, бумагу так и не нашли. Весь персонал сидел за соседним столом, не приятно было слышать что они обсуждают. Однозначно туда не вернемся.</t>
  </si>
  <si>
    <t>В целом вкусно, но много нюансов. Указала в заказе 3 персоны, привезли наборы на 2. В сет прописаны в описании рыба лосось и угорь, по факту 2 вида роллов были с какой-то консервой, а там где был предположительно угорь, на наш взгляд это больше напоминало кусочек брюшной части какой-то речной рыбы, и по запаху тоже. Соус— майонез. Пицца вкусная.</t>
  </si>
  <si>
    <t>Это просто ужас. Морепродукты даже не вчерашние. Шашлык отдельная история. Ребенок отравился, у нас тоже прихватил желудок, хорошо таблетки были. Алкоголь, а именно пиво просто моча. Вино продают как дорогое а по факту бадяга.</t>
  </si>
  <si>
    <t>Отзыв -10. Объясню почему. Ехали. Январь месяц. Решили пообедать с красивым видом. Так вот... Что-бы сесть в ресторане нужно купить билеты иначе зайти нельзя. Билеты со взрослого. Вдвоём зайти и сесть в ресторан уже нужно отдать, и ты ещё даже стакан воды не выпил. Почему нельзя сделать отдельный вход с улицы? Или пусть ресторан берет на себя расходы за вход. Жду с нетерпением ответ от Администрации.</t>
  </si>
  <si>
    <t>По еде вопросов нет - всё вкусно. Официанты тоже приятные, вежливые. Вопрос только ко времени нахождения. Пришли в субботу в час дня, сразу поинтересовались, есть ли свободные места, на что нам ответили: «да, конечно! Проходите, раздевайтесь». По итогу, когда нас провожали в зал, сказали, что мы можем посидеть только 2 часа. Что?! Я еще могу понять ограничения в обеденное время в будни, но в выходной, когда я хочу посидеть в хорошей обстановке, не торопясь поесть, пообщаться, что за ограничения?! Самое интересное, что ресторан был практически пустой. Ситуация очень испортила впечатление, хотя была здесь не раз, но с таким столкнулась впервые</t>
  </si>
  <si>
    <t>Пришли - одному столику песен 5. Надоело ждать свою очередь и поехали домой. Ребята поют хорошо, но серьёзно</t>
  </si>
  <si>
    <t>Столики на пороге стоят в воде, что после дождя. Никому нет дела, чтобы ее убрать. Кофе среднего качества. Ценовой диапазон примерно, как и в других кофейнях.</t>
  </si>
  <si>
    <t>Ужасное заведение, первый раз с таким сталкиваюсь. Забыли про наши котлеты, ждали их аж 50 минут. Очень не советую это место. Обслуживание прям очень очень долгое, если спешите вам явно не сюда.</t>
  </si>
  <si>
    <t>Уточняйте грамовку заказа. Брал заказ стейк, цена - или около того. В итоге в чеке получил одно и то же блюдо 3 раза. На вопрос почему так, сказали, что такую грамовку положил повар, а она соответствует 3-м таким заказам.</t>
  </si>
  <si>
    <t>Время ожидания заказа составило 4ч, это очень долго при обещанных 80мин. Заказали, привезли. Само заведение находится от нас в 15 мин. Нас конечно предупредили, что время ожидания увеличено, но сказали, что привезут к определенному времени. Не рекомендую. Вся ответственность находится на поворах. Электронный чек, который обычно приходил после 10 минут оформления, в этот раз пришел поздно, неудивительно, что и заказ так поздно доставили, к курьеру притензий нет никаких, он единственный, кто извинился, за долгую доставку, хотя после его звонка прошло всего 10 минут. Новое меню, не оправдало ожиданий, вкус суши и их качество стало хуже, чем было до этого. Однозначно будем искать другую доставку. Рыба на филадельфии мороженная, очень не приятных привкус, из нового меню заказали салат-рол с курицей очень сильно отдает красный перец и перебивает весь вкус. Ролы большие, но качество такое себе. За такие деньги, можно найти вкуснее и быстрее</t>
  </si>
  <si>
    <t>ужасный официант, не воспитана и не обучена ресторанному сервису. Хамское отношение к клиентам и незнание меню. Сервис 0. По самому ресторану. Выбор минимален. Кофе все горькие, сахар официант принёс только когда потребовали уже. Десерт "сметанник" не сметанник это во первых, во вторых кислый, кто будет брать, если вы сладкоежки не берите такое, вы кинете, как сделала я. Не возможно вместо десерта есть кислятину. Блюда приготовлены посредственно, все чересчур соленые. Из плюсов вид красивый, но это не относится к самому ресторану.</t>
  </si>
  <si>
    <t>Красивый интерьер, приятная веранда. Не большой выбор еды, но есть интересные позиции. Решили посетить данное заведение семьей. К сожалению, долго никто не подходил, чтобы обслужить нас. Пришлось уйти - по этому такая оценка.</t>
  </si>
  <si>
    <t>Абсолютно посредственное заведение. На взяли сет N3, отдельно гавайский бургер, маленькую картошку, 2 соуса и 2 напитка, ценник средний, некоторые позиции меню откровенно дорогие. Картошка сильно пересолена, гавайский бургер не оставил ни положительных, ни отрицательных впечатлений, идея хороша, но исполнение не очень, ананас в бургере одним куском в центре и перебивает вкус всего остального. Напитки только бутылочные, было бы здорово увидеть что-то авторское. Помещение в целом чистое, но стол был немножко липкий. Интерьер для такого типа заведений вполне стандартный, ничего особенного. В целом ничего плохого сказать не могу, но и возвращаться сюда не за чем</t>
  </si>
  <si>
    <t>Атмосфера- это мелочей начиная с интерьера заканчивая посудой и главный управляющий ею это официант!</t>
  </si>
  <si>
    <t>По интерьеру и чистоте санузла -рыночная забегаловка. Но! Если хотите вкусно, сытно и бюджетно поесть, то рекомендую сюда заглянуть. Шашлык, ножки и люля отличные. Порции большие, половину завернули с собой. Не рекомендую для романтического свидания и семейного обеда, но если заехать и взять на вынос, то останетесь довольны.</t>
  </si>
  <si>
    <t>Отмечали недавно корпоратив, еда посредственная, подавляющей части гостей горячее принесли уже холодным. Администраторы хамы, клиентоориентированность персоналу не знакома, проблемно сразу предоставить корректные документы по оплате для компании, если гости что то забыли, то можете сразу попрощаться! Единственный плюс - это виды, река, ландшафтный дизайнер поработал хорошо, на этом собственно все</t>
  </si>
  <si>
    <t>Незнаю как другим посетителям, но мне там вообще ничего не понравилось. В салатах одна капуста, официанты вообще передвигаются как улитки, постоянно всё забывают приходилось по 3 раза подходить напоминать. Не рекомендую</t>
  </si>
  <si>
    <t>Разочаровала кухня, в последний раз там обедали. Праздничный обед был провален полностью. Рекомендую поискать другое место</t>
  </si>
  <si>
    <t>Всем читающим добрый день. Был здесь на выходных. Первый раз зашли в заведение - оно было практически пустое. Пошли в бар, выпили 2 набора шотов. Один набор взяли с собой - 10 шотов в пластиковых стаканчиках + лёд + тоник. Вернулись в этот же бар позже. Бармен, решив что наша компания очень пьяненькая, за 4 настойки разбавленные тоником взял слишком много. Очень неприятно, что обманывают посетителей. На месте ругаться не стал, т.к. не привык взаимодействовать с такими... личностями. Больше не пойду</t>
  </si>
  <si>
    <t>Спорное кафе, будьте внимательны в один из 5 визитов было чувство что разогрели вчерашнее, атмосфера столовой , никаких изысков, пришли покушали ушли.</t>
  </si>
  <si>
    <t>Ужасно испортилась еда. Купила сегодня котлеты с пюре, они совершенно невкусные но была голодной и поела. Через несколько минут начали чесаться виски: последний раз такое было полгода назад от кумквата. Сильную аллергическую реакцию на якобы «хороший» состав сняли только таблетки от коллег. Не рекомендую. Плохая еда</t>
  </si>
  <si>
    <t>Протеду молчу, один раз пробовал, не понравилось. Но больше всего бесит персонал!!!! Я говорю заказ, она в телефоне, потом переспрашивает! И так каждый раз. Очень долго делают элементарные вещи!!!</t>
  </si>
  <si>
    <t>Очень противоречивые впечатления оставил о себе данный ресторан. Интерьер показался мне уставшим и обшарпаным, хотя на фото смотрится классно. Готовят вкусно, здесь нет претензий. И обслуживание достаточно быстрое. Персонал доброжелаиельный. Неприятно удивил один момент - официантка предложила добавить креветок в том ям - штучек 5. Я как-то не предала этому значения, но охренела, когда принесли счёт. Оказалось - одна креветка стоит 100 руб. Нет, не королевская, прошу заметить. Обычный головастик. Ребят, вы там что курите, когда ставите такие цены. В итоге добавленные креветки получились дороже самого супа. Было ощущение, что тебя обманули. Очень неприятно. И о таком нужно предупреждать.</t>
  </si>
  <si>
    <t>Удобное расположение, хороший интерьер, вежливый персонал. Но увы, было не вкусно. Жесткое мясо утки с холодным гарниром - это на любителя. Не советую, если хотите поесть, а не просто провести время в компании</t>
  </si>
  <si>
    <t>Может и уютное заведение. Но обслуживание ужасное. Заказ ждали полтора часа ( макароны ) взрослым принесли а дети сидят голодные. Вообщем заведение не айда(((((</t>
  </si>
  <si>
    <t>Заведение отличное! Во всех локациях! Но есть официант с черной бородой, специально задевает, грубит, общается по хамски, забывает обслужить. Печально зайти в знакомое, полюбившееся всей компанией заведение, и наткнуться на такой непрофессионализм… либо в сфере подбора персонала, либо в общем-что врятли.</t>
  </si>
  <si>
    <t>Раньше это заведение называлось иначе и вкуснее готовили. На этот раз случайно зашли пообедать. Все заказанные блюда были отвратительные. Первое блюдо со специфическим привкусом. Называлось солянкой. Это разведенный кипяток с соусом, одной оливкой и стружкой сырого овоща - типа редьки. Второе блюдо было пережарено и подгорело. После такой еды была изжога и горечь во рту. Больше туда ни ногой.</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</si>
  <si>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</si>
  <si>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</si>
  <si>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</si>
  <si>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</si>
  <si>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</si>
  <si>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</si>
  <si>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</si>
  <si>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</si>
  <si>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</si>
  <si>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</si>
  <si>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</si>
  <si>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</si>
  <si>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</si>
  <si>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</si>
  <si>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</si>
  <si>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</si>
  <si>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</si>
  <si>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</si>
  <si>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</si>
  <si>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</si>
  <si>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</si>
  <si>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</si>
  <si>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</si>
  <si>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</si>
  <si>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</si>
  <si>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</si>
  <si>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</si>
  <si>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</si>
  <si>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</si>
  <si>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</si>
  <si>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</si>
  <si>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</si>
  <si>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</si>
  <si>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</si>
  <si>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</si>
  <si>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</si>
  <si>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</si>
  <si>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</si>
  <si>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</si>
  <si>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</si>
  <si>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</si>
  <si>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</si>
  <si>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</si>
  <si>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</si>
  <si>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</si>
  <si>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</si>
  <si>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</si>
  <si>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</si>
  <si>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</si>
  <si>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</si>
  <si>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</si>
  <si>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</si>
  <si>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</si>
  <si>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</si>
  <si>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</si>
  <si>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</si>
  <si>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</si>
  <si>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</si>
  <si>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</si>
  <si>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</si>
  <si>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</si>
  <si>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</si>
  <si>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</si>
  <si>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</si>
  <si>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</si>
  <si>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</si>
  <si>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</si>
  <si>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</si>
  <si>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</si>
  <si>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</si>
  <si>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</si>
  <si>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</si>
  <si>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</si>
  <si>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</si>
  <si>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</si>
  <si>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</si>
  <si>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</si>
  <si>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</si>
  <si>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</si>
  <si>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</si>
  <si>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</si>
  <si>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</si>
  <si>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</si>
  <si>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</si>
  <si>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</si>
  <si>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</si>
  <si>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</si>
  <si>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</si>
  <si>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</si>
  <si>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</si>
  <si>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</si>
  <si>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</si>
  <si>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</si>
  <si>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</si>
  <si>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</si>
  <si>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</si>
  <si>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</si>
  <si>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</si>
  <si>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</si>
  <si>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</si>
  <si>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</si>
  <si>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</si>
  <si>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</si>
  <si>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</si>
  <si>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</si>
  <si>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</si>
  <si>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</si>
  <si>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</si>
  <si>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</si>
  <si>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</si>
  <si>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</si>
  <si>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</si>
  <si>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</si>
  <si>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</si>
  <si>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</si>
  <si>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</si>
  <si>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</si>
  <si>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</si>
  <si>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</si>
  <si>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</si>
  <si>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</si>
  <si>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</si>
  <si>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</si>
  <si>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</si>
  <si>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</si>
  <si>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</si>
  <si>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</si>
  <si>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</si>
  <si>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</si>
  <si>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</si>
  <si>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</si>
  <si>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</si>
  <si>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</si>
  <si>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</si>
  <si>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</si>
  <si>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</si>
  <si>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</si>
  <si>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</si>
  <si>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</si>
  <si>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</si>
  <si>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</si>
  <si>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</si>
  <si>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</si>
  <si>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</si>
  <si>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</si>
  <si>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</si>
  <si>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</si>
  <si>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</si>
  <si>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</si>
  <si>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</si>
  <si>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</si>
  <si>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</si>
  <si>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</si>
  <si>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</si>
  <si>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</si>
  <si>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</si>
  <si>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</si>
  <si>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</si>
  <si>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</si>
  <si>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</si>
  <si>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</si>
  <si>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</si>
  <si>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</si>
  <si>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</si>
  <si>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</si>
  <si>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</si>
  <si>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</si>
  <si>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</si>
  <si>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</si>
  <si>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</si>
  <si>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</si>
  <si>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</si>
  <si>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</si>
  <si>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</si>
  <si>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</si>
  <si>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</si>
  <si>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</si>
  <si>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</si>
  <si>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</si>
  <si>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</si>
  <si>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</si>
  <si>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</si>
  <si>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</si>
  <si>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</si>
  <si>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</si>
  <si>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</si>
  <si>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</si>
  <si>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</si>
  <si>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</si>
  <si>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</si>
  <si>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</si>
  <si>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</si>
  <si>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</si>
  <si>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</si>
  <si>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</si>
  <si>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</si>
  <si>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</si>
  <si>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</si>
  <si>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</si>
  <si>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</si>
  <si>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</si>
  <si>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</si>
  <si>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</si>
  <si>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</si>
  <si>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</si>
  <si>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</si>
  <si>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</si>
  <si>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</si>
  <si>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</si>
  <si>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</si>
  <si>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</si>
  <si>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</si>
  <si>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</si>
  <si>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</si>
  <si>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</si>
  <si>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</si>
  <si>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</si>
  <si>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</si>
  <si>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</si>
  <si>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</si>
  <si>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</si>
  <si>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</si>
  <si>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</si>
  <si>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</si>
  <si>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</si>
  <si>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</si>
  <si>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</si>
  <si>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</si>
  <si>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</si>
  <si>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</si>
  <si>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</si>
  <si>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</si>
  <si>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</si>
  <si>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</si>
  <si>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</si>
  <si>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</si>
  <si>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</si>
  <si>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</si>
  <si>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</si>
  <si>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</si>
  <si>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</si>
  <si>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</si>
  <si>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</si>
  <si>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</si>
  <si>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</si>
  <si>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</si>
  <si>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</si>
  <si>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</si>
  <si>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</si>
  <si>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</si>
  <si>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</si>
  <si>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</si>
  <si>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</si>
  <si>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</si>
  <si>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</si>
  <si>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</si>
  <si>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</si>
  <si>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</si>
  <si>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</si>
  <si>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</si>
  <si>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</si>
  <si>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</si>
  <si>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</si>
  <si>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</si>
  <si>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</si>
  <si>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</si>
  <si>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</si>
  <si>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</si>
  <si>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</si>
  <si>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</si>
  <si>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</si>
  <si>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</si>
  <si>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</si>
  <si>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</si>
  <si>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</si>
  <si>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</si>
  <si>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</si>
  <si>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</si>
  <si>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</si>
  <si>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</si>
  <si>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</si>
  <si>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</si>
  <si>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</si>
  <si>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</si>
  <si>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</si>
  <si>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</si>
  <si>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</si>
  <si>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</si>
  <si>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</si>
  <si>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</si>
  <si>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</si>
  <si>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</si>
  <si>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</si>
  <si>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</si>
  <si>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</si>
  <si>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</si>
  <si>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</si>
  <si>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</si>
  <si>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</si>
  <si>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</si>
  <si>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</si>
  <si>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</si>
  <si>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</si>
  <si>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</si>
  <si>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</si>
  <si>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</si>
  <si>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</si>
  <si>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</si>
  <si>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</si>
  <si>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</si>
  <si>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</si>
  <si>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</si>
  <si>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</si>
  <si>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</si>
  <si>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</si>
  <si>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</si>
  <si>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</si>
  <si>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</si>
  <si>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</si>
  <si>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</si>
  <si>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</si>
  <si>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</si>
  <si>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</si>
  <si>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</si>
  <si>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</si>
  <si>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</si>
  <si>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</si>
  <si>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</si>
  <si>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</si>
  <si>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</si>
  <si>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</si>
  <si>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</si>
  <si>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</si>
  <si>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</si>
  <si>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</si>
  <si>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</si>
  <si>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</si>
  <si>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</si>
  <si>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</si>
  <si>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</si>
  <si>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</si>
  <si>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</si>
  <si>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</si>
  <si>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</si>
  <si>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</si>
  <si>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</si>
  <si>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</si>
  <si>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</si>
  <si>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</si>
  <si>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</si>
  <si>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</si>
  <si>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</si>
  <si>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</si>
  <si>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</si>
  <si>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</si>
  <si>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</si>
  <si>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</si>
  <si>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</si>
  <si>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</si>
  <si>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</si>
  <si>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</si>
  <si>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</si>
  <si>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</si>
  <si>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</si>
  <si>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</si>
  <si>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</si>
  <si>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</si>
  <si>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</si>
  <si>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</si>
  <si>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</si>
  <si>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</si>
  <si>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</si>
  <si>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</si>
  <si>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</si>
  <si>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</si>
  <si>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</si>
  <si>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</si>
  <si>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</si>
  <si>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</si>
  <si>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</si>
  <si>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</si>
  <si>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</si>
  <si>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</si>
  <si>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</si>
  <si>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</si>
  <si>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</si>
  <si>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</si>
  <si>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</si>
  <si>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</si>
  <si>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</si>
  <si>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</si>
  <si>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</si>
  <si>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</si>
  <si>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</si>
  <si>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</si>
  <si>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</si>
  <si>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</si>
  <si>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</si>
  <si>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</si>
  <si>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</si>
  <si>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</si>
  <si>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</si>
  <si>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</si>
  <si>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</si>
  <si>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</si>
  <si>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</si>
  <si>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</si>
  <si>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</si>
  <si>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</si>
  <si>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</si>
  <si>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</si>
  <si>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</si>
  <si>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</si>
  <si>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</si>
  <si>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</si>
  <si>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</si>
  <si>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</si>
  <si>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</si>
  <si>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</si>
  <si>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</si>
  <si>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</si>
  <si>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</si>
  <si>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</si>
  <si>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</si>
  <si>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</si>
  <si>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</si>
  <si>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</si>
  <si>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</si>
  <si>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</si>
  <si>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</si>
  <si>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</si>
  <si>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</si>
  <si>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</si>
  <si>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</si>
  <si>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</si>
  <si>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</si>
  <si>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</si>
  <si>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</si>
  <si>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</si>
  <si>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</si>
  <si>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</si>
  <si>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</si>
  <si>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</si>
  <si>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</si>
  <si>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</si>
  <si>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</si>
  <si>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</si>
  <si>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</si>
  <si>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</si>
  <si>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</si>
  <si>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</si>
  <si>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</si>
  <si>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</si>
  <si>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</si>
  <si>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</si>
  <si>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</si>
  <si>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</si>
  <si>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</si>
  <si>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</si>
  <si>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</si>
  <si>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</si>
  <si>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</si>
  <si>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</si>
  <si>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</si>
  <si>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</si>
  <si>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</si>
  <si>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</si>
  <si>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</si>
  <si>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</si>
  <si>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</si>
  <si>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</si>
  <si>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</si>
  <si>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</si>
  <si>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</si>
  <si>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</si>
  <si>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</si>
  <si>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</si>
  <si>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</si>
  <si>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</si>
  <si>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</si>
  <si>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</si>
  <si>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</si>
  <si>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</si>
  <si>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</si>
  <si>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</si>
  <si>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</si>
  <si>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</si>
  <si>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</si>
  <si>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</si>
  <si>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</si>
  <si>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</si>
  <si>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</si>
  <si>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</si>
  <si>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</si>
  <si>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</si>
  <si>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</si>
  <si>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</si>
  <si>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</si>
  <si>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</si>
  <si>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</si>
  <si>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</si>
  <si>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</si>
  <si>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</si>
  <si>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</si>
  <si>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</si>
  <si>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</si>
  <si>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</si>
  <si>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</si>
  <si>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</si>
  <si>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</si>
  <si>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</si>
  <si>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</si>
  <si>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</si>
  <si>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</si>
  <si>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</si>
  <si>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</si>
  <si>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</si>
  <si>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</si>
  <si>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</si>
  <si>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</si>
  <si>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</si>
  <si>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</si>
  <si>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</si>
  <si>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</si>
  <si>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</si>
  <si>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</si>
  <si>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</si>
  <si>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</si>
  <si>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</si>
  <si>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</si>
  <si>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</si>
  <si>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</si>
  <si>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</si>
  <si>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</si>
  <si>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</si>
  <si>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</si>
  <si>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</si>
  <si>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</si>
  <si>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</si>
  <si>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</si>
  <si>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</si>
  <si>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</si>
  <si>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</si>
  <si>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</si>
  <si>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</si>
  <si>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</si>
  <si>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</si>
  <si>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</si>
  <si>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</si>
  <si>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</si>
  <si>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</si>
  <si>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</si>
  <si>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</si>
  <si>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</si>
  <si>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</si>
  <si>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</si>
  <si>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</si>
  <si>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</si>
  <si>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</si>
  <si>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</si>
  <si>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</si>
  <si>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</si>
  <si>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</si>
  <si>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</si>
  <si>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</si>
  <si>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</si>
  <si>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</si>
  <si>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</si>
  <si>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</si>
  <si>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</si>
  <si>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</si>
  <si>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</si>
  <si>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</si>
  <si>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</si>
  <si>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</si>
  <si>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</si>
  <si>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</si>
  <si>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</si>
  <si>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</si>
  <si>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</si>
  <si>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</si>
  <si>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</si>
  <si>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</si>
  <si>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</si>
  <si>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</si>
  <si>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</si>
  <si>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</si>
  <si>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</si>
  <si>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</si>
  <si>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</si>
  <si>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</si>
  <si>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</si>
  <si>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</si>
  <si>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</si>
  <si>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</si>
  <si>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</si>
  <si>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</si>
  <si>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</si>
  <si>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</si>
  <si>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</si>
  <si>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</si>
  <si>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</si>
  <si>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</si>
  <si>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</si>
  <si>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</si>
  <si>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</si>
  <si>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</si>
  <si>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</si>
  <si>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</si>
  <si>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</si>
  <si>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</si>
  <si>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</si>
  <si>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</si>
  <si>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</si>
  <si>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</si>
  <si>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</si>
  <si>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</si>
  <si>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</si>
  <si>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</si>
  <si>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</si>
  <si>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</si>
  <si>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</si>
  <si>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</si>
  <si>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</si>
  <si>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</si>
  <si>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</si>
  <si>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</si>
  <si>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</si>
  <si>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</si>
  <si>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</si>
  <si>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</si>
  <si>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</si>
  <si>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</si>
  <si>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</si>
  <si>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</si>
  <si>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</si>
  <si>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</si>
  <si>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</si>
  <si>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</si>
  <si>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</si>
  <si>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</si>
  <si>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</si>
  <si>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</si>
  <si>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</si>
  <si>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</si>
  <si>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</si>
  <si>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</si>
  <si>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</si>
  <si>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</si>
  <si>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</si>
  <si>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</si>
  <si>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</si>
  <si>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</si>
  <si>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</si>
  <si>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</si>
  <si>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</si>
  <si>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</si>
  <si>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</si>
  <si>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</si>
  <si>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</si>
  <si>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</si>
  <si>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</si>
  <si>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</si>
  <si>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</si>
  <si>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</si>
  <si>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</si>
  <si>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</si>
  <si>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</si>
  <si>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</si>
  <si>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Дорого и не вкусно. заказали и не наелись. заказали салат накрошили овощи и не заправили, биде с сыром заказали-сыр не вкусный и не тянется тесто сухое. Айран с каким-то запахом и хранится 21 день. Значит в айране есть химия. И стоит айран больше 100 рублей. В общем супер дорого и ненаедаедаешся. Мы сюда больше никогда не приедем</t>
  </si>
  <si>
    <t>Пришли в этот ресторан с мужем и дочкой. Сразу скажу мы были во многих ресторанах! Именно ресторанах а не кафе! Отвратительные разбавленные коктейли, разбавленное пиво, картофель фри принесли холодный! Единственное это вкусные хинкали и более менее вкусный шашлык. На нашу претензию по поводу разбавленного коктейля никто не принёс новый и не принёс извинения, и включили еще его в счет. А там тупо лед и кола. Цены завышены необоснованно. Тут полный отстой!!! Не рекомендуем!</t>
  </si>
  <si>
    <t>Уж очень проголодались с дороги и заехали по данному адресу. Долго ждали заказ, 6 кусков пиццы, напиток и картошка. 30 минут ожидания. Картошка мягкая и еле тёплая, напиток недолили от края, пицца холодная и уменьшили кусочки. Разочарованы очень. Больше не пойду в это заведение.</t>
  </si>
  <si>
    <t>Очень вкусно! Вкуснее, чем в городе. Хотя сеть одна. Месторасположение приятное. НО! Есть одно но! Смотрела как собирали мой заказ. Да, в перчатках, но все делается одними перчатками!!!! Берется пицца, потом тыкается в кассу, потом берется за всякие ручки, потом курочку, потом опять в кассу. И все в одних перчатках. Как по мне - не гигиенично. Уж если начали собирать - хотя бы не тыкайте никуда. За ручки берите одной рукой, еду другой. А так, неприятно потом кушать</t>
  </si>
  <si>
    <t>Всегда все холодное, сыр холодный слетает ото всюду! бываем раз в три месяца. Больше не пойдём. Ужассссссс. Отношение такое же!!!!</t>
  </si>
  <si>
    <t>ЦЕНЫ: Не советую. Для города московский прайс, некоторые позиции даже дороже. ПЕРСОНАЛ: Персонал приветливый но не знает меню. Не отличает светлое пиво от лагера например. МЕНЮ: Иллюстрации в меню не являются действительными. Например суп том-ям подается без лайма, нет мидий и в целом порция как для ребенка. Бургер подается без картофеля.</t>
  </si>
  <si>
    <t>В заведении хорошее оформление и интерьер в целом, вежливые официанты и внимание к клиенту, но достаточно маленький заказ готовили более получаса что очень долго при условии что в заведении было очень мало людей среди недели.</t>
  </si>
  <si>
    <t>Был в понедельник, 6 марта. На картах и на входе в кафе было указано, что работают до 23.00, по факту оказалось, что работают до 22.00, о чем не было указано и меня не обслужили.</t>
  </si>
  <si>
    <t>20 мая заходил в данное заведение рассчитывал перекусить взять на всю компанию встал в очередь но когда очередь подошла меня почему-то не услышали и не стали обслуживать за кассой сотрудник стал обслуживать следующего гостя, что за дискриминация спасибо только официантке на мои возмущения она очень быстро реагировала и приняла заказ вам стоит задуматься кого ставить за кассу а кого в зал</t>
  </si>
  <si>
    <t>Кафе итальянской направленности. Простое меню с пастой и пиццой. Есть детская зона и оригинальный дизайн, что спасает кафе. Вместе с тем, супы принесли очень горячие, при этом на замечание отреагировали, что готовят из свежих продуктов и сразу подают на стол. Паста вкусная, но не выдающаяся. Заказал лимонад тархун, но по факту получил лимонный. Вообще все опробованные напитки чрезмерно приправляют лимоном, официанты предлагаю к чаю сахар, который я вообще не ем. Персонал приветлив и быстр. Кафе пользуется популярностью, но только из-за того, что можно завлечь детей в детской комнате и спокойно покушать. Пришел туда по отзывам, попробовал, но второй раз я туда не пойду, по соседству масса более интересных заведений.</t>
  </si>
  <si>
    <t>Отвратительно. Про меня, думаю забыли. Заказал драники со сметаной. Принесли через полчаса холодные, разваливающиеся. Только кофе сидеть пить да места просиживать. Цена-Качество 0. Очень завышены цены ОЧЕНЬ</t>
  </si>
  <si>
    <t>Подача- не соответствует вкусноты!!! Да и вкуснота, не вкусно а за эти деньги(((</t>
  </si>
  <si>
    <t>Были в ресторане экспромтом с двумя детьми, зал пустой. Безобразие, что для ребёнка не предложили стульчика для кормления, хотя официанты прекрасно всё видели. В заведении проблема с салфетками? Пока девушка-официант не доделала все свои важные дела, салфетки нам не принесли, спустя минут 10. Впоследствии, оказалось, что есть и стульчики, и даже детская комната. Персонал не считает нужным оповещать посетителей?</t>
  </si>
  <si>
    <t>Очень противоречивые ощущения от заведения. Качество одних и тех же блюд сильно отличается изо дня в день, от восхитительного до малосъедобного. Раньше ходили часто, но лотерея надоела. К примеру, однажды 40 минут ждали яичницу, потом пришла администратор, и сказала, что два раза пытались пожарить, но не получилось. Пришлось заказывать другое блюдо и ещё ждать. В последний раз были в выходной день, за полтора часа подали только один салат из заказа. Пришлось расплатиться и больше не возвращаться. Вероятно, там нужно бухать под шашлык, это понятно и надёжно. С детьми там делать нечего — собственно поэтому и не ходим больше туда. Полтора часа голодный ребенок ждал еду и не дождался.</t>
  </si>
  <si>
    <t>Обслуживание на 3...долго не подходили..была акция, если нет карты пирог в подарок. По итогу заявили, что карта у нас уже есть, хотя ее нет..потом пошли в обратку и сказали, что база клиентов полетела, но пирог так и не предоставили. Была свидетелем, как за соседним столом ушлый официант втюхал женщинам аукционный чай, игнорируя их вопрос обязательно ли участвовать в акции благотворительной, выглядит это мерзко</t>
  </si>
  <si>
    <t>Заведение не рекомендую, еду принесли на грязной посуде, обслуживание ужасное, нас было 3 взрослых и ребёнок, каждый заказывал не по одному блюду. В итоге приносили заказы так что один ест остальные смотрят. После того как доъел первый приносят второму и т.д. а ребёнку принесли самый последний. Заведение не рекомендую к посещению. Дополнение к ответу представителя, наше посещение состоялось. И про какие либо трудности нас не предупреждали.</t>
  </si>
  <si>
    <t>Был дважды. Последний раз вчера. Персонал дружелюбный, сервис средний. Бутылку воды к основному блюду не подали, пришлось напоминать. Кухня при всей нарядности может быть слабая. Взял цветную капусту в белом соусе с креветками. Капуста твердая, по сути - сырая, ее буквально нужно грызть, залитая довольно пресным сливочным соусом. Повар не удосужился разделить капусту на соцветия, приходилось тупым ножом резать ее, а потом грызть образовавшиеся крупные куски. Поинтересовались - понравилось ли блюдо, на что я сказал, что капуста сырая. Переделать не предложили. Креветки пережарены, избыток масла и ошметки зажарки. Слабо и минус. Интерьер приятный, но если полная посадка то очень тесно. В нашем случае рядом была орущая компания, мешавшая общению.</t>
  </si>
  <si>
    <t>Очень не удачная планировка в кафе. Когда идешь в подобные заведения, хочешь отдохнуть и вкусно поесть, но отдохнуть не получилось. Столики очень близко стоят друг к другу, огромный диван на котором куча народу сидит. Сесть нормально и кого-то не задеть крайне сложно, собственно тоже самое происходит и с тобой, когда кто-то встает чтобы выйти, хочешь не хочешь заденут. Очень шумно, как в столовке школьной, украшений из цветов очень мало, только одно дерево в углу искусственное и что-то мелькало при входе, в остальном ничего интересного. Нужно вносить депозит, если хочешь посидеть там дольше 1,5ч. и где-нибудь у окна. Насчет еды- вкусно, тут без лишних комментариев. Но в данное заведение нет желания возвращаться</t>
  </si>
  <si>
    <t>Ну что сказать. Заходишь в ожидании а уходишь в расстройстве. Вкус вообще никакущий.</t>
  </si>
  <si>
    <t>Любимое кафе,сервис,обслуживание очень вкусно.А летом теретория райский уголок.Здорово всем рекомендую.</t>
  </si>
  <si>
    <t>Были вчера, ужасно разочарована соотношение цена/качество меню. Выбрал из детского меню ребенок суп с фрикадельками его любимый принесли ГОЛЫЙ бульон, водичку и парочку фрикаделек туда бросили. А пюре с котлетами... пюре как кот наплакал, поместилось в одну столовую ложку. Короче детское меню не советую!!!! Уж опыт заказа из детского меню у нас большой! А ещё попросили чай подать к еде, но про него вообще забыли, вынесли только после еды, когда напомнили сами. Вроде бы само место красивое, но сервис полный шлак.</t>
  </si>
  <si>
    <t>Раньше была любимая наша пекарня, с удовольствием туда ходили, очень приветливые девушки работали за кассой. Сегодня зашли с ребенком, дверь в пекарню уже была открыта, хотели купить пару булочек, но сотрудница в грубой форме выгнала, сказала, что 10 минут они еще не работают, зачем вы тогда держите дверь открытую, чтобы потом посетителям хамить и хочу заметить, что раньше девушки всегда продавали булочки раньше и говорили, что можно зайти, если есть то что вы хотите мы всегда вам продадим, но после сегодняшнего инцидента никогда туда больше не пойлем. Клиентооринтированости ноль стало. Сходили в соседнюю пекарню купили все, что хотели. Эту пекарню с таким обслуживающим персоналом больше не рекомендую</t>
  </si>
  <si>
    <t>Расположение у озера с шикарным видом, салаты надо серьезно доработать и кофенапитки, понравилась приготовление стейка из лосося, сочно.</t>
  </si>
  <si>
    <t>Стильное здание с прекрасным видом, услужливые официанты. Вкусный кофе на миндальном молоке. Интересное лаконичное меню. На втором этаже ресторан, на первом кафе. Почему же такая оценка? Из трех раз посещения данного заведения включая ресторан, все три раза у меня были вопросы к готовности части ингредиентов. Один раз пришлось все оставить и уйти, курица в цезаре вообще не внушала доверия. Если в заведении более чем пару столов, готовят долго и не доводят до готовности. Персонал молодой. Надеюсь данный момент проработают, так как место само нравится.</t>
  </si>
  <si>
    <t>Хорошая локация, красивый вид на озеро. Вежливый и приветливый персонал. Но! Видимо мощности кухни не рассчитаны на такое количество гостей. Заказ ждали 1,5 часа.</t>
  </si>
  <si>
    <t>Само заведение приятное, но нейтральное. Обслуживание со стороны официантов на хорошем уровне, а вот со стороны администраторов оставляет желать лучшего. Меню достаточно обширное и разнообразное. Еда на твердую тройку с плюсом ( мы заказывали грузинскую кухню): жареный сулугуни невнятный, расплавленный сыр плавающий в солёном рассоле; овощи на гриле приличные, но не соленые не перечне, никакие; шашлык из свиной шеи сухой. Что вкусно - хачапури и рулетики из баклажан. Неплохое домашнее вино. Радует живая музыка и возможность потанцевать.</t>
  </si>
  <si>
    <t>Зашли мы как то перекусить, ролы сделали быстро и они ??! А вот кухня не вкусная, салат с утиной грудкой отвратный, соус все портит. Заказал лимонад «манго - апельсин» вместо него принесли содовую с лимонным соком и слайсом лимона - не вероятно кислая штука, на вопрос почему этот лимонад принесли а не тот что я заказал, ответили что это тот, просто они импровизируют, хотя в меню в составе идет гренадин, сок апельсина, сироп манго, чипс апельсина, но по факту получил импровизацию без предупреждения об этом. На десерт заказал шоколадный фондан, вкусный, но приборы к нему принесли вилку и нож, ну такое себе удовольствие кушать мороженое вилкой ))) Итог локация хорошая, внутри приятно, потолок украшен цветами, людей мало, есть небольшая детская, кушать здесь не советую, а вот прийти выпить чашечку кофе и пообщаться можно.</t>
  </si>
  <si>
    <t>Сегодня посетила это место. Насчёт вежливости ничего не скажу, но это место начинает напоминать забегаловку, но дорогую.Девушка-кассир занимается ценниками вместо того чтобы убрать грязную посуду со столов и это не смотря на то, что людей раз, два и обчелся.Заказала бизнес-ланч 4:салат Цезарь и сырный суп.. Ну, что сказать, салат съедобен не смотря на длину салатных листьев (которые нужно наматывать на вилку как спагетти), сухарей крупным кубиком и ст.л соуса(которой соответственно очень мало для этого количества салата). Самое отвратное это сырный суп пюре, мало того что при разогреве в микроволновке он малость перекипел,это было видно по более тёмной тонкой пористой плёнке по краям чашки, так ещё и на вкус это мессиво трудно назвать сырным пюре супом, такое ощущение что ешь заварную муку в которую плеснули немного сливок , к цвету претензий нет желтенький.</t>
  </si>
  <si>
    <t>Сеть кафе довольно популярная. Решили посетить. Зашли в 19:40, хотели попить кофе с пирожными. Огромная и долгая очередь. Кассир недружелюбно спросила: за 10 минут управитесь? Выдали электронный номерок, мы сели ждать готовое пирожное и кофе из кофемашины. Ждали 25 минут. Не знаю, как можно управиться за 10 минут, если ждать такой сложный заказ приходится почти полчаса. Пока ждали, наблюдали, как на заходящих посетителей гаркают кассиры и уборщица:" не работаем, не обслуживаем! Нам что,тут до 10 сидеть?" Клиентоориентированность здесь однозначно "на высоте". Ради справедливости скажу, что кофе вкусный, но пить его пришлось под недоброжелательный взгляд уборщицы, махавшей тряпкой и ожидающей нашего ухода</t>
  </si>
  <si>
    <t>Сделал заказ доставки на дом! Это просто полная .... Абсолютно не вкусная паста, уровня даже не средней, а ниже среднего столовой. Ризотто заслуживает отдельного внимания - столь невкусной рисовой каши с переготовленными креветками я не ел никогда. Доставка была обещана 1,5-2 часа, в итоге привезли через 2:10, все холодное, невкусное!!! Просто ужасно, никогда больше не закажу в данном заведении и никому не советую. Да и кстати, ростбиф из утки - это переваренная в хлам в сувиде грудка утки, залитая уксусом, в колличестве 5 малюсеньких кусков!!! Ужас, спасибо за испорченный вечер!!!</t>
  </si>
  <si>
    <t>Были 16.03.23, обслуживание плохое ( вместо сока 0,4 принесли 0,2. Из приборов принесли только ножи… На фотографии бейби картофель, который сырой. ( сказали об этом официанту, но заменить нам не предложили). В бургере деревянные и холодные булки. Единственное вкусное - картошка фри с кетчупом</t>
  </si>
  <si>
    <t>Я буду писать конкретно о пиццерии. Всегда покупаю там пиццу с собой и пару кусочков что бы перекусить пока жду. В этот раз поразилась тому, насколько грязно в кафе, на столах грязь, на стойках с пиццей грязь, очень неприятная обстановка. За кассой гражданин из ближнего зарубежья кричит во все горло, не стесняясь посетителей, ругается на своем языке. Когда мне подавали кусочки пиццы, которую я буду есть в кафе, до них дотрагивались грязнющими перчатками, которыми что только не делали при мне (из за этого я не ела корочки у пиццы, не смогла, мне было противно). При всем этом, есть оборудование для накладывания пиццы, что бы не прикосаться к ней. О пицце с собой: боюсь представить в каком бордаке она готовилась. Мне пришлось срезать почти все тесто снизу. Потому что оно было в копоти непоеятно какого происхождения (это явно не горелые крошки) она как песок хрустит на зубах и не прожовывается. Я бы ни за сто не стала есть эту копоть, по этому все тесто полетело в помойку. 2 бала- это мой высший бал за шикарную ночинку. Больше тут не за что ставить оценок. Обслуживание отвратительное. Оборудовпние грязное. Работники безалаберные. Общее впечатление-ФУ! Неприятное место стало. Я дам пиццерии еще 1 шанс. И если в следующий раз пицца будет в грязи из непонятного нагара, или будет такое же обслуживание, я попрошу вернуть деньги и больше не буду есть в этом кафе. Надеюсь администрация сделает выаоды о бещолаберной работе сотрудников и примет меры.</t>
  </si>
  <si>
    <t>Так можно зайти перекусить. Но самсу так и научились делать лучше дорого но вкусно чем деньги на ветер. В самсу добавляют мелкий лук поверьте клиентов будет больше. Что еще могу сказать дороговато плов Самаркандский. Место прятное .</t>
  </si>
  <si>
    <t>Раньше было всё хорошо, вкусно, вовремя, но сегодня 24 марта 2023 года мы заказали пиццу, нам позвонили через 20 минут и сказали, что «Пицца задержится и привезут через 1,5 часа» это от времени звонка! В итоге мы ждали 2 часа 20 минут. Звонили много раз нв горячую линию, операторы говорят, что перезвонят и не перезванивают. Пиццу привезли холодную. Ужасно, ребята, в другой раз закажем у конкурентов)</t>
  </si>
  <si>
    <t>Убрали из меню наши любимые пирожные и торты. Теперь и ходить не хочется. Хоть бы под заказ делали. Больше 10 лет для меня были эталонным местом, всегда шла туда или как на праздник, или по случаю праздника.</t>
  </si>
  <si>
    <t>Очень вкусно готовят. Мясо шикарное, шашлык, хинкали. Ценник низкий, вкусовые качества намного выше стоимости. Вино домашнее очень понравилось. Живая музыка. Все понравилось.</t>
  </si>
  <si>
    <t>Праздновали, по семейному, др. Мне очень! не понравилось! Была среда, в зале весь вечер орала! музыка ... нужно было очень, очень громко разговаривать! Подлокотники стульев грязные, вид во двор "шикарен" - лучше бы там была тюль! Ну и по меню : намешано все! Ципленка табака нет - но зато есть том ям и драники и т.д... подача ужасная- пустоту тарелок закрывали прославлеными листьями салата! Качество овощей на гриле на тройку .. Из плюсов - люля из баранины был хорош. Сочный,тёплый,среднего размера порция. Мест для курения нет, мест для парковки нет - даже с такси это так себе- посадка по быстрому! Не представляю, что должно произойти- чтобы посетить его ещё раз!</t>
  </si>
  <si>
    <t>На сайте напишите что у вас особое отношение к заказу ниже 4 тысяч чтоб просто так час не ждать пока ваш оператор не соизволит позвонить а по итогу сам и дозваниваешься,просто треш,поели шашлыка называется,хоть деньги вернули, спасибо.</t>
  </si>
  <si>
    <t>Еда вкусная. Но персонал не заинтересован в клиентах. Выбрали столик на улице. 20 минут просили девушек на ресепшен что бы убрали со стола после предыдущих клиентов и приняли у нас заказ. С выражением лица нам сказали что инфо передали официанту. Который, к слову, обслужил все остальные столики кроме нашего. С учётом того что люди пришли позже нас, было не приятно. Позвали администратора. Стол убрали. Ждали ещё 15 минут что бы у нас приняли заказ. Пришлось снова звать администратора. Без него видимо официанты и девушки с ресепшен работать не хотят. Итого 40 минут что бы сделать заказ. Через 25 минут принесли еду.</t>
  </si>
  <si>
    <t>Оценка 3,5 но только целыми звёздами. К сожалению большинство отзывов не отражают действительности: харче не досолили довольно сильно, листья в долме жесткие, тесто в хинкали толстое и довольно жесткое, не нужно говорить что оно такое и должно быть, поменяйте подставки для подогрева чайника на свечке так как это не безопасно, остальные блюда не пробовали, второй раз не пойду. Обслуживание хорошее, чисто и уютно, но главное блюдо очень средненько сделано.</t>
  </si>
  <si>
    <t>Кафе откровенно скатывается. Хожу туда достаточно постоянно, последние два посещения из ряда вон... Официанты игнорируют посетителей, в соседнем зале проводился юбилей и обслуживали только там. Как итог ждали меню 20 минут, в итоге сходил взял сам, потом ещё 15 минут ждали официанта, заказ готовился час и по факту одно из блюд мы так и не получили... Хорошее место, атмосферное, но боюсь что туда я больше ни ногой...</t>
  </si>
  <si>
    <t>На любителя. Нам с мужем не понравилось. Наполнения мало. Лапша слишком крупная и переваренная.</t>
  </si>
  <si>
    <t>Место очень красивое, прекрасная живая музыка, отличный шашлычник. Но отвратительное отношение к клиентам со стороны официантов. Нас обслуживала официантка, обслуживание хорошее. Но с нами отдыхал художник, и официантка наша очень плохо себя с ним повела.....нам это очень не понравилось. Вовремя принесли пледы. Еда отвратительная, подали салат Цезарь с отвратительным запахом, это запах плохого сыра.</t>
  </si>
  <si>
    <t>Ходила в это место ни один раз, но сегодняшний поход, пожалуй, был последним. Пиво и молочные коктейли теплые, да и на вкус коктейль не понравился. Чай просто ужасный, брали облепиховый, вкуса вообще не было. Бургер — это был просто кошмар, в самом бургере попался мусор будто из пакета из под молока.</t>
  </si>
  <si>
    <t>Пробили дно. Заказ - час ждать первой подачи, первая подача десерт. Когда то ставил высокую оценку этой кофейне, потом 2 раза её снижал. Больше туда не пойду и Вам не рекомендую.</t>
  </si>
  <si>
    <t>Отвратительное обслуживание. 11:00 в кафе 5 столиков, все закипают от ожидания. Подошел офик, не знает меню, не записывает заказ. Ходит по залу как привидение. Полчаса подождали заказ, закипели, пошла искать менеджера. Нашла. Оказалось, заказ наш и не готовят. Записала, ушла. Ждём еще полчаса свои две чашки кофе, яйцо пашот и рисовую кашу. Трижды я ходила сама, без пинка не летают. Как работник хорики скажу гоните в шею весь персонал</t>
  </si>
  <si>
    <t>Ассортимент большой, зал вместительный и уютный. Чисто и в зале, и в туалете. 1 июня 2023 года встречались с подругами. Первый заказ молодой человек принёс быстро. Дополнение к заказу решили сделать через полчаса, молодого человека ждали 20 минут. Пришлось попросить девушку принести ещё три порции мороженого. Заказ она быстро выполнила, причём принесла по три полноценных шарика мороженого, в то время, как юноша вначале подал размазанные ,,полушарики,, в неизвестном количестве. При нас уходила пара, которая так и не дождалась обслуживания - им не принесли салат. Наверное, надо тщательно отбирать кандидатуры на работу в столь известном сетевом заведении. Первый раз посетило чувство досады.</t>
  </si>
  <si>
    <t>Еда неплохая, пиво никакое, кроме бутылочного. Живое пение.</t>
  </si>
  <si>
    <t>Как только мы сделали заказ, сразу же сказали наш номер. Скорость это хорошо, даже обрадовались. Но когда взяли, сразу стало понятно, что видимо давно было готово, и упаковано, стояло, наверно, но подогреве. Подсушенные и не хрустящие ((( спешили, поэтому не стали менять, а так бы сдал обратно</t>
  </si>
  <si>
    <t>Еда, как всегда на высоте, обслуживание кошмарное. Ждали заказы очень долго, хотя людей не было, в зале окалать можно, холодина, туалет не работает, пипец полный, позорище, а не кафе</t>
  </si>
  <si>
    <t>Отвратительно. Забронировали столик на 20:00, за два дня до посещения данного заведения, при бронировании стола, с девушкой по телефону обговаривали, что планируем отмечать день рождение. По сложившимся обстоятельствам, не успели к 20:00, опоздали на 15 минут. Девушка на входе сообщила, что бронь снята, аргументировав тем, что посадка полная, а на телефоный звонок от них мы не ответили. Но при этом, по правилам заведения бронь сохраняется в течении 30 минут, в случае неявки клиента к своему времени. Учитывая, что звонок все-таки от заведения был за 5 мин до снятия брони, мы с девушкой спорить не стали. К сожалению, звонок не слышали, но и повторного звонка не поступало. Однако, больше всего возмутил тот факт, что небыло даже попытки извиниться и предложить альтернативу, для решения нашей ситуации. Будь это выходной день, можно было бы понять поступок персонала и загруженность заведения. Думаю не стоит писать об испорченном вечере и настроении именинника.</t>
  </si>
  <si>
    <t>Был на дне рождения. Ставлю одну звезду из-за отвратительного качества музыки. В ресторане, который себя позиционирует как семейный, и вечером еще куча детей, при этом в 10 вечера уже орет музыка с откровенным матом. Это административная статья! И эту грязь слышат дети. При этом, отмечу, что кухня очень неплохая и было вкусно но мат со сцены все перечеркнул.</t>
  </si>
  <si>
    <t>Пришли вечером в среду. В 19. Столиков свободных нет, хотя на третьем этаже блок целый пустой, сказали открывают его только в выходные. Посадили- сместив два стола. Заказали в 19:45… детям пиццу принесли через 30 минут, а вот взрослые есть начали в 20:50. Напитк заказывали 2 раза… Хотя могли и три и четыре … но несли так долго, что уже ничего не хотелось. Некоторые позиции в заказе принесли не те. Вот сидим, ждём, когда принесут счет… видимо не сегодня … До этого много раз были, но подобное обслуживание впервые. Видимо нехватка персонала, не думали, что люди вдруг решат сегодня придти отдохнуть и поужинать.</t>
  </si>
  <si>
    <t>Место красивое уютное, но еда не очень вкусно, удовольствие не получили. Вряд-ли ещё посетим.</t>
  </si>
  <si>
    <t>Сделали заказ, к определённому времени, всё бы хорошо, но к этому времени принесли всё вместе, и горячее и салат вообще всё что заказывали, в короче на отвали я всё сделал, хотелось бы чтобы соображали, люди этого заведения, что люди приходят отдохнуть не пожрать, в других кафе, сколько были всегда блюда поочерёдно подают, а тут официантов не хватает вот они и творят что хотят</t>
  </si>
  <si>
    <t>Ничего не меняется. Еда вкусная, но обслуживание оставляет желать лучшего. В пицце была обнаружена скорлупа от яиц. На что администратор пожала плечами и сказала, ну и что здесь такого, бывает, ничего страшного не произошло. И ушла. Мне хватило бы просто извините, но это всегда выше её достоинства. И это уже не первый раз. Будьте внимательны, особенно если Вы с детьми.</t>
  </si>
  <si>
    <t>Худшее заведение, где мне пришлось побывать. Скудный ассортимент: нет рыбных закусок, нет никаких блюд на гриле, алкоголя ассортимент есть, но по факту его нет. Заплатив 6 тыс. рублей, из того что скудно было, нас по сути выгнали из кафе. Сказали, что мы должны еще заплатить еще по 200 рублей с человека, т.к. у них сейчас будет дискотека. Но нас об этом никто заранее не предупредил, хотя мы находились в кафе уже 4 часа. Даже если мы заплатили бы по 200 рублей, то нашему ребёнку нельзя находиться в кафе после 22:00. Т.е. по их мнению мы должны ещё заплатить, а своего сына мы должны отправить на улицу на мороз. НИКОМУ И НИКОГДА, Я СОВЕТУЮ НЕ ПОСЕЩАТЬ ДАННОЕ КАФЕ. Где ради прибыли забыли про совесть</t>
  </si>
  <si>
    <t>К сожалению ресторан испортился, раньше было вкусно и хорошее обслуживания, но сейчас все очевидно сдулось. Части блюд нет в меню, одно блюдо забыли и несли очень долго, напиток не открыли. Официант конкретно подтупливает. Всегда говорил что рестораны лучшие, но к сожалению что-то пошло не так. Дата посещения 14.06, время 16.00-18.00.</t>
  </si>
  <si>
    <t>Приехали 1.05.23 сюда перекусить, т.к были проездом, в заведении намечался банкет и нас посадили за свободный столик, сделали небольшой заказ, супы принесли полухолодные, лаваш и осетинский пирог ждали больше часа, нам нужно было уже ехать и попросили счет, ждали еще 20 мин, потом пришли уже расчитыватся сами, т.к не дождались официанта, сказали что не будем дожидаться пирога, т.к долго и так ждали, всем кто после нас пришел пирог уже принесли, расплатились, начали уходить, принесли пирог, в зале сплошная неразбериха, управляющая растеряна и не знает как правильно распределить людей, так себе впечатление….</t>
  </si>
  <si>
    <t>Хочется отметить вкусные ролы, форель на гриле - просто восторг! Атмосфера отличная, к персоналу вопросов нет. Омрачило вечер то, что в момент полной посадки в зале работало не более 4х официантов. Девочки просто физически не успевали, наш стол долго стоял с грязными тарелками, забыли принести повторный напиток… А в это время администратор с подругами сидела за столом и отдыхала. Туалеты грязные, нет бумаги. Да, людей много, но если вы хотите быть заведением, куда будут возвращаться - нужно делать сервис.</t>
  </si>
  <si>
    <t>Приехал с семьёй и искал, где покушать, выбрал это кафе по рейтингу. Внутри довольно таки прикольно. Заказали хинкали и "первое". Первое принесли быстро, а хинкали я ждал долго и мои уже успели доесть свое "первое". Ну ладно, хинкали принесли, но они были недоварены. Ещё заказал хачапури с яйцом, тоже не доготовлено. Кроме этого, шок, я увидел тараканов бегающих под лавкой. Это ужас. Как итог с утра немного "пронесло", ну вы поняли)) Если убрать тараканов и доготавливать блюда, то будет все ок.</t>
  </si>
  <si>
    <t>Очень, очень, очень, невыноси долгое приготовление еды. Не вздумайте приходить голодными! Лучше пообедать дома, прийти сюда, заказать и приятно провести время тут до ужина в хорошей компании. А там, глядишь, и заказ готов будет. Из-за этого постоянные "пробки" из посетителей в поисках столика. Ребят, кафе классное, но накопившиеся проблемы пора решать. Вы ж прибыль теряете!</t>
  </si>
  <si>
    <t>Еда, конечно, очень вкусная, НО 1. Столиков всего штук примерно 5, и заранее бронировать нам не разрешили, т.е. пришлось стоять в очереди, чтобы сесть. 2. Две из четырех порций филе мы ждали больше часа, нам говорили, что вот-вот будут готовы, а в конце концов признались, что забыли про них. Один человек из нашей компании ушел абсолютно голодный и очень грустил( 3. Заказали чай, про него тоже забыли. 4. Чек наш тоже потеряли и пытались экстренно по памяти посчитать, что мы там назаказывали. 5. Мы провели тут часа два только из-за ожидания заказов. 6. Никакого комплимента нам не предложили за такие неприятности(( Персонал хороший, очень старались, но никак не получалось( Еда прекрасная, интерьер и экстерьер тоже.</t>
  </si>
  <si>
    <t>Место хорошее, на вид приятное, вот только мне не повезло, заказал какую то рыбу, а повар бонусом пуд соли туда жахнул...остался голодным. А вот моему товарищу всё понравилось, сказал заедет туда еще раз. Может мне просто не повезло?</t>
  </si>
  <si>
    <t>Не очень торты. Отвечаю на ваш вопрос кондитерский жир мне не нравится, в чем разница. Что вы добавляете?</t>
  </si>
  <si>
    <t>Начитались положительных отзывов, решили зайти. Минут пять простояли на входе. Официанты проходили мимо нас, никто не обращал внимания. Потом всё таки подошли, с безразличным видом. Предложили столик. Пока шли к столику, место заняли)) официантке было всё равно, говорит, ну садитесь за другой.. Меню скудное, цены дорогие. В общем не стали оставться!</t>
  </si>
  <si>
    <t>Красиво и на вид атмосферно. Но так громко, что находиться в этом месте не хочется. В этом смысле ничем не отличается от любых других заведений. Живая музыка это, конечно, хорошо... Но я пришла в компании, мне хотелось приятно проводить время и общаться. В итоге только сорванный голос от попыток общаться, крича друг другу на ухо. И, как я обратила внимание, все в зале общались так же. Только почему-то никто не жаловался. Просили персонал сделать музыку потише. В итоге хамское отношение управляющего и даже директора. С наездом, что лучше бы вам убраться. Окей, ребят. В общем вердикт такой: если вам хочется посидеть в ещё одном типичном баре с новой обстановкой, вам сюда. Очень хотелось посидеть в культурном месте. Задумка хорошая. Но реализация... Сельская!</t>
  </si>
  <si>
    <t>Ходили несколько раз с друзьями, все нравилось, еда вкусная, музыка хорошая, потанцевать можно, правда места маловато. Однако в последний раз пришли, не понравилось поведение официантов. Забронировали столик пришли нас никто не встретил, самим пришлось искать официантов и спрашивать где наш стол. В конце когда мы уже почти закончили обедать, подошёл официант почти из рук начал забирать бокал, а когда я сказала что ещё не допила, он сказал "ну да ещё глоток же остался". Очень некрасиво было, почувствовала себя очень неуютно. После такого отношения желания приходить мало.</t>
  </si>
  <si>
    <t>Отвратительное обслуживание. Нет звоночков на столах, приходится махать руками, звать. А официанты как специально в другую сторону смотрят или вообще в телефон. Заказали безалкогольный мохито - принесли алкогольный. Заказали кофе американо - принесли капучино. Официантка обслуживала так, как будто мне одолжение делает. И куча китайцев за всеми столами. Короче, испортилось заведение. Неприятно.</t>
  </si>
  <si>
    <t>Место не плохое но есть маленькие нюансы которые могут испортить весь вечер во первых туалет капец какой маленький и грязный персонал не следить за таким важным местом в пивном баре. После принятого хмельного напитка желудок начинает крутить вертеть я не могу утверждать на 100 % из чего конкретно но я лично сильно пожалел что тут оказался в целом конечно не плохо. Но то что с хмельным напитком что то не так это сто пудов.</t>
  </si>
  <si>
    <t>Были в ресторане в 17:30 3 человека. Выбрали по электронному меню то что будем есть, заказали 4 блюда для моей жены, 2 порции для друга и мне одно блюдо. Спустя какое то время всем все принесли, а я своего так и не дождался. Пригласив официанта он сказал что не подумал что мне тоже нужно было готовить блюдо и предложил заказать заново и уже дороже, в ресторане действует доплата после 18 часов. Прождав свое блюдо 50 минут, Я отказался ждать ещё 40 минут пока оно снова будет готовиться. Подошла менеджер не извинившись за ошибки официанта не предложили никакого решения проблемы, кроме того как заказать блюдо заново без доплаты за время после 18 часов. Ушел голодный. А моей жене 4 блюдо тоже так и не донесли, из 7 заказанных блюд, официант передал на готовку только 5. Не рекомендую к посещению данное заведение. Меню только электронное а сеть ловит плохо, не грузится, что тоже доставляет неудобства. Продумайте хоть пару печатных вариантов меню. Нас обслуживал официант, крайне не внимательный, салфетки использованные до нашего ухода лежали на столе.</t>
  </si>
  <si>
    <t>Заказанный бургер несли 1,5 часа и так мы его и не дождались. Ушли. Два официанта на весь ресторан. Ещё и путают заказы между столами. Хотя в данном случае это неудивительно. За 1 час 45 минут смогли дождаться только два бокала пива. Чашки для чая просили принести четыре раза, в итоге сами взяли у бара. Просто потеряли два часа. Оценить кухню не получилось.</t>
  </si>
  <si>
    <t>Низкую оценку ставлю за качество обслуживания, практически пустой зал, занято три стола. Заказали завтрак, омлет и сырники. Омлет несли около 40 минут, сырники 1 час, объяснив это тем, что заказы из доставки пришли чуть раньше.. т.е. гости кафе без приоритета. О том что придется долго ждать, не предупредили. Перепутали заказы, при пустом то зале. Отказали в добавлении доп.шота в раф, объяснив «неизменной рецептурой». Еда на 4. Обслуживание на 1.</t>
  </si>
  <si>
    <t>Ранее были в самом ресторане. Все было вкусно и хорошо. Сделали заказ на доставку через сайт, было написано, что увеличен срок доставки до 1,5 часа. По факту прошло 2,5 часа, заказ не привезли. При звонках отвечали, что вот 10 минут и курьер будет и так 3 раза или бросали трубку. По итогу отменили заказ, никто даже не извинился</t>
  </si>
  <si>
    <t>Заехали по пути, примерно в 12 ночи, персонал стоял курил на улице. Увидели нас и спрятались внутри, именно спрятались. Никто не отвечал, стучали в окна, дверь, никто не подошел. Очень удивило такое отношение… На звонки по телефону тоже не отвечали. Интересно чем бы нас там накормили, если бы до них все же достучались… В итоге проехали чуть дальше, там все в порядке.</t>
  </si>
  <si>
    <t>Приехали за тридцать минут до закрытия, хотели перекусить. Но заведение уже закрыли и внутри наводили порядок. Поесть к сожалению не удалось.</t>
  </si>
  <si>
    <t>Меню выглядит интересно и запахи вкусные, но попробовать не вышло, два столика с плюс/минус удобным расположением были оказывается забронированы- бывает, конечно. Присела в проходе. Но когда освободился еще один столик у окна, то и он чудесным образом тоже оказался занят. Как-то подход к гостям разочаровал, оставаться дальше и пробовать кухню расхотелось</t>
  </si>
  <si>
    <t>Сегодня делали заказ, сырную среднюю и пепперони с грибами маленькую на традиционном тесте. То что привезли это ужас: пицца подгоревшая, практически без соуса, тонкая как коврижка! Ребенок был расстроен! Отвратительная работа персонала, если они допускают такое после проверки качества!</t>
  </si>
  <si>
    <t>Заходили с подругой. Попросили официантку столик на двоих, предложили стол в углу, который ещё был не убран. Решили подождать. Постановочные тарелки с мест, где сидели, не заменили, мокрое пятно за столом не вытерли. Что ж. Сделали заказ. Я попросила бокал вина. Официант взял заказ и сказал, что ему нужно уточнить, есть ли оно по бокалам. В меню есть, а на баре нет? По возвращении сказал, что белое только бутылками, потому что оно у них портится. Заказала пиво, и только в этот момент до молодого человека дошло проверить у меня документы. Жаренные хинкали были похожи на бульмени. И да, в месте, где подают в том числе грузинскую кухню, нет сацибели. Аджика не острая от слова совсем. Официант не предложил повторить мне пиво, пустые бокалы под воду и постановочные тарелки остались стоять на краю стола весь вечер. И да, оговорюсь сразу, сидело стола 4. Как итог - не пойду сама и другим не посоветую</t>
  </si>
  <si>
    <t>А мне не понравилось ... и не понравилось много что. Не смотря на название "ресторан", атмосфера все-же клубная. Собственно, что "не так" - красивый панорамный вид перекрывает заграждение установленное непонятно для кого, новогодние гирлянды как и часть освещения противно-желтого цвета, новогодняя гирлянда вовсе с оттенком красного. Это очень контрастирует с ярким бьющим в глаза местным освещением столика с холодным-белым. Между столиком и диванами/креслами очень маленькое пространство и не смотря на то, что я стройный садиться не удобно, явно наставили столиков "по больше", хотя кресло оказалось приятно-мягким и мне визуально понравилось расположение столиков между колоннами. Теперь о еде - "Самый вкусный бургер" я понимал, что будут поджигать, но не рассчитывал, что это будет вспышкой в непосредственной близости от моего лица - однажды чья-то залитая лаком прическа вспыхнет... шоу - не более того, а девушка которая подавала и рассказывала о бургере явно перегибает с актерским мастерством и то-ли от волнения, то-ли из-за неудобных перчаток уронила ложку от соуса на кальян. Далее целлофановые перчатки! мало-того, что их трудно извлечь из упаковки, так держать бургер облитый соусами просто невозможно, все скользит и над этим нет контроля. Булочка для бургера слишком пышная, нежная и сдобная - кусать держа в руках через целлофановые перчатки и при этом не пачкая лицо просто не возможно. Рубленная котлета оказалась с неприятной горечью - оставил ее не доев, хотя я не переборчив в еде, если б не было горечи то в принципе норм, чувствуется нормальное мясо. Помидор просто помидор, не самый худший, но для ресторана и бургера за 750р. можно было бы найти помидоры действительно вкусные. Соусы вкусные. Бекон - без претензий, вкусный. Чай "Лесные ягоды" явно имеет нотку промышленной заготовки ягод и явно искусственную "ягодную" составляющую, мне и другу не понравился, травяной чай вкуснее. Курага к чаю "с дымком" и черносливом - действительно вкусно! это было самым пожалуй вкусным из нашего заказа. Дольки ананаса засахаренные и высушенные в сиропе - красиво и только. Небольшая чашечка с медом к чаю почему-то имела характерный отчетливый запах маринованных оливок. Кальян просили самый легкий, но одурманивает просто жуть. В общем считаю что деньги были потрачены зря.</t>
  </si>
  <si>
    <t>Раньше была самая вкусная кулинария, торты были превосходные, сейчас только внешне всё красиво. Торты с присутствием какого-либо шоколада ужасно не вкусные, очень странный привкус старого масла. Недавно брала кусочки "Наполеона" и пожалела. Отдала 500 рублей за сухари с каким-то непонятным кремом.</t>
  </si>
  <si>
    <t>это капец, из вкусного из меню только холодная лепешка, сок и сахар, ну не забуду конечно пельмени с неприятным запахом</t>
  </si>
  <si>
    <t>Часто ходим по такого рода местам, не по одному десятку раз прошли лучшие рестораны. Были уже здесь, но сегодня удивлена и даже расстроена. Принесли воду в очевидно грязном бокале, не просто отпечатки а следы губ с едой. Официант перепутал заказные блюда. И в итоге вообще ужасное самочувствие, в животе камень и не только у меня, но и у гостей. Купили Мезим. Ощущение, что мы поели все что можно смешать в одной тарелке, перенасыщение вкуса, тело блюда маленькое и безвкусное, а вокруг куча соуса, в конце только тошнота, не рекомендую, хотя очень бы хотелось, но увы (((.</t>
  </si>
  <si>
    <t>Одно из тех мест в которое нашей семье не хочется возвращаться второй раз. Не понравилась кухня: 1) Цена не соответствует качеству. 2) Слишком большое меню, в котором даже официант не ориентировался. 3) долгая подача при не полной загрузке заведения. Из плюсов: детская комната.</t>
  </si>
  <si>
    <t>Если можно было, то не поставила бы звезд вообще. ВНИМАНИЕ! В ПОРЦИИ ЩАВЕЛЕВОГО СУПА сегодня мне попался осколок стекла!!!!!! Очень беспокоюсь, что руководство не понимает опасности и со своими неуместными подозрениями и высказанными доводами не отнесется с должным вниманием к произошедшему!!!</t>
  </si>
  <si>
    <t>Были в ресторане, делали предзаказ на обед. Извините, но там куча официанток, которые как то очень медленно соображают и кажется не знают никаких стандартов обслуживания гостей. Еда разнообразная, салаты все были очень вкусные. Уху принесли еле теплую.</t>
  </si>
  <si>
    <t>Не вкусно, были с женой и хотелось нам попробовать оленину, взяли два блюда и оба разочаровали. Позже пробовали оленину в другом ресторане, и было очень вкусно. Также обслуживание не на высоте. Похвалить могу только вид на бухту, он действительно хорош.</t>
  </si>
  <si>
    <t>Ресторан не понравился совсем!!! Макароны с сыром не заказывайте. Мы их ждали очень долго, дольше всего. И они оказались не вкусные! Хинкали вкусные. Обслуживание на 3. Интерьер и все остальное тоже не очень. на 70% лучше. Я бы не посоветовала этот ресторан. Коньяк, кстати, так себе.</t>
  </si>
  <si>
    <t>Этим летом моё пребывание не порадовало. Вероятно, сменился повар. Цены космические. Меню алкоголя представлено по факту процентов на 20, мне предложили пиво, не указанное в меню, цену на которое официант не знала. В следующий раз предпочту другое место.</t>
  </si>
  <si>
    <t>Сама идея не плоха-бываю здесь не часто но стабильно и всегда летом(веранда достойная!) Новая уличная мебель ну на этом в принципе и все правда еще вид на реку радует! Официанты ноль, повар на троечку. Стоянки нет так как заведение находится в парке. Карты не принимают(наличка или перевод) и это все в 2023году!</t>
  </si>
  <si>
    <t>Ужасно, живешь в гостинице за 30 т.р. в сутки и в ресторане поесть не разрешают (банкет), что за бред… тогда когда селите говорите это… посадили в бар, принесли меню и за 30 минут никто не подошел… Как жаль…, постоянно пользуюсь сетью и думаю это станет концом дружбы. Вот так теряют постоянных клиентов…</t>
  </si>
  <si>
    <t>Это прекрасное место, как будто, создано для того, чтобы производить отбор закоренелых гедонистов, готовых ради ярких гастрономических удовольствий поступиться своими ментальным и физическим удобствами. Отъявленные рецидивисты, нарушающие седьмую статью Божественного Декалога или безвольные рабы своих вкусовых сосочков? Не отношу себя ни к первым, ни ко вторым. Эта берёза ни трогает никакие струны моей души, и я всегда равнодушно прохожу мимо...</t>
  </si>
  <si>
    <t>одноразовый ресторан с ужасным сервисом. В первое посещение ресторана заказали дегустационное меню. Несмотря на косяки в обслуживании (забыли предложить аперитив, некорректно рассчитали предоплату, не в нашу пользу конечно) кухня вызвала интерес и визит был успешным. Атмосфера: При повторном посещении нас разместили прямо у входа. Посадка тесная, довлеющий бит вместо музыки не располагали к наслаждению общением и кухней. О кухне: блюда технически выполнены на уровне, выглядят ярко и аппетитно, НО вкус чрезмерно концентрирован, если взять полную, а не дегустационную порцию, чувствуется дисбаланс и остается неприятное ощущение от съеденного. Вывод: ресторан заточен на дегустацию. Нет смысла выбирать из a la carte. Сервис: Тут всё однозначно плохо. Претензия на высокий уровень сервиса резко контрастирует с фактическим сервисом. Нам не предложили подставку под сумку, хотя гостям, выбравшим дегустационное меню предложили. Официант спросила об аллергии на продукты, но когда ей были указаны вкусовые предпочтения не смогла рекомендовать подходящие блюда. Наоборот предложила неприемлемое блюдо. В итоге один из нас остался голодным. Нам не была предложена замена блюда, никаких извинений, вместо этого дали понять что сами виноваты в выборе и предложили заказать что-то ещё! Предоплата: После фиаско с основными блюдами мы решили уйти, но оказалось что сдачу с предоплаты не возвращают. Выходит внеся предоплату Вы становитесь заложником заведения.</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</si>
  <si>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</si>
  <si>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</si>
  <si>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</si>
  <si>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</si>
  <si>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</si>
  <si>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</si>
  <si>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</si>
  <si>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</si>
  <si>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</si>
  <si>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</si>
  <si>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</si>
  <si>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</si>
  <si>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</si>
  <si>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</si>
  <si>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</si>
  <si>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</si>
  <si>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</si>
  <si>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</si>
  <si>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</si>
  <si>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</si>
  <si>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</si>
  <si>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</si>
  <si>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</si>
  <si>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</si>
  <si>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</si>
  <si>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</si>
  <si>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</si>
  <si>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</si>
  <si>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</si>
  <si>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</si>
  <si>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</si>
  <si>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</si>
  <si>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</si>
  <si>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</si>
  <si>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</si>
  <si>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</si>
  <si>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</si>
  <si>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</si>
  <si>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</si>
  <si>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</si>
  <si>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</si>
  <si>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</si>
  <si>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</si>
  <si>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</si>
  <si>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</si>
  <si>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</si>
  <si>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</si>
  <si>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</si>
  <si>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</si>
  <si>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</si>
  <si>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</si>
  <si>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</si>
  <si>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</si>
  <si>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</si>
  <si>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</si>
  <si>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</si>
  <si>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</si>
  <si>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</si>
  <si>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</si>
  <si>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</si>
  <si>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</si>
  <si>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</si>
  <si>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</si>
  <si>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</si>
  <si>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</si>
  <si>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</si>
  <si>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</si>
  <si>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</si>
  <si>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</si>
  <si>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</si>
  <si>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</si>
  <si>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</si>
  <si>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</si>
  <si>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</si>
  <si>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</si>
  <si>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</si>
  <si>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</si>
  <si>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</si>
  <si>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</si>
  <si>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</si>
  <si>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</si>
  <si>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</si>
  <si>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</si>
  <si>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</si>
  <si>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</si>
  <si>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</si>
  <si>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</si>
  <si>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</si>
  <si>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</si>
  <si>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</si>
  <si>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</si>
  <si>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</si>
  <si>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</si>
  <si>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x`</t>
  </si>
  <si>
    <t>Хорошее место на троечку, где можно неплохо поесть и пообщаться с друзьями. В последнее время сервис испортился - долго обслуживают. Цены средние, посетителей обычно много, но места есть.</t>
  </si>
  <si>
    <t>Кухня на 5, администоаторы на 2. В первый раз были с супругой довольны на все 100. Не большие поклонники грузинской кухни, но было очень вкусно. Без переизбытка специй. Официант понятно объяснил, что о чем. В меню, наверное, любой найдет для себя блюдо. Попытались вернутся в другой день. Ни по телефону, ни через сайт ресторана забронировать столик было невозможно. За 5 часов пришли в ресторан, чтобы услышать от администратора, что столики нельзя забронировать - приходите и место найдется. А когда пришли, первый вопрос от того же администратора был - а столик бронировали? Крайне неуважительное отношение к клиентам.</t>
  </si>
  <si>
    <t>Ну что понеслась…. Что хочу сказать, была в первые в заведении интерьер очень интересный, удобные диваны внимание внутри конечно привлекает и на этом все…. Заказали рыбное ассорти внешне выглядит апетитно рыбка криветки и тд что и на тарелке было, но жаренная килька была не вкусной а точнее старой ржавой соленой рыбой которую пожарили, криветки были так себе, жареная мойва вау эфекта не получила, вывезли все кольца кальмара они были вкусными… Гренки ждали долго… Но больше всего убила сырная тарелка (((( Такого я еще не видела чтоб на тарелке отсадили творожный сыр который продается в пакетах !!!!! Окей как его есть шпажками??? Вилками ложками??? Сыр косичка вообще убила так чисто кинули сверху да и пойдет… Сьели конечно все, так как любим сыр((((( Пиво было вкусное… Счет ждали долго так как заведение закрывалось гостей было не много, тоже минус (((( Очень расстроенная за вечер</t>
  </si>
  <si>
    <t>Качество блюд не соответствуют их ценам. Салаты и блюда из мяса в других кафе на много вкуснее и полновеснее. Было бы лучше, если бы подавали только закуски к пиву.</t>
  </si>
  <si>
    <t>Кафе очень хорошее, кормят вкусно но есть одно НО. Почему нет горячей воды в кране где стоит душевая кабина, приходиться бриться и умываться холодной водой, вот это большой минус.</t>
  </si>
  <si>
    <t>1300</t>
  </si>
  <si>
    <t>1301</t>
  </si>
  <si>
    <t>1302</t>
  </si>
  <si>
    <t>1303</t>
  </si>
  <si>
    <t>1304</t>
  </si>
  <si>
    <t>Давно не посещал. Цены выросли раза в 2, если не больше. Шаурму принесли больше чем заказал, естественно и дороже. К чаю принесли лимон который я не заказывал и который включили в счет 120? за пару долек. Сахара, я к вам больше ни ногой! Буду ходить туда, где не обманывают.</t>
  </si>
  <si>
    <t>Часто берём здесь шаурму, в основном с курицей. Иногда бывает очень достойная, а иногда ни о чём, попадается много кожи и хрящей, в общем качество не стабильное, вкусно через раз.</t>
  </si>
  <si>
    <t>Еда вкусна. 18.02.2023 время 14:30 При мне два человека на кассе и женщина на горячих блюдах-пересчитали деньги и этими же грязными перчатками готовили еду. Женщина готовит, парень на кассе накладывал руками в грязных перчатках лапшу. Очень жаль, ведь мы тут каждый день кушали. Перчатки не меняли, я специально обратила внимание.</t>
  </si>
  <si>
    <t>Был пару раз. В целом интерьер, цены и обслуживание неплохое. Блюда по соотношению цена-качество достаточно вкусные, правда харчо просто ужасное - кислючие, есть это не смог:(</t>
  </si>
  <si>
    <t>Вкусный шашлык по весьма доступным ценам. Часто к вечеру не бывает свободных мест. Лосось на мангале просто огонь. P. s. Сегодня заказали шашлык, все позиции были вкусные, кроме куриных крыльев, они отдавали протухшим запахом. Я позвонила в службу поддержки и мне сказали, что перезвонят через 15 минут. Позвонили на следующий день и сказали, что опять перезвонят через 5 минут.. прошло 4 дня, тишина.. Не приятно, сделала выводы. Теперь это место рекомендовать не буду, хотя многие мои клиенты там побывали после моих хвалебных од..</t>
  </si>
  <si>
    <t>Отвратительно. Заходил туда перекусить, отдал 400р за воду и шаурму, воду выпил шаурму выбросил, но даже половинки хватило что отравиться.</t>
  </si>
  <si>
    <t>Заказывали шашлык,в люля из говядины добавляют бараний курдюк и это не очень приятно тк я не ем и не переношу баранину,и самое главное они это не говорят, а когда уже спросил то сказали что добавляют,да и в прочем весь шашлык с курдюком,если брать шампур шашлыка говядина то на шампуре через 1 насажен курдюк</t>
  </si>
  <si>
    <t>Я понимаю, что кухня работает до 22:30, но мы пришли в 22:27 и нас отказались обслуживать. Друзья это действительно бьет по вашему рейтингу. Очень жалко что ресторан не слышит своих гостей.</t>
  </si>
  <si>
    <t>Вкусные десерты, но выпечка не очень,, всё остальное вкусно, цены чуть выше среднего</t>
  </si>
  <si>
    <t>Отдыхали в июне 2023 семьёй с двумя детьми (4 года и 7 лет). Территория очень красивая, ухоженная, есть небольшая детская площадка, в ресторане вкусно готовят, есть несколько пирсов, чтобы порыбачить (поймали и отпустили щуронка). НО есть и неприятные моменты. Мы хотела взять на прокат лодку с мотором, самостоятельно поплавать по озеру, но, к сожалению, нам отказали: нельзя брать в лодку сразу двух детей, максимум одного или берите две лодки (дома у нас есть моторная лодка и мы безо всяких проблем катаемся вчетвером), или берите катер с инструктором (в 5 раз дороже лодки). Ок, нельзя лодку, хорошо, попробовали арендовать квадроциклы. Снова нельзя! Только от 14 лет. Какие-то драконовские меры безопасности. При выборе базы отдыха мы ориентировались именно на наличие квадроциклов и лодочной станции, в итоге воспользоваться этими услугами не смогли.</t>
  </si>
  <si>
    <t>Просторный зал, широкий ассортимент блюд,но очень тонко нарезают хлеб)) Хорошие скидки после 18:00. С парковкой проблематично,чтобы найти кафе нужно пройтись по коридорам.</t>
  </si>
  <si>
    <t>Бредятина, вышел 10 минут назад. Продавщица медлительная и грубая, пол рваный прямо на входе, запах исходит не столько от еды, сколько от коридора 2-этажа. И плюсы у заведения есть... Еда, признаться, вкусная, напитки свежие, прохладные. Мощнейший кондиционер не позволит вам вспотеть даже в самый жаркий июльский день. Благодарю за удачный перекус.</t>
  </si>
  <si>
    <t>Вкусно, но одноразовая посуда это не фишка, а дрек. Пиво отличное.</t>
  </si>
  <si>
    <t>Раньше в этот ресторан было приятно приходить. Очень вкусная еда, неплохое обслуживание. 28.04.2023 в очередной раз посетил этот ресторан со своей семьёй и очень разочаровался. Внезапно, этот ресторан стал центром притяжения людей пятого сорта. Сейчас этот ресторан похож на дешёвое заведение, где гуляет сомнительный контингент, которыей много пьет и очень плохо закусывает (на столах как в студенческое время - одна сосиска и десять вилок). В этот вечер гуляли пьющие женщины престарелого возраста, отмечали день рождения своей сабутыльницы. Они очень вызывающе себя вели. Администрация бездействовала, что вовсе недопустимо в таких случаях, так как подобное поведение таких гостей не редко заканчивается драками и поножовщинами. Музыкальное сопровождение в ресторане по выходным это вообще треш. Неухоженый пропитый музыкант и толстая певица в отвратительном красном платье маленькое размера. Не понятно почему, они позволяли себе подсаживаться за столы к гостям. Подобную картину я наблюдал где-то в 2005 году, когда такие таланты выступали в пивных палатках в доль трассы или провинциальных городах.</t>
  </si>
  <si>
    <t>Рестораном это можно назвать с большой натяжкой! Народу полно всегда только из-за местоположения,вид действительно красивый и за это одна звезда. Но если не бронировать заранее все равно этим видом насладиться не получиться,потому как все битком. Сервисом здесь и не пахнет: сначало ты ждёшь минут 10!!! пока к тебе кто-то подойдёт и принесёт меню, но в итоге ты идёшь искать это меню самостоятельно, потом ты идёшь вылавливать официанта,потому как все здесь жутко деловые и занятые;потом может быть,если повезёт,у вас вежливо примут заказ,а может быть и нет,смотря какое будет настроение у официанта((( Бейджи у официантов здесь в принципе из разряда фантастики видимо((( Ответить на вопросы по составу блюд у официантов вызывает сложности. Спустя ещё какое-то весьма неопределенное время, вам принесут заказ. А может быть вы опять пытаетесь выловить где-то официанта,чтобы уточнить где бифштекс и вот его приносят наполовину остывшим,потому как видимо про него забыли!!! Ни разу не была в ресторане,в котором нужно бегать за персоналом. При этом посадка была далеко не полная!!!! Что касается самих блюд,то хоть это съедобно и не так сильно разочаровывает как все остальное в этом месте. Грязные тарелки со стола не убирают в принципе. Чтобы сориентироваться по цене: один кружок баклажана,один кружок кабачка,четвертинка перца и половина помидора стоит 400 рублей. Шоколадный фонтан размером с чайную ложку(впервые такой вижу)-450 руб. Если такое кому-то нравиться то тогда точно сюда. А лучше не нужно,потому как очень много мест ГОРАЗДО лучше этого!!!!!!</t>
  </si>
  <si>
    <t>К сожалению, сервис оставляет желать лучшего. Очень долгое ожидание официантов ( и не из-за загруженности - один стоял и почти в носу ковырял от скуки рядом со стойкой). На веранде у воды депозит 5000 с каждого человека, а не за стол, о чем по телефону вам не сообщат. Кальянное меню в цену депозита не входит. Еда тоже оставляет желать лучшего. Например, Ежи на вкус очень странные, на свежие не похожи и подаются со странными допами. Алкоголь только без нареканий. Остаётся только пить</t>
  </si>
  <si>
    <t>Еда не вкусная,дольма и шашлык не вкусный,, национальная блюдо дольма из виноградных листьев и дольма( три сестры) не вкусный,люле кебаб не вкусный</t>
  </si>
  <si>
    <t>Пицца не супер, но соотношение цена качество норм! Дети любят это кафе- милая Комната для детей. Быстро готовят</t>
  </si>
  <si>
    <t>Пришли с купонами, чем вызвали крайнее (!) недовольство обслуживающего персонала. Невысокой женщины блондинки с короткой стрижкой и парня с сережками, и браслетами. Общались с нами в ХАМСКОМ тоне. В итоге мы встали и ушли. Уважаемая администрация заведения, для чего вы продаете купоны на Биглионе?! Что бы обслуживающий персонал хамил и дерзил клиентам?.</t>
  </si>
  <si>
    <t>Не советую ни кому эту «кофейню». Совершенно не кофе, а молочные напитки с избытком сиропов. Целый стакан 0,4 и в мусорку, не возможно пить. Жаль потраченных денег и времени заходя к вам. А руководителям на заметку! Вместо того, что бы удалять комментарии везде, лучше бы прислушались и исправили ситуацию, но тут сразу видно, что качество не главное!</t>
  </si>
  <si>
    <t>Весь вечер ждал, когда появится возможность сделать заказ на доставку, но написав в поддержку выяснилось, что ждать бесполезно, так как нехватка курьеров. Показательный уровень обслуживания клиентов!</t>
  </si>
  <si>
    <t>Позиционируют себя пафосным заведением, но уровень не дотягивает. Еда на 4. За эту стоимость во многих других ресторанах (например, в Пятигорске) блюда и вкуснее, и подача изысканнее. Обслуживание на 3 - принесли-унесли, но сама атмосфера какая-то не располагающая. Туалет-отдельная тема. Очень познавательная лекция вещалась, даже выходить не хотелось!) Были утром, в 11. Возможно вечером с живой музыкой поинтереснее будет.</t>
  </si>
  <si>
    <t>Отличное расположение, неплохая кухня, классная музыка. Неприятное обслуживание. Оборзевшие официанты. Чаевые в 10% от чека для них ничто. После этого будьте готовы, что на вас даже взгляда не кинут. После этого вы для них нищий. Смешно конечно. Просто хорошее кафе. Каких десятки на любом курорте РФ.</t>
  </si>
  <si>
    <t>На танцполе ни с того ни с чего упал бокал с барной стойки, рядом подруга танцевала, тут же подбежал охранник с тупой татушкой на затылке, и потребовал заплатить за бой посуды. Ну это вообще моветон какой-то. вы сперва разберитесь откуда он упал, а может вообще нам осколки куда-то попали. Клиентоориентированность слабовата. Бокал пива несут полчаса при пустом зале, причем сидя напротив наблюдаешь игрища бармена и официанта, которая нас обслуживает, когда наигрались тогда и принесли) забавно конечно. Но с разбитым бокалом, это вообще цирк и все это на 8 марта. Вы лучше тюльпанчики не дарите, но с бокалами не позорьтесь больше</t>
  </si>
  <si>
    <t>Были в этом баре 3 дня назад, ужас просто...звук в караоке не просто плохой, а ужасный...не слышно вообще. Коктейли алкогольные дорогие по сравнению с другими караоке барами, оборудование точно нужно менять в этом Брузере....отстой а не бар.</t>
  </si>
  <si>
    <t>Отзыв о доставке. Самый ужасный заказ: 1.не привезли 2 позиции из 7! 2. Позвонила, сказали минута, прошло 10. Сказали через 30 мин довезут. 3. Довезли 45 мин. 4. На весь заказ всего 2 прибора! 5. К довезеным завтракам нет соуса! Администрация принесла извинения и подарила сертификат на доставку. Но при очередном заказе, оператор не в курсе сертификата,хотя администрация уверяла что оператор все знает. Потратьте сертификат на улучшение коммуникации внутри предприятия! Спасибо, в очередной раз, за неприятное общение с вашей доставкой! Про еду: Второй год не решена проблема с доставкой картошки фри в комплекте к бургер - приезжает не фри, мокрая картошка. Так сложно на доставку заменить фри на крокеты? Жаль что отличная еда и отличный сервис просуществовали не долго!</t>
  </si>
  <si>
    <t>В принципе понравилось. Вкусно и понравилась подача. НО! Кафе вроде одно, но разное меню на первом и втором этажах. И нельзя сидя на 2-м этаже заказать из меню первого этажа. Если хочешь заказать из меню первого и второго этажа сиди на веранде. А в июльскую жару это не вариант. Поэтому пришлось выбирать по большинству. Хотя один ребенок хотел пиццу, а второй гамбургер, но пришлось тоже есть пиццу. Короче, это не понравилось.</t>
  </si>
  <si>
    <t>Кухня неплохая,но атмосфера полностью заточена под стрит-фуд. Сидеть долго общаться,неспешно потягивая коктейль, некомфортно. Музыка вопит, столы и стулья жесткие и неэргономичные.Цены средне-завышенные. Интерьер аскетичный. Из смесителя в туалете лился кипяток в положении Холодной воды. Тонизирует?? Персонал дружелюбен. В целом вряд ли придем снова,больше любим заведения с расслабляющим эффектом))</t>
  </si>
  <si>
    <t>Не могу сказать, что осталась в восторге. Отмечали день рождения. Салат Греческий принесли ну только что не в тазу! Тарелка просто огромная!!!! Такое ощущение, что салата просто нет! По музыкальному оформлению слабо. Нет желания туда больше идти!</t>
  </si>
  <si>
    <t>Из за отвратительного наглого и с хамским поведением охранника возвращаться туда не хочется, тщательнее выбирайте персонал, он был недоволен что у нас не забронирован стол и мы приехали к друзьям, итог: что второй охранник стоял и извинялся за хамское поведение второго, и объяснял это тем что он работает первый день, конечно же мы развернулись и уехали в прекрасный бар понеслось)) все советую!</t>
  </si>
  <si>
    <t>Шаурмастер переворачивает руками голыми шаурму и копается в бороде этими же руками, удачи в продажах. Шаурму выкинул всю. Кушайте сами.</t>
  </si>
  <si>
    <t>Пока пицца горячей Бобика холодная не особо ну и как то раз пришли а нас вежливо отклонили тип у нас всё забито мы не можем вас принять в итоге ушли</t>
  </si>
  <si>
    <t>Обычная столовка, почему рейтинг зашкаливает, потому что рядом не много мест бюджетных поесть тарелка (Греча+индейка)+мини стаканчик разбавленного томатного 300 р. Вроде не отравился и отлично. Если бы коллеги не сориентировали не нашёл бы столовку.</t>
  </si>
  <si>
    <t>Очень скромное заведение, взяли еду с собой, горшочек, рыбу в кляре и две куриные котлетки, есть можно, но не сказать что вкусно, чек получился 690?, желания зайти ещё - нету</t>
  </si>
  <si>
    <t>Все вроде норм готовят вкусно но долго очень долго я могу это сказать так как я сам там работал Официанты не все пунктуальные все время берут по много столиков и не успевают И при этом нету карты оплаты Только перевод А так кафе очень хорошее Если сделать карту и быстрое приготовление еды То все будет отлично</t>
  </si>
  <si>
    <t>Вкусная кухня, приятная атмосфера. Понравилось кататься на байдарках, очень живописно вокруг) Огорчила стройка рядом: все в заборах, нормального подъезда нет. Думаю стройка закончится и ферма станет еще популярнее)</t>
  </si>
  <si>
    <t>Шаверма пустая. Капуста и немного мясо. Это даже не Шаверма. Само по себе кафе чистое. Все отлично. Может оно и чистое, потому что там нет Клинтов. Но шаверма ужасная. Кто немного разбирается в шаве, тот сюда не придет. Огромный выбор в этом доме. Развития вам. И не стоит экономить на ингредиентов. Для меня явно, что здесь коммерция. Здесь клиенты, а не гости. Гостям такую шаверму не сделают)))</t>
  </si>
  <si>
    <t>Порции не большие, заправки без яркого вкуса. Простое, приятное заведение,но еда не особо вкусная</t>
  </si>
  <si>
    <t>Охрана никакая низкий уровень обслуживания. Очерёдность исполнения песен нарушаеться</t>
  </si>
  <si>
    <t>Здравствуйте! Были в заведении на Кузнецком мосту, но сложилось не очень приятное впечатление - ожидание превысило реальность: смузи разбавленное, принесли заказ после 20 минут ожидания, за что обещали принести десерт, но этого так и не случилось - нас «кормили завтраком» сейчас принесем, сейчас принесем, было похоже на хитрость со стороны официанта. В общем, надеюсь в будущем посетители будут получать обещанное. Спасибо!</t>
  </si>
  <si>
    <t>Что могу сказать.... Грязная мебель, вся в подтеках и пятнах, меню, чёрт ногу сломлет... Еду приносят каждому.. Один ест все остальные смотрят, получилось так, что мы ждвли, пока один доест минут пятнадцать...соусы, дешевка полная, разбавленный кетчуп... В туалете грязно... Общее впечатление, забегаловка....</t>
  </si>
  <si>
    <t>Всём привет. Сколько раз там был столько раз и возникали ньюансы относительно сервиса и еды: готовка долгая, могут забыть, могут подойти через полчаса и сказать что такового блюда нет! Вообщем персонал никакой! Поставил три за интерьер который для Качканара актуальный пока и из небольшого выбора кафе в городе! Сам туда пойду только по безнадеге!</t>
  </si>
  <si>
    <t>Были проездом в Качканаре, в выходной день. В этом кафе ощущали себя навязчивыми гостями на чужой вечеринке. У заведения явно есть постоянный контингент посетителей, у которых дружеские отношения с сотрудниками кафе. Все остальные гости работниками воспринимаются как досадная помеха. Нас, конечно, покормили, но 2 порции жаркого были холодными Приготовлены заранее и стояли в холодильнике, в принципе нормальная практика, если потом разогревают. Сначала пришлось просить разогреть, потом просили принести. Принесли разогретыми до состояния кипятка.</t>
  </si>
  <si>
    <t>Персонал внимательный и вежливый, порции маленькие и не вкусные, уха доже без рыбы( с рыбной котлеткой), голубец с крабом ооочень маленький, ушли голодные, пошли искать, где бы поесть</t>
  </si>
  <si>
    <t>Ремонт в ресторане выглядит очень хорошо. Сервис сильно хромает. Персонал не соответствует, даже среднему уровню. Ничего не знает про блюда, и производство. По еде нормально, но не восхищает. Нет запала, нет философии быть лучшими. Вывод: сходить можно, рекомендовать кому-то нет.</t>
  </si>
  <si>
    <t>Заказывали на вынос шашлык с овощами- гриль. Шашлык хоть из свиной шеи, но некоторые куски были суховаты, овощи было ощущение, что на сковородке готовили и были пересолены. Персонал настроен на пожелания клиентов, атмосфера залов из конца 90-х.</t>
  </si>
  <si>
    <t>Выпившие засыпают за столом. Они просто спят. Их никто не выпроваживает они спят с пустыми бутылками это не приятно. С семьёй посетить это место просто не возможно особенно вечером.</t>
  </si>
  <si>
    <t>Помещение некомфортное, странно пахнет вокруг, официант милая, но без формы. Заказывали хинкали, готовили очень долго, но в целом по вкусу нормальные. Десерты маленькие, своей цены не оправдывают. В центре за эти цены можно намного лучше поесть в более приятной обстановке. Не советую.</t>
  </si>
  <si>
    <t>Очень неплохое место с точки зрения кухни - свежие продукты, вкусно готовят, большие порции. Но! Не знаю - или звезды так сложились, или погода подвела - но персонал разочаровал совершенно! Были в будний день, народу было не много, однако официанты выглядели совершенно измученными. Видимо это должно было оправдать их не просто невнимательное, а даже хамское поведение! Учитывая то, что мы собрались рабочим коллективом отметить юбилей коллеги, конечно это здорово подпортило отдых. Ну а после откровенного посыла администратора решили пожаловаться на горячую линию... нам соответственно пообещали разобраться. Было дело в понедельник, а уже!!!!))) в воскресенье (не прошло и недели) последовал звонок с вопросом-было ли обращение?)) После утвердительного ответа звонивший был крайне удивлен, что уже прошла почти неделя... и никто до сей поры не отзвонил... и никто никаких мер не принял... и извинившись поспешил разговор закончить.. Так то)</t>
  </si>
  <si>
    <t>Зделал заказ на сайте, в итоге не перезвонили. Прошло в районе полу часа, перезвонил сам так как звонка от оператора не поступало. Сказалт что заказы не принимают так как не успевают из-за нагрузки заказов. Хорошо а позвонить и сказать не судьба, что заказы не принимают. Операторы не тактичные в разговоре со своими клиентами.</t>
  </si>
  <si>
    <t>Очень дорого и не вкусно!! Вообще не оправданные цены за то что они делают, бедные солдаты у них покупают так как по близости больше ничего нету, за огромные деньги такую не вкусную шаверму, на этом они и живут! Местные никогда там не едят!</t>
  </si>
  <si>
    <t>Если вы готовы ждать меню минут 20,и не куда не торопитесь то место вам понравиться. Как и большинство общепита в Дагестане не готовы переварить количество туристов которые приезжают в этот замечательный край</t>
  </si>
  <si>
    <t>Всегда покупали сдесь шашлык, очень вкусный, и мясо маринованное, тоже вкусное. Но к большому сожалению, купив вечером 01.09.2022 корейку на кости, очень разочеровались. Во первых, ждали когда приготовят, мясо оказалось сырое, резина, есть не возможно, ножом не отрезать. Что произошло? Лучше б ещё подождали, вечер был испорчен, остались голодными. Очень разочеровались.</t>
  </si>
  <si>
    <t>Брала шаверму с курицей за 200 руб. Курицу используют не с вертела, а копченую (взяли из холодильника). Сама шаверма очень маленького размера (как половина обычной). Также ее не поджаривают совсем, поэтому она получилась холодной, и только курица была горячей. Не советую брать шаверму в этом месте.</t>
  </si>
  <si>
    <t>Заходили на обед. Сидеть и нормально кушать вообще не удобно. Есть приходится согнувшись над столом. Либо на коленях. Вытяжки видимо нет, от кальяна как в тумане, даже днём. В туалете очень слабый свет, если хотите поправить макияж нужно ещё фонарик включить на телефоне. Из плюсов хорошие официанты, и более менее съедобная кухня.</t>
  </si>
  <si>
    <t>Некомпетентные сотрудники Если у вас запланировано важное мероприятие, то данное заведение не рекомендую Приехав отмечать свой юбилей по факту осталась стоять в коридоре Сотрудники не смогут предоставить замену столика, внятно объяснить кто из сотрудников виноват что записали мой номер неправильно при бронировании столика, тем самым сняли бронь в одностороннем порядке!!!! Администратор и хостес с управляющей видимо не общаются раз одна думает что сотрудник такой работает, другая утверждает что таких никогда не было Данное заведение ранее посещала не раз Всегда было все на высшем уровне В этот раз полное разочарование По их причине пришлось экстренно искать другое место Перезаказывать такси всем своим гостям Обзванивать все доставки цветов, шаров и тд что были заказаны именно к ним в ресторан на определенное время И плюс ко всему было потрачено время, испортили настроение и дополнительные расходы Юбилей они мне испортили Запомню на всю жизнь??</t>
  </si>
  <si>
    <t>Заказывали доставку шашлыка и хинкали. Привезли быстро, доброжелательный курьер. На этом хорошее все, так как и шашлык и хинкали на троечку.</t>
  </si>
  <si>
    <t>Был с женой и друзьями 14.07. Взяли какао, бамбл и эспрессо-тоник. В тоник и бамбл навалили льда до самого верха, уже через минуту вкус стал водянистым. Трубочки были очень некачественными, ломались. Какао был неплохим</t>
  </si>
  <si>
    <t>Персонал ведёт себя по-хамски. Никому не рекомендую!</t>
  </si>
  <si>
    <t>Название очень крутое, сразу решил забежать. Они позиционируют себя как столовая, но в столовых не бывает таких цен. Крохотный салатик и второе из курицы и гречки плюс кофе 700р. Явный перебор. Касаемо качества блюд, ну снова же, больше тройки не поставлю, пресно, курица пересушена</t>
  </si>
  <si>
    <t>Бургеры действительно вкусные и нежные, но мне в мясе стабильно попадаются мелкие части костей. Считаю это опасным, т.к. можно повредить дёсны и зубы, не говоря уже за то, что аппетит пропадает когда с опаской пережевываешь мясо в поисках посторонних предметов. Заказывал здесь 5 бургеров, в 4 из них были косточки.</t>
  </si>
  <si>
    <t>Обычное кафе с завышеными ценами, два блина со сметаной 190 р., и дава блина с ветчиной и сыром, ну очень маленькие 250 р., глинтвейн 300 р. Правда вид красивый.</t>
  </si>
  <si>
    <t>Выпечка отвратительная, круассан без крема внутри, при этом разрезанный. У официантов длинные ногти, антисанитарные условия. Не советую данное заведение</t>
  </si>
  <si>
    <t>Заказал обед за 590?, салат+суп+плов. По итогу суп пересолен до такой степени, что его невозможно есть, «плов» - это просто рис и ровно три маленьких кусочка сухого мяса. Салат также пересолен, хоть и меньше чем суп. Настроение испорчено на весь день. Крайне не советую брать там обеды.</t>
  </si>
  <si>
    <t>Все было нормально, но с недавнего времени стали отказываться делать кофе в стеклянные чашки. Под предлогом отсутствия того, кто может мыть посуду. Причем чашки стоят на кофемашине. Т.е. вы перекладываете проблемы вашего нерадивого менеджмента на клиентов. Я ходил туда больше года, но не готов пить кофе в кофейне, как в переходе метро. Молодцы! Сэкономили на уборщице - теряйте клиентовв. Больше туда не пойду!</t>
  </si>
  <si>
    <t>Иногда покупаю тут донаты сыну, когда проходим мимо. Сегодня шли специально в это место компанией взять кофе, тортики, посидеть, пообщаттся. Продавца не было минут 30. Неприятно. Больше мы такой ошибки не совершим.</t>
  </si>
  <si>
    <t>Хочу расказать о наболевшем. Произошел конфуз в этом уютном ресторане в которое хотелось приходить и вкусно проводить время под живую музыку с очень приятным интерьером. Но последнее посещение перевернуло все с ног на голову. Я сколько раз звонил и спрашивал можно ли заеазать столик мне всегда говорили что этого делать не обязательно так как все происходит в порядке живой очереди и вмегда все проходило вме как по маслу с ожиданием не более 10-15 минут. В этот раз прошло вме по другому сценарию после прихода в ресторан после вопроса есть ли столик ответили есть мы сняли верхнюю одежду сели за предложеный столик тут неожидано подошел другой официант и сказал что этот столик свободен только на 40 минут, что само по сибе очень мало так как готовка у них не всегда бывает быстрой, а если заказать пицу то это будет не менее 50 минут. Такое отношение считаю не правильным и все это произошло после ухода из их ресторана официанта который долгие годы работал и при нем было все как надо, а теперь набрали хамский персонал который я надеюсь проработает не долго и все вернется на круги своя, очень жаль что руководство смотрит на данную ситуацию спустя рукова.!?</t>
  </si>
  <si>
    <t>Ходили с девочками в помещение Большой сад. Заказали столик на 17 ч, потом хотели поменять на более раннее время нельзя, мест нет. Пришли к 17 столиков 6 были пусты. Кухня вполне вкусно брали салаты, чебурек, вино красное. Но большой минус - официант убирает грязный стол после посетителей, вытирает жёлтой тряпочкой, кладет ее в шкафчик, тут же грязными руками раскладывает вилки, ножи, бокалы... Никакой обработки рук...</t>
  </si>
  <si>
    <t>Скажите, как вы ещё не закрылись?!?!? Это ужасно. Мы прождали доставку почти 4 часа. И роллы просто отвратительные!!! С курицей шапка галимый жирный майонез с чесноком, розовый с икрой тобико на вкус как что-то протухшее, остальные роллы тоже(((( я понимаю что ценник это не высокий за сет роллов. Но зачем людей кормить таким!! Как скотам ещё и за деньги</t>
  </si>
  <si>
    <t>Сегодня 01.06.2023г. в 11:15 зашла в это заведение. Гостей не было вообще. Я попросила сотрудницу пропустить меня в уборную, и заплатить ей. Она отказала, я ее умоляла, так как нахожусь на 8 месяце беременности, и авария была на подходе, предлагала 200, 300 и 500 рублей. Но девушка ехидно улыбалась и отказывала. Почему нельзя было войти в положение и пустить в уборную, хотя бы за 500 рублей?</t>
  </si>
  <si>
    <t>Не понимаю кто пишет восторженные отзывы этому заведению. Брал лапшу с грибами, котлету домашнюю, печеночный торт и запечённую картошку. Всё оказалось очень соленым! Все блюда! Котлета вообще непонятно насколько из мяса состоит? Слишком уж сочная) такого не бывает. А жирная отрыжка мучила до позднего вечера от качества такого обеда. Лучше голодным быть, чем там есть!</t>
  </si>
  <si>
    <t>Оставили дитя у друзей и решили сходить отдохнуть с супругой. Обслуживание на высоте, но самые интересные сюрпризы нас ждали после 1:00 ночи когда в заведение пришли молодые люди и начали нас толкать спиной возле барной стойки. В конфликт вешались охранники и говорит мне что это я устроил конфликт, но судя по их состоянию им было все рано кто утроил конфликт и вообще это выглядело как разборка в 90-е на что мне один их охранников сказал что это заведение для байкеров. После этого мы попросили администратора, но представительница заведения начала на нас повышать голос и только вызванное такси завершило наш конфликт. Как итог заведение не плохое, обслуживание тоже, но вот персонал охраны и администрации оставляет желать лучшего</t>
  </si>
  <si>
    <t>Салат цезарь, прям силоз., ржавая капуста с майонезом, ужасно, хлеб черствый. Порадовала котлета по домашнему</t>
  </si>
  <si>
    <t>2 звезды только за атмосферность. Ожидание блюд, поданных не одновременно для 3 гостей (достаточно долго). Борщ украинский пресный и ненаваристый, никакой одним словом. Блюдо мясное в дранике - ни о чем, дранники подгорелые, ярко чувствуется лук хрустящий. Щучьи котлетки - тоже не впечатлили никак. Понравилось пиво и перцовка). Подозреваю, повар сменился, вот и отзывы такие. Разочарование полное</t>
  </si>
  <si>
    <t>Все вкусно, чисто. Персонал вежливый. Но, порции слегка маловаты и Ценник конский!!! Если бы не борзели с ценами и порциями, клиентов было бы больше. А поляну заказать - вааще разоритесь. Решайте сами.</t>
  </si>
  <si>
    <t>Нашли это место в том году, ходили исключительно на ланч, домашние пельмени и вареники, брокколи в кляре, очень много позиций было для ланча и по отличным ценам, а главное вкус! Качество на высоте, порции большие. Зашли на днях, обновленное меню, мягко говоря не фонтан, салат вкусный, но суп куриный, если раньше была домашняя лапша, наваристый бульон, то теперь это вода с маленькими кусочками курицы, и мелкой лапшой. Меню очень сократилось, больше ничего не пробовали, но думаю сюда больше не заглянем(</t>
  </si>
  <si>
    <t>Просидели 20 минут 28.05 вечером на Новороссийской, никто не подошёл. Кое-как выпросили меню. Просидели ещё 20 минут с меню-ноль внимания. Просто ушли. Спасибо за испорченное настроение.</t>
  </si>
  <si>
    <t>При входе в ресторан, официант посмотрел на нас - подростков, с презрением. После заказа напитков, мы получили один полный, а два других были наполовину пустые (фото приложено). Еда была вкусной, но сервис и отношение подвели(</t>
  </si>
  <si>
    <t>Долгое обслуживание, и не вкусно, хамовитый официант. Пицца сухая. Забыли часть заказа.</t>
  </si>
  <si>
    <t>Впечатления от посещения данного места неоднозначные. Поехали с ребенком в субботу по вопросу выбора/набора элементов столового и чайного сервиза домой. Очень подкупили отзывы с сайта, подробная заманивающая консультация кол-центра. Первый минус как для покупателей, работают в субботу до 5 всего лишь, мы только добирались до точки в ЮЗАО часа 2 с области, потом когда мы приехали нам кинули листочки, сказав на писать и составить список позиций которые понравились с номерами артикулов. Мы в течение получаса отобрали понравившиеся элементы сервизов и получили ответ, что некоторых тарелок(условно) просто нет в наличии, а поскольку наличие этого вида тарелок было принципиальным, пришлось набирать позиции из другого сервиза, чтобы посуда не была разноперой. Хочу отметить всем хозяйкам, которые хотят домой приобрести продукцию от этих посредников: учитывая рисунок и цветковую гамму отдельных фарфоровых сервизов, Вам в идеале сначала потребуется приехать часа за 3-4 сходить на склад у них, отобрать нужные позиции, проверить их на совпадение рисунка и цвета, а потом вернуться все оплатить и обратно на склад. Сугубо мое мнение: это место больше подходит для владельцев кафе и подобных заведений, кому не принципиально расхождение в данных вопросах. Из единственных плюсов отмечаю, что есть много посуды на разный кошелек и качество.</t>
  </si>
  <si>
    <t>Интересное место, с высокими ценами и плохим обслуживанием. Еда хорошая. Официантов ждали ооочень долго, при том что только один столик был занят. На кнопку вызова официанта что на столе им так же пофиг - не реагируют. Пиво обычное. Если везде все будет закрыто и выпито везде пиво - можно зайти. Целенаправленно идти не советую</t>
  </si>
  <si>
    <t>Ивлев бы их точно закрыл. Еда отвратная. Не понравилось ничего из того, что я заказал. Пиво - ничего особенного. Это явно не чешский пилснер. Пользуются удачным расположением короче ребята.</t>
  </si>
  <si>
    <t>Понравилась вкусная еда ( рулька, буженина, колбаски с овощами, небольшие пирожки с разными начинками) наличие безалкогольного пива!!!. Сняла две звезды за обслуживание. Мы были днём, в зале было почти пусто. Но официантка про нас просто забыла. Приходилось напоминать о себе. Странно, почему то в центре Москвы не умеют зарабатывать чаевые...</t>
  </si>
  <si>
    <t>По выходным собирают очень большие толпы народу. По 3 банкета одновременно. Все друг друга перекрикивают, танцевать негде, дефицит стульев. Кухня так себе. Единственный плюс - можно приносить свой алкоголь, видимо по этому там такая толпа.</t>
  </si>
  <si>
    <t>Очень не понравился запах туалета на все заведение. Зашли на завтрак в результате одинаково долго готовились и блюда из завтрака и по меню. Цена комбо стоит от какой-то стоимости, но на первом же пункте вылетает в сумму больше, не говоря уже об итоге. Слишком много этапов выбора. Я вижу картинку -хочу как на картинке, меня утомляет долгий поиск необходимых пунктов.</t>
  </si>
  <si>
    <t>Ставлю 2 звезды так как разочарован,раньше было на много лучше,контингент людей поменялся,ребята танцуют в спортивках,диджея просто с какой то мяты взяли,музыка ужас,какая то не понятная долбежка,ремиксы просто отвратительные,вечер был испорчен,меняйте систему,скатился лимирик,раньше считал самым лучшим заведением где можно было оторваться</t>
  </si>
  <si>
    <t>В кафе блюда вкусные. Но взяли пиццу на вынос, оказалось что там не доложено такое чувство что всего. Цена на вынос ниже на 100 рублей, но и другая рецептура. Так вот за такое надо как минимум в два раза дешевле давать. Имейте это ввиду когда берете на вынос. И вообще солидному заведению некорректно на вынос снижать цену, и при этом заменять пиццу другим составом. Так как тогда вообще непонятно, зачем её брать там.</t>
  </si>
  <si>
    <t>Ресторан красивый. Кухня не очень. Народу почти не было вечером в субботу. Заказывал шашлык свиной 330гр - готовили его около 50 минут. Подача не ВАУ. На вкус весьма спорно и посредственно. Стоило это удовольствие 1340рублей. ОДНА ТЫСЯЧА ТРИСТА СОРОК РУБЛЕЙ ЗА 330 ГРАММ ПЛОХОГО ШАШЛЫКА ИЗ СВИНИНЫ. Также имел неудовольствие есть форель запеченную с овощами(овощи - это только Перец) за 1790 рублей. Все бы ничего, но в любом даже самом пафосном рестике на набережной шашлык как минимум в 3 РАЗА дешевле и вкуснее на порядок! С ценами беда совсем! Не РЕКОМЕНДУЮ. 2 звезды только за место!</t>
  </si>
  <si>
    <t>Музыка очень скучная, даже не потанцевать, неизвестные треки под которые танцпол даже не танцует, алкоголь скрашивает весь вечер, диджей не очень, хочется сразу уехать!</t>
  </si>
  <si>
    <t>Все очень красиво, интерьер, еда, коктейли. Но еда прям невкусная, равиоли были холодные, жесткие Коктейли понравились</t>
  </si>
  <si>
    <t>Мои бизнес ланчи часто проходят в этом месте. Приятное пространство. Но меню уже давно необходимо разнообразить. А равнодушие и уныние официантов перевоспитать.</t>
  </si>
  <si>
    <t>Что-то среднее между столовой и кафе, интерьер кафе, меню столовой. Взяла обед из каши, жаренных кабачков, куринной котлеты, кофе и коржик, чек на 500 руб. В коржике, попался часть упаковки, предложили заменить или выбрать другой десерт на выбор. В целом неплохое место, только девочек на раздаче чуть душевнее и будет отлично.</t>
  </si>
  <si>
    <t>Кафе красивое уютное мы вошли сегодня отмечать нам мусулманский праздник.но обслужывание норм.а еда неочень в жызни первый раз видела коурдак невскусный нежаренный.картошка недолжень быт соломкой.ожидание унас мкксимум 38минут.мы тоже работаем поваром но ожыдание не так поздно.салаты тоже неочень.не соль не перец.заказы толка по одному несли.тот другое нет тот лаваш.будте пожалуйста внимателно.</t>
  </si>
  <si>
    <t>Зашквар! Каждый раз помещая ТЦ «Черемушки» заходили в это кафе, по еде претензий нет. Сейчас с ребенком выбирали, где поесть и хотели помыть руки. Конечно, я знаю, где туалет, но меня с ребенком не пустили, доказывая, что туалет посетителей. Админ по имени София доказывала, что это нормально. Ребята, это ненормально! У вас и так пусто! Еще и персонал абсолютно не обладает эмпатией и не обучен нормальному отношению к клиенту. Мы бы зашли и поели после, но такое отношение убивает любое желание есть в этом заведении. А собственнику бизнеса удачи и обратить внимание, как сотрудники убивают сервис и продажи.</t>
  </si>
  <si>
    <t>Не понравилось, что работают с открытым огнем в общем зале, не соблюдают технику пожарной безопасности. Не приду с ребенком. Кухня приличная, но раз на раз качество блюд может отличаться</t>
  </si>
  <si>
    <t>Шаверму есть просто не возможно: курица без вкуса, после шавермы было очень плохо.Лучше дойти до вокзала и поесть в """" там шаверма гораздо вкуснее и дешевле.Такое ощущение что шаверму достали из морозилки и разморозили к тому же очень плохо. Вообщем это самое худшее место чтобы потратить 250 рублей, своё время и здоровье.</t>
  </si>
  <si>
    <t>Самое отвратительно обслуживание которое я встречала в . Если у вас полно времени и вы обладаете диким желанием ждать хачапури час, то вам сюда. Не компетентный менеджер, разводит руками и несет ахинею про технические проблемы, при этом заказы приносят за соседние столики ... нет слов.. Больше не придем и всем знакомым расскажу об ужасном обслуживании!!!</t>
  </si>
  <si>
    <t>Хачапури вкусные, аджарули очень даже хорошие для . Но сервис ужасный. Заказали чай к хачапури. Оказалось про чай забыли. Десертов в меню почти нет, но они стоят в холодильнике. Узнать об этом предлагается самостоятельно.</t>
  </si>
  <si>
    <t>Вторые блюда вкусные ,но во десерты ,3 раза перевыбирали десерт ,девушка отвечала что нету в наличии что мы хотели ,плохо что она не знала что есть у них по наличию ,когда мы уходили ,десерты них близко с выходом ,были все десерты что мы хотели,очень обидно (((</t>
  </si>
  <si>
    <t>Прекрасный и доброжелательный персонал ! Вкусные блюда чаще всего. Много соусов на выбор Есть комбо и карты ,микроволновая печь. Из минусов: уже несколько дней подряд не работает кондиционер и видимо вытяжка,духота невозможная,заходить желание отпадает и просьба поменять майонез,в салате оливье и других блюдах. По поводу блинов,хочется сразу приготовленные ,те,которые полежали невозможно резать и жевать. За духоту и отсутствие воздуха,минус две звезды ,это скорее вопрос к владельцу и управляющему. За персонал 5 звезд,чудесные сотрудники. Чисто,интерьер неплохой. Цены привлекательные</t>
  </si>
  <si>
    <t>Добрый день. Наконец-то получилось к вам заехать, слышали много положительных отзывов, но наши ожидания, к сожалению, не оправдались. Еда вкусная, но для придорожного кафе ОЧЕНЬ дорого, а до ресторана не дотягивает. Мало эстетики. Большой минус, что очень долго ждали два блюда. Мы никуда не торопились, но, если бы торопились наверно ещё больше бы расстроились(((</t>
  </si>
  <si>
    <t>Очень уютное место! Красивый интерьер, продуманное меню. Шли в этот ресторан по рекомендации, как в очень вкусное место! И были очень разочарованы! В первый день взяли шашлык из печенки и из свиных ребер. Печень оказалась очень жесткой, а ребрышки очень жирными . Маленькая прослойка мяса была тоже жесткой. Но,мы решили , что нам не повезло. Пришли опять в это заведение отметить день рождения. На этот раз заказали более разнообразную еду. Но, основной акцент опять сделали на шашлык. В этот раз заказали самое популярное и беспроигрышное, свиную шею. Но, оказывается, и это блюдо можно испортить! Пересоленое! Перемаринованное до такой степени, что отбит вкус мяса! Итог: самое вкусное в этом ресторане, это тарелка солений, аджика и лаваш. ????? Мы были очень разочарованы…</t>
  </si>
  <si>
    <t>Шашлык резиновый , овощи на мангале сырые без специй совсем ,картошка ?? не доварена . Привет желудку был в тот вечер</t>
  </si>
  <si>
    <t>Еда не понравилась. Микрофоны тихие,только беквокал какой- то. От алкоголя похмелье .детская комната интересна детям только телеком. Мало места . Один официант толкал, заигрывая, задницей другого, к чему бы это...</t>
  </si>
  <si>
    <t>Поменяйте повара, еда как в столовке! На днях с подругой посетили это заведение (рестораном не могу назвать) и остались крайне разочарованы. Какая бы не была концепция и задумка, но в ресторане самым главным остается кухня, качество блюд и вкусовые впечатления. Так вот, моя подруга ела салат с ростбифом, который просто плавал в масле, был пресным и максимально не вкусным, на горячее утиная грудка оказалась сырой, полита дешевым брусничным джемом из тюбика с нереальным количеством сахара. Я так же пробовала данные блюда. Цезарь с курицей был просто посредственным и не вызвал никаких эмоций, впрочем, как и стейк стриплойн. Есть можно, но не ВАУ, стейк был с прожилками и хрящиками. Мне кажется в придорожном кафе было бы вкуснее. Мартини фиеро тоник на 3-ку. При чем ладно бы одно блюдо было неудачным, а тут после всего попробованного появились большие вопросы к профессионализму повара. Когда моя подруга сказала официанту """"что это самая ужасная утка в ее жизни"""" Официант не пытался извиниться или предложить хоть как-то исправить ситуацию, просто сказал, что она всегда так готовится и ушел. Оказывается утку едят СЫРОЙ и без грамма соли, мы и не знали (прилагаю фото той самой утки) Могу сказать одно, диджитал ресторан, как они себя позицианируют, это подуставшие экраны на столах и реклама в инстаграм (видимо все деньги уходят на нее, а не на компетентных поваров). После данного заведения, мы вынуждены были идти в другое место ужинать, так как моя подруга осталась очень голодной, а я не довольной. Настроение и впечатление только отрицательные. Единственный плюс, это расположение. НЕ РЕКОМЕНДУЮ ИДТИ В ДАННОЕ КАФЕ (СТОЛОВУЮ)!</t>
  </si>
  <si>
    <t>Купила вечером в субботу в данном заведении блинчик с сыром, ну очень хотелось кушать после долгого дня. Теремки я не особо уважаю, но в этот раз решила дать последний шанс. На следующий день я проснулась от жуткого желания сходить по-большому. Итог: целый день с утра до вечера понос. Больше ни за что??????</t>
  </si>
  <si>
    <t>Были сегодня с подружкой в этом «чудном заведении» Не могу сказать, что роллы были не вкусными, но прихлопнутый таракан на дощечки испортил все На вопрос, что это и как решить эту проблему, девушка ответила, что это всего лишь грязь, с ножками, усиками и крылышками, когда я попросила вернуть разнос деревянный, поступил отказ. Деньги не вернули, просто принесли свои извинения. Как дальше там есть? По хорошему нужно вызвать СанПиН. Ради вашей же безопасности, советую больше не употреблять данную пищу, персоналу глубоко все равно, добавлять туда креветки или тараканы! Спасибо за приятный вечер</t>
  </si>
  <si>
    <t>К сожалению персонал данного заведения просто не представляет как должно функционировать кафе. Мы ждали когда у нас примут(!) заказ двадцать минут. И это при полупустом зале. Не дождались, вышли (администратор у входа уже испарился). Пока мы ждали такси вышла девушка администратор и любезно поинтересовалась: ""Вам понравилось?"". ... Занавес.</t>
  </si>
  <si>
    <t>Заказали шашлык из куриных бедрышек, салат с хрустящими баклажанами, лимонад по-грузински. Лимонад хороший, чуть сладковат, но насыщенный богатый вкус. Салат очень вкусный, прекрасный соус и реально хрустящие баклажаны, довольно дорогой для небольшой порции, но вкус всё прощает. Чего не скажу про шашлык, пресное пересушеное мясо, 4 маленьких кусочка филе бедра за 580 руб, из ""гарнира"" - горстка лука и крохотный кусочек лаваша. Соус не подается и не предлагается официантом при заказе. Будьте готовы заплатить чаевые не по своей воле, они включены в чек в размере 10% (а платить, если честно, не за что). Будьте готовы платить наличкой или переводом, картой у вас оплату не примут. В общем, не удивлена пустым залом в прайм-тайм (2 часа дня в воскресенье).</t>
  </si>
  <si>
    <t>Доброго времени суток) очень удачная локация и атмосфера в принципе всё что можно сказать об этом месте хорошего,если Вы хотите по ужинать у воды приготовьте депозит за столик на 5000р с человека но поверьте оно того не стоит удовлетворение сытого человека Вы получите но навряд ли скажете что было вкусно... На мой взгляд обычная еда но это только мое мнение))) обслуживание отдельная тема, официант забыл что заказана хлебная корзинка пол беды ,так потом ещё ожидание 10 мин что бы принесли хлеб с словами : ""только-только испекли "" и ты не понимаешь это стёб или настолько уверены в своём рейтинге что одним посетителем больше одним меньше без разницы т.к хлеб верхний сло  горячий потом мокрый а в середине ещё холодный потому что он из холодильника... Шутки официанта тоже поняли не все что гречишный чай очень вкусный и отличное мочегонное) как бы не в ресторане такое говорить. На мой взгляд просто пафосное место с отличной локацией не более того. Но повторюсь это только моё мнение и может Вам понравится)</t>
  </si>
  <si>
    <t>Пришли с детьми на завтрак после долгой дороги в поезде. Порции очень маленькие: девочки 8-9 лет не наелись. Простые блюда: сырники, панкейки, блинчики готовят оооочень долго. Ресторан в 11 утра полупустой. Порцию сырников ждали 30 мин! Порция блинчиков не получилась :))) об этом нам сказали через 20 мин ожидания, пришлось заказывать другое блюдо и ждать еще 20 мин! При этом цены завышенные: 2 омлета, 1 порция сырников и панкейков с соком и чаем потянули на 3 тыс! Из плюсов - вторую порцию сырников, которую мы так долго ждали взамен неудавшихся блинчиков нам не включили в счет.</t>
  </si>
  <si>
    <t>Всё ни как руки не доходили оставить отзыв. Что могу сказать: всё очень печально. Гостей не встречают, если повезёт то Вас встретит не приветливый официант имеющий не опрятный внешний вид! Интерьер оставляет желать лучшего ( ремонт не поможет) столы вот - вот рухнут, всё грязное . Туалет по моему мнению вообще не убирают, салфеток нет, хотя при этом график уборок ведут исправно. Детская комната- ужас!!! Запах... Что касается кухни и подачи 1 из 5 . Не профессиональный подход руководителей на лицо! У Нас в Москве данные заведения на высоте!!! Надеюсь что данное кафе это наглядная агитация того каким не должно быть детское-семейное кафе.</t>
  </si>
  <si>
    <t>Пару  раз были в этом кафе. Хороший персонал, приличный зал. НО! Всегда на пицце есть обугленные края. Ребята на кухне, исправляйтесь! Лимонад просто безвкусный!  Очень экономно((( Вряд ли мы придём ещё.</t>
  </si>
  <si>
    <t>Убожество из палок и тряпок! Это надо так не уважать людей, чтобы в таком сарае изображать ""ресторан""! ??даже, мысли не возникает туда зайти и что-то съесть! Зимой там крысы и коты шастают, а летом-"" Рэсторан""! ??</t>
  </si>
  <si>
    <t>Еда вкусная, в помещении приятная атмосфера , цены приемлемые. Но, персонал оставляет желать лучшего. Девочки с недовольным лицом, не приветливые. Когда просись повторить еще раз, повторяют с максимальным не довольствием. Попросила блюдо с собой, положили в контейнер котлету, а потом «накидали» пюре. Пока упаковывали в пакет все перевернули. Хоть еда там и вкусная, заходить лишний раз не хочется.</t>
  </si>
  <si>
    <t>Зашли пообедать. Понравились салаты и хинкали. Очень вкусный чай с облепихой! Быстрое обслуживание</t>
  </si>
  <si>
    <t>Посещали с подругой это заведение. Обслуживание на уровне, быстро и качественно. Единственное, что огорчило, так это грязный пол в туалете и отсутствие бумажных полотенец.</t>
  </si>
  <si>
    <t>Ужасное место! Пицца была холодной и безвкусной, а официанта пришлось ждать минут 20. Цены космос.</t>
  </si>
  <si>
    <t>Отмечали день рождения. Все очень понравилось. Вкусная еда, приятная музыка, вежливый персонал. Спасибо!</t>
  </si>
  <si>
    <t>Заказал доставку. Привезли через полтора часа. Роллы разваливались, а суп пролился. Больше заказывать не буду.</t>
  </si>
  <si>
    <t>Хорошее кафе для семейного ужина. Дети были в восторге от десертов. Цены вполне демократичные.</t>
  </si>
  <si>
    <t>Слишком шумно. Невозможно спокойно поговорить. Еда обычная, ничего особенного.</t>
  </si>
  <si>
    <t>Прекрасный вид из окна и отличный кофе. Обязательно приду еще раз!</t>
  </si>
  <si>
    <t>Не понимаю как сложился рейтинг почти 5, видимо все постарались за скидку 10% при отзыве. Обслуживание плохое. Официантов приходилось зазывать и просить меню, и чтобы сделать заказ. Официант, который принимал заказ, был очень недоволен тем, что я его оторвала и попросила записать нас заказ. Сделал это как будто он нам одолжение делает. Из еды понравился салат греческий, адекватные цены на алкоголь. Шашлык ужасный! Было заказано три порции : куриное филе, шея и филе ягненка. Принесли все на общей тарелке, мясо не соответствует заказанному, в мясе кости!!! Это не филе и никак не шея! Курица с жилами! Соусы нужно заказывать отдельно, но в меню их нет почему то. Туалеты 1 мужской и 1 женский на такое большое кафе это очень мало. Очень пожалели, что поверили отзывам и потратили в пустую больше 4000 тысяч</t>
  </si>
  <si>
    <t>Не пустили без объяснения причин, лучше не спорить и пойти в другое место…Приехал из крупного города с друзьями посещал многие заведения всегда зеленый свет. Приехал в Пермь и мне впервые отказали…</t>
  </si>
  <si>
    <t>Приходили компанией девушек, все приличные, не пьяные, чуть больше 20, прилично одеты, симпатичные, и о чудо! Не все девушки могут войти в клуб! Без объяснения причины. Неприятные люди на охране, если хотите испортить продолжение дня рождения, то вам сюда. Я бы еще поняла, если бы был приличный клуб на уровне, как в Москве, но обычный клуб с борзым ЧСВ персоналом на входе. Очень неприятная ситуация.</t>
  </si>
  <si>
    <t xml:space="preserve">Музыка понравилась,  есть танцпол, еда нормальная.  Коктели с кучей льда, так что можно сказать одна вода. Блюда приносили достаточно быстро. Микрофоны подносили к столам в порядке очереди. Но в какой-то момент наш стол начали пропускать. Скорее всего подумали, что компания уже пьяненькая и ничего нам не надо)) но как только попросили подойти администратора, то мы резко стали следующими петь!!  Спеть одну песню вне очереди в этом заведении стоит 5000р. Персонал вежливый))   </t>
  </si>
  <si>
    <t>Первый раз посетили вчера 07.04.2023 г. центр, решиди семьей с друзьями отпразновать день рождение сына и заказали 2 дорожки. Очень разочарована работрой и вежливостью персонала, в часности администратор за стойкой регистрациидорожек Ксюшей. Хамское, безразличное отношение к гостям, грубая и невоспитанная девица. Хамит без страха потерять работу, даже на просьбу второго админисьратора успокоится, девушка вела себя по хамски. Вечер был испорчен! Мало того что после того как нам выдали обувь и мы переобулись, нам ник о не указал на какие дорожки идти и не сопроводили. Мы самостоятельно выбоали дорожки и еще минут 15 ждали администратора. Затем я сама пошла попросить включитт игру, но на что услышала что ""я занята, подождите"", с недовольным лицом и тоном. Мы подождали еще немного после чего меня позвали к стойке администратоа где та сама "" Ксения""весьма грубо высказала мне что мы заняли не те дорожки. Я ответила что нам изначально никто не сказал какие дорожки занимать и никто не сопроводил, отнеслись безразлично. На что со стороны администратора началось хамство!!! Я считаю что такой челове не должен работать с людьми. Больше не ногой в это заведение, настроение и праздник был испорчен!!!</t>
  </si>
  <si>
    <t>Почему не пишете в меню что долма острая и с томатом внутри? Это не вкусно (((( на сайте Яндекс еда не написан состав!!!! Острое не ем! Заказала 2 порции долмы!! Остались без ужина!!! Очень не приятно</t>
  </si>
  <si>
    <t>Зашла после ночной смены часов в 9:30 утра взять выпечку, чтоб позавтракать. Упаковали не свежий хачапури и синабон. До этого таких проблем не было, синабон жесткий, хачапури-вы знаете наверное различия слоеного теста, когда его только приготовили и когда оно постояло сутки… оно не хрустит и не крошится. Не предупредили, сняли 330р. Я просто была дико уставшая, чтоб пойти и  вернуть. Ну зачем вы так?? Введите скидку на час до закрытия на скоропортящиеся продукты, его бы раскупили, а статистика хороших отзывов бы не портилась…</t>
  </si>
  <si>
    <t>Друг поскользнулся и упал. Пришел охранник и выгнал нас. ?? охранник нагрубил к тому-же</t>
  </si>
  <si>
    <t>Ужасное место, зашли попить кофе и скушать десертик, на входе в заведение ударил в нос запах канализации или тухлятины, отношение персонала ужасное, заказали латте и чизкейк, все ужасного качества, чизкейк страшный, похож на просроченный, сверху весь засыпан какао, чтобы некрасивый вид скрыть, кофе принесли минут через 20 после десерта, кофе не вкусный, на вкус из пакетиков 3 в 1. Сделала замечание  и в ответ услышала шквал негодование. Еще за это все  мы заплатили 1300р.  Если бы это было вкусно, то нормальная цена для кофе с десертом,но это было просто ужасно, с первой минуты посещения. Не советую никому. Кстати кофе нам готовила уборщица, сначала унитазы моют, потом людям еду готовят. Просто безобразие. Самое худшее заведение города Домодедово!!!</t>
  </si>
  <si>
    <t>Удобно расположено при поездке по Егорьевскому шоссе в самом центре торгового комплекса в д. Трошково. Внутри просторно, светло и достаточно уютно. Персонал вежливый. Заказали на днях пару питц - время ожидания почти час, так что заказывать лучше на сайте и заранее, если нет времени ждать... Птицы вкусные, но с наполнением мухлюют: в пицце с морепродуктами вместе с горбушей вместо угря и креветок кусочки говядины и ещё чего то... В Строганов пицце кроме грибов и сыра  - куриных грудок и других ингредиентов не обнаружено... Так что задумка удачная и полезная, но бизнес заставляет экономить на всем...  то есть на всех... Вам бы поучиться у московской Виват-Питца: и по обслуживанию и по качеству ассортимента и по скорости работы - цены бы вам не было. А так на три с плюсом и то с натяжкой...</t>
  </si>
  <si>
    <t>Все было не очень, кроме гранатового вина! Посещая ранее рестораны вашей сети в Москве , всегда оставались приятные впечатления. Поэтому будучи в Питере решила отвести коллегу в сие заведение. Сказать, что мы были разочарованы, ничего не сказать. Стол размером с поднос, на котором мало того что помещается только 3 тарелки, так эти тарелки ещё и не убирают, а поверх ставят следующие блюда! Туалет на пьедестале стоит отдельного вашего внимания! Простите, но дырявая хинкалина в нашей практике грузинских ресторанов встретилась нам впервые, ведь это совершенно аморально! Ведь весь бульончик просто вытек, такая хинкалина теряет весь антураж этого блюда! Надо отдать должное, единственное что нас удовлетворило, это гранатовое вино, оно было таким же вкусным как в Москве. Так же разочаровал запах подгорелого хлебушка и следующий за ним вид горелого хачапури. Спасибо за внимание</t>
  </si>
  <si>
    <t>Еда вкусная, но ждать О-о-чень долго… авто работают только по определенным дням…</t>
  </si>
  <si>
    <t>Качество стало отвратительное. Обслуживание такое же. Особенно ""радует"" приветливая улыбка китайца, такое чувство, что не за свои деньги поесть пришли, а он оплачивает все блюда, поэтому тихо ненавидит посетителей</t>
  </si>
  <si>
    <t>В общем, я большой любитель вьетнамской кухни, в Москве часто хожу в очень хорошие кафешки, где готовят вьетнамцы. Тут же тоже вьетнамцы но готовят ужас а цены выше московских цен даже в пг цена за фобо 450? а тут за литр 500 с чем-то а на вкус ужасно, варили точно не сутки а как будто суп из пакетика ужасное место а бутылочка вьетнамского напитка 0.5 стоит 130? это меня поразило. Цены очень высокие качество очень плохое. Крайне не рекомендую к походу, лучше сходите в кфс. Кстати после похода не было насыщенности едой что также говорит о плохом бульоне и мясе. В Москве за такую цену можно было взять 2 порции а за поход вдовьем мы отдали 1200 это просто ужас за такое качество</t>
  </si>
  <si>
    <t>Здравствуйте! Впервые в вашем заведении в городе Ялта. Атмосфера и музыка располагают. Вопрос по поводу персонала. Наш официант Семен, во-первых, невнимателен. Вместо двух тартаров, нам принесли один. Во-вторых, он не предупредил, что в блюде не будет хватать фигурирующего ингредиента - булочки в сырном супе, из-за этого весь шарм блюда был потерян. Мой напиток вынесли под конец трапезы ( морковный фреш, он, кстати, не очень, не стала пить, так как ожидала напиток до основных блюд. Также, официант элементарно забыл трубочку, опять же, возвращаясь к невнимательности. В-третьих, заметно, что официанты в каком-то опьянении, либо в алкогольном, либо в наркотическом. Склоняюсь ко второму варианту. Они не совсем адекватно себя ведут. Тартар из говядины невкусный, слишком много горчицы и лука, молодой человек тоже не оценил. Я привыкла к подаче, где в тартар гостю по желанию добавляют ингредиенты, но это ваша авторская фишка, ничего не имею против, лишь бы вкусно было. К сожалению, нет, не впечатлило. Попробую сходить к вам в заведение в Севастополе. По большей части, вопросы к персоналу. Когда попросила книгу отзывов и предложений- она была полностью заполнена, последний раз запись была 26.08.2022 . Спросила у администратора где новая книга, как писать - ответил, что она никому не нужна, это уже не модно. Ссылался на то, что управляющему все равно на книгу отзывов. После этого передумала посещать заведение ещё раз, даже в другом городе.</t>
  </si>
  <si>
    <t>Шёл туда в надежде вновь ощутить вкус Бык бургера, который в последний раз я пробовал ещеидо пандемии в лавкелавке. Сказать что я разочарован - ничего не сказать. Это совершенно другое блюдо. Булочка не ржаная, а пшеничная, да ещё и нижняя часть была холодной, котлета совершенно другая и по вкусу и по форме. А цена выросла. В итоге за 2 бургера (Бык и лосось), тарелку макарон с сыром и чайник чая (тоже не особо насыщенный вкус) отдали 2300?. Я не рекомендую это место тем, кто помнит бургеры лавкилавки</t>
  </si>
  <si>
    <t>Заказал шот (40 мл) Martel VSOP... Принесли какую то шнягу на спирту!!! Попросил официанта разобраться, пришли завбаром и завзалом, в ответ на мои сомнения, вместо того, чтобы как то разобраться, предложили принести бутылку! Не знаю, то ди чтобы я из нее отпил, или может чтобы ее понюхал... Не понимаю, какое отношение какая то там бутылка, имеет к тому пойлу, которое налили мне в бокал!!! Простите, приносить трезвому клиенту спиртовую настойку вместо коньяка, это слишком!!! Я представляю что наливают пьяным!!! Надеюсь, что спирт хотя бы нормальный!!! Спасибо, за ""теплый"" вечер! P.S. Судя по реакции выше указанных завов, они привыкли, когда на них наезжают и скандалят... Потому что на мое ""все понятно, вопрос снят"" последовала одинаковая у обоих реакция - кривая ухмылка!</t>
  </si>
  <si>
    <t>Заказывал столик на 4х у вас. Посадили на второй этаж под кондиционер. Стол был мокрый,ну да ладно , сам протерли. Спустя некоторое время с него начала капать вода , а после и вообще полилась. Работника ресторана попросили выключить его -выключили, на просьбу пересадить в другое место - отказали хотя половина столов была свободна в зале. Через 15 минут кто то включил его на полную и вот тогда полился водопад, вещи промокли , коктейли испортились. Минуты 2 точно с него текло пока его не выключили , но место по итогу нашлось . Смешная конечно ситуация, но было не до смеха , вечер был испорчен</t>
  </si>
  <si>
    <t>Отмечали окончание проекта компанией около 15 человек. Само место приятное, еда вкусная, стол на большую компанию забронировали и потом перебронировали на другое время без проблем. Но обслуживание! На весь наш огромный стол поставили одного-единственного мальчика, он только заказы собирал около получаса. После этого передал их на кухню, хотя мог бы сбегать несколько раз, и те, кто заказывали первыми, получили бы свои блюда быстрее. Дальше больше. Мой напиток и напиток моей подруги забыли. О своем я напомнила спустя 40 минут (при том, что это была газировка в банке, которую нужно было просто взять из холодильника), официант ушел за ним, потом вернулся и сообщил, что газировки этой у них нет ни в каких видах. Напиток подруги не принесли, потому что в 11 у них закрылся бар. Зато одно из заказанных блюд принесли зачем-то в двух порциях, хотя заказывали одну. Другая подруга заказала шот коктейля B52, и тот же официант минуты три не мог его поджечь для подачи: обжигался об зажигалку, которую совал в рюмку, а на мое предложение сделать это предварительно подожженной зубочисткой ответил в почти хамском тоне: ""ну и что вы мне предлагаете м ней делать?"" Взяла зажигалку и зубочистку, подожгла коктейль сама. В общем, все было оооочень медленно и непрофессионально. И это был не пятничный аншлаг: вечер среды, заполнена была в лучшем случае треть верхнего зала. Можете сходить, если ваша цель не поесть и попить, а просто посидеть и просмотреть друг на друга.</t>
  </si>
  <si>
    <t>Очень долго приносят заказ,очень долго… Всё мои попутчики уже поели и только я сидела ждала. Плюс сразу видно что у гостиницы на первом месте обслуживание людей которые живут в гостинице и у которых оплачен завтрак.это крайне не вежливо ,сервис из-за этого в минус… Принесли мне наконец-то омлет и после него я мучалась изжогой полдня..очень много масла и опять минус..а вчера заказала шашлык из молодой телятины,так он был настолько дубовый ,что еле прожевала…</t>
  </si>
  <si>
    <t>Были проездом в Дубках, остановились в гостинице около этого кафе. Из всех мест где мы ели в Дагестане это одно из худших. Лагман не вкусный с минимальным количеством мяса, борщ на 3 из 10, чуду самое худшее которое я пробовал в Дагестане, курзе не съедобное , хотя соусов к ним подают много. Обслуживание максимально не спешное, пока сами не подойдете к вам не подойдут. Единственное что там можно попробовать это чай)</t>
  </si>
  <si>
    <t>Ценник как в хорошем ресторане, кухня не плохая, размер порций -детский. Сервис он как-бы есть, но его как-бы нет: вежливый и приветливый персонал, уютная атмосфера, приятный дизайн и очень долгое ожидание  заказов (чай, коктейли приходится ждать по пол часа и это повторялось не один раз в течении последних 3 посещений). Счёт ждали полтора часа (вс? это время соседний столик ждал своих заказов, заказы им стали выносить когда мы уже уходилм), администратор ссылалась на ""систему"" которая не могла посчитать чек и сумму к оплате.</t>
  </si>
  <si>
    <t>Ну честно говоря совсем ни о чем. За приличные деньги мимоза с лососем была вообще не соленой, пресной и пустой, замеченное мясо утопало в Мазине и со специями тоже не дружило. Если бы не десерт -Павлова , то поставила бы единицу. Он реально был вкусным, остальное ??</t>
  </si>
  <si>
    <t>Я пишу свой отзыв на кафе Аристократ в городском парке. Пришли пообедать , время было ограничено, официант принял заказ без меню , приборы принесли по мере подачи блюд , хлеб и соус даже не предложили , подача шашлыка в пирожковых тарелках на кусочке лаваша, рыба форель была заверенная , вчерашняя, подогретая на гриле и тоже на пирожковой тарелке с кусочком лимона (отвратительная), а цены ресторанные!!!! . Аджарская лодочка понравилась 5* , ставлю кафе 2*, вряд ли приду ещё сюда .</t>
  </si>
  <si>
    <t>Очень вкусно, радует вегетарианское меню! Спасибо за вкусную кухню. Хочется больше такого корейского стритфуда в городе! Из минусов, в моремолле во всех уважающих себя заведениях работают и обслуживают гостей до 22 часов включительно, здесь к сожалению принимают до 21.45. Если прийти и попросить заказать в 21.46 например, заказ ни за что не примут, даже если это позиции из вегетарианского меню, которые не подразумевают сложного и долгого приготовления. Не один раз сталкивался с тем, что ехал конкретно в это заведение через пол города, чтобы успеть на ужин купить любимые блюда, но приезжал то в без 15ти до закрытия, то без 13ти минут, то без 10 : увы заказ не принимают, а рядом во всех аналогичных точек без проблем принимают.. К сожалению это отношение к гостю, очень сильно расстраивает и портит впечатление об этом заведении</t>
  </si>
  <si>
    <t>Ужасное кафе. Реб?нку заказала пюре с котлетой из детского меню. Котлета тухлая. Такое подавать людям нельзя!!! Очень долгое обслуживание . Не советую туда ходить</t>
  </si>
  <si>
    <t>Мясо баранины не дожаренный ! Заказали привезли не все , соус как его давать детям ?что это язык дракона ?!!! Сын обжёгся им! Единственный плюс культурное общение и выслушивание , ну повар не забывайте вы готовите людям прежде детям ,</t>
  </si>
  <si>
    <t>Атмосфера приятная , но  кухня  ужасная, заказали  куринные  люля они  из  пропавшего  мяса,есть  это было  не возможно,сказав официанту об  этом , реакции  не  было,скандал  поднимать  не  захотели,но  больше  туда  ни ногой.</t>
  </si>
  <si>
    <t>Часто захожу именно в эти ""подсолнухи"". Не знаю, что там происходит, но последнее время качество еды всё хуже и хуже. Сегодня взяла уху по-фински, удон и напиток из шиповника. В ухе две малюсеньких картофелины, два кусочка рыбы, морковь и лук. Ребят, но ведь не настолько всё должно быть жидким!!! Удон и напиток холодные. Брала раньше солянку, но очень много лука!!! Я не большой любитель лука, отказалась от солянки. В сравнении с солянками в других ""подсолнухах"" этот точно рекордсмен по луку. Персонал, конечно, вежливый, но я прихожу покушать, а качество блюд не очень...</t>
  </si>
  <si>
    <t>Интересная идея гриль на столе, но вытяжка слабовато работает. Всё вкусно,  съедобно, спасибо. Но туалет оставляет желать лучшего, такое ощущение, что там давно никто не убирал! Сломана крышка на унитазе,  мусор вывалися из ведра..</t>
  </si>
  <si>
    <t>Ходили - кушали, и тут ребята поменяли меню. Подача привычных блюд изменилась в худшую сторону, ну это на вкус и цвет, так сказать. Принесли разогретую, век воли не видать ;), хачапури на гриле. Уже такое себе. На мою претензию - мол на зубах хрустит мороженый сулугуни - заверили, переделаем блюдо. И тут я получаю то же, ранее поданное мне блюдо, дважды разогретое со следами моего укуса. Занавес. П.С. В чек не включили.</t>
  </si>
  <si>
    <t>Обслуживание оставляет желать лучшего и еда.Заказанный заранее столик ,не был готов ,они тупо забыли ,пришлось долго ждать</t>
  </si>
  <si>
    <t>Это единственное кафе на берегу Белого Озера и это подстава, потому что есть можно только то, что приготовленно на мангале! Остальное настолько не вкусно, что думаешь, да как так можно умудриться! На завтраки только яичница и блины, глазунья была пережарена, в одном яйце был целый пуд соли, все приготовленно на очень плохом масле. Разнообразия никакого в меню. На мангале вкусная рыба(сибас и лосось), шашлык вроде ничего, а вот запечённая картошка была как будто вчерашняя и подогретая! Если отзыв читают владельцы, задумайтесь о качестве и разнообразии</t>
  </si>
  <si>
    <t>Мы всегда посещаем данное заведение! всё было хорошо ,но последний раз ,мы заказали крылья,но поесть их не смогли ,потому что они были с куриными волосами ??????????????.позвали официанта ,сказали что это очень не приятно ,на что официант подошла к администратору и они вместе посмеялись ,ни извинений ,ничего не было .просто ужасное отношение к постоянным посетителям .вы всё таки детей кормите ,можно как то и по внимательнее относиться .??????????????.очень жаль что вы не цените постоянных посетителей .</t>
  </si>
  <si>
    <t>Сначала очень обрадовалась что открылась хорошая пекарня рядом с домом. Когда зашла - разочаровалась. Выпечка была вся сгоревшая до черноты. Вообще не понятно как можно было так ставить на прилавок. Понравился трюфельный  кекс, но внутри нашли кусок бумаги. Я такого вообще давно уже не встречала в кондитерских. Брала ещё кусочек торта - был не свежий и не вкусный. Жаль, больше сюда не приду.</t>
  </si>
  <si>
    <t>Ходил в это место с компанией и получили очень негативное отношение от сотрудников 1 Заранее забронировали комнату (вип) по приходу в заведение оказалось что брони нету 2 С самого начала чувствовалось негативное отношение от сотрудников 3 Цена блюд в этом заведении по сравнению с другими слишком завышенная И качество ремонта 4/10 4 ""вип комната"" это всего лишь название небольшой  комнаты огороженной кортоном и прилегающей ко входу и бару 5 Вот Спрашивается, если к вам приходят люди с желанием вкусно покушать и расслабиться времяпровождением с друг другом, а в ответ получают замечания что мы громко говорим или даже кричим (В Вип комнате) То зачем она вообще у вас стоит???? Заходит сотрудница и говорит нам ""Хватит Орать"" вот с этого мы уже просто офигели Давно такого не встречали Вообще ресторан еду вроде и нормально готовит а вот отношение сотрудников и интерьер максимально хварает Ну и конечно после того как вышли из этого места остался очень негативный осадок с такого отношения Они даже не удасужились на последок сказать хотя бы досвидание, а просто проводили косыми взглядами На вопрос ""Где управляющий"" у нас его нету ! И ещё одни момент, Мы впервые увидели Видеокамеру в вип комнате (кого-то это может смутить) Как-то так</t>
  </si>
  <si>
    <t>Я посещала кафе. Нам здесь ужасно нагрубили на ровном месте. Сделали агрессивное замечание 10-месячному ребенку , очень невежливо, стали потом объяснять что какой-то другой ребенок уже отрывал гирлянду(а мы здесь причем?). Не сделали половину заказа, ну вот так, не услышали. Бармен переключилась на поедание пиццы в процессе приготовления наших напитков. На мое недовольство просто на повышенных тонах «а почему вы агрессивно настроены?» Нетрудно понять почему. Отказались дать книгу жалоб, крутились как ужи, чтоб не давать, видимо ее нет. Реквизитов ИП нет, разрешений на работу не висит. Не пустили в туалет  без бахил. (Мы в кафе!) Во время поисков книги жалоб пришел бухгалтер, начали на повышенных тонах общаться оба. В свидетели призвали бабушек, бабушки за соседнем столом в куртках и шапках сказали, что обслуживание здесь прекрасное! Ужасно испортили себе настроение посещением, конфликт сгладить владельцы даже не попытались, уперли руки в боки и решили всех «победить». Книгу жалоб так и не дали, терпеть их крики было уже невозможно, из-за них расплакался второй ребенок, и мы ушли. Хорошо, что есть Яндекс. Общее впечатление, что работают полулегально, непрофессионалы, люди, не имевшие никогда отношения к ресторанному бизнесу и просто грубияны. Может у них там оформлен спортзал, а кафе нет или что-то в этом роде, дела странные.</t>
  </si>
  <si>
    <t>хожу сюда давно … от превосходного сервиса и милых девушек раньше не осталось почти ни-че-го … кашу в последний раз несли 40 минут , кофе минимум 20, для кофейни , когда столы заняты не более чем на 50% как-то странно , никаких извинений , никаких объяснений , драники тоже предложили ожидать 45 минут , ребят , вы чего ? даже в ресторане каре быстрее приготовят , чем драники у вас )) место приятное , локация очень хорошее , но что-то пора менять …)</t>
  </si>
  <si>
    <t>Вчера пришел в часто посещаемое мной кафе у дома avcd, сделал заказ омлета со страчателлой сэндвич и латте, загрузка заведения была максимум процентов на 50%, я сел за столик напротив стойки. Прошло 10 минут  не принесли даже кофе, хотя обычно его приносят быстро, я подумал ну может какой то сбой у кофе-машины бывает, проходит 20 минут, никого не смутило, что я просто сижу за пустым столом, в итоге я просидел 40 минут это был мой максимум отведенный на завтрак и решил подойти к стойке уточнить где же все таки мой заказ, на что молодой человек за стойкой сказал, мы искали кто заказал с собой и вот пакет стоит уже 30 минут, открыв пакет это оказался мой заказ, но я четко проговорил, что мне здесь, а не собой. Итог: я остался без завтрака и без настроения на день, запросил возврат средств.. И так как работа моя связана с сервисом не хотелось бы, чтобы такая ситуация списывалась на человеческий фактор, если человек сидит 40 минут за пустым столом, достаточно подойти и уточнить если вдруг, что то вылетело из головы….</t>
  </si>
  <si>
    <t>Ну очень странное место Замечательная атмосфера, вкусно, красиво... И такая жесть с сервисом! В первый визит забыли положить в блюдо часть рецетуры. Во второй принесли кофе, не принесли сахар; потом принесли сахар, но не принесли ложку. В третий готовили блюдо 45 минут, хотя обещали 20-25. Ну, ушёл голодный. Пожалуй, три из трёх - это уже прям провал. А так народ дружелюбный. Извиняются каждый раз ...</t>
  </si>
  <si>
    <t>Хуже роллов в жизни не ела! Особенно отличился ролл с ""крабовой"" начинкой, в котором вместо хотя бы более менее адекватных крабовых палочек, находилось непонятное месиво палочек из красной цены в перемешку с какой-то мукой. Надеюсь не отравлюсь.</t>
  </si>
  <si>
    <t>Отличное место для семейного отдыха !!! Хорошая кухня и приемлемые цены. Грузинский колорит конечно есть , но только на уровне предлагаемых блюд, не более. Крики детей  совсем не комильфо , я в ресторан пришёл!!! Ошибся видать.</t>
  </si>
  <si>
    <t>В большинстве раз, когда посещали ресторан, еда была вкусный и был хороший сервис. В последний раз сильно не повезло. Позвонили заранее - по телефону нам сообщили, что забронировать стол на веранде нельзя, действует живая очередь. Когда мы приехали, нас предупредили, что ожидание составит до 20 минут. Пока мы ждали, за столики провожали людей, которые подошли позже нас, т.к. ""они бронировали"". На наш вопрос, почему нам сказали, что брони на веранде нет - пожали плечами. В итоге нам пришлось ожидать 50 минут, пока нас пригласят за стол. Обслуживание было очень медленным. Заказ приняли только через 15 минут. Блюда тоже готовились от 25 минут, хотя там были и салаты, которые обычно подают быстрей. Когда мы попросили меню, чтобы выбрать десерты, его тоже несли 10 минут ))) Посещение оставило неприятные впечатления. Больше идти в данное заведение не хочется, хотя раньше нам здесь очень нравилось.</t>
  </si>
  <si>
    <t>Осень 2021 года: Очень уютный ресторан, обстановка и интерьер замечательные, облуживание официантов и хостес на уровне. Блюда подаются вовремя, но учитывая посадку менее 30%. Кухня вкусная, подача приемлемая. Винная карта дороговата, но выбранное вино из необычного сорта винограда очень вкусное. Однозначно вернемся вновь ?? Таковы были мои изначальные впечатления.... Посетив этот ресторан вновь, летом 2023 года, была неприятно удивлена. Меню старого образца вырвали из рук в процессе выбора, заменив новым меню с более дорогими ценами. Те, кто пришли до 16-00 соответственно успели покушать подешевле. Блюда меньше по подаче, кебаби было подано на ОДНОМ СЛОЕ лаваша, и он конечно же сразу раскис от масла и сока мяса. Хинкали не понравились никому из компании, сациви тоже не понравилось от слова совсем. В фирменном салате огромными кусками нарублены огурцы и помидоры, а перец прозрачными полукольцами, которые можно посчитать на пальцах одной руки. И за это удовольствие более 500 рублей. Всё, что цепляло в первое время после открытия, к сожалению, сохранить не удалось. Размещение в ""оранжерее"" Сад (хотя есть свободные столы в Большом), туалет в основном здании, что очень неудобно. В кабинке не оказалось даже туалетной бумаги.</t>
  </si>
  <si>
    <t>Само заведение неплохое, но очень долго ждать подачу заказа. Пришлось 40 минут ожидать кебаби, хотя его готовить минут 20. И подают его на тоненькой полоске лаваша. Вкусно, но немного суховат. Запеченый баклажан принесли холодным. Мы конечно ожидали, что блюдо будет горячим и решили, что его забыли нам принести и оно остыло пока где-то нас ждало. Но официант почему-то назвал это блюдо салатом и уверил, что оно должно быть холодным. Странно, но в меню оно было не в разделе ""Салаты"". Десерт крем-брюле был очень вкусным, но опять же - почему так долго его пришлось ждать? Ведь основа наверняка была готова заранее и в него осталось только положить ягоды перед подачей. Вероятнее всего повторно посещать это заведение я бы не стал</t>
  </si>
  <si>
    <t>Зашли покушать фобо, но фобо не было, нет у них рисовой лапши ??. Скушали том ян. Не очень.</t>
  </si>
  <si>
    <t>Это ппц. Зачем называть себя кафе, если вы не кафе. Ни меню подать, ни заказ принять. Заказал, оплати, сам бегай носи ложки - вилки и еду. Ну и ниggа-реп на фоне, алло, загуглите тексты или включите переводчик песен с ""Ск май дк"" и т.п Сервис  и атмосфера - ноль, а остальное уже неважно. 1звезда за то, что не заставили мыть посуду</t>
  </si>
  <si>
    <t>Заказала в 19.44, оплатила. Время 21.11 ждемс. Никого нет. Курьер еще оказывается должен чей-то заказ доставить, а потом только мой привезти. Как так долго можно осуществлять доставку?!!.  Люди скоро завтракать сядут, а я еще даже не ужинала. Отвратительно! Испортили весь вечер. Ребенок голодный у меня сидит. По факту привезли  в 21.25. Пакет в котором была еда, прозрачный, тепло явно в нем не сохранится. Все было холодное. Зато деньги они взяли с меня в полном объёме!</t>
  </si>
  <si>
    <t>Впечатление неоднозначное.. О хорошем: останавливались на 4 дняя в ""планета люкс"", завтрак в ""Мангале"" бесподобен : разнообразно, на любой вкус:прекрасный хлеб, салат, хумус, соус цахтон , пироги фрикадельки,кофе нормальный .... завтрак чемпиона ! О плохом: уехать из Осетии получилось в голодном состоянии, тк именно потому что были довольны завтраками, решила попробовать перед отъездом там кашу дзыкка,  время было ограничено, поэтому за полчаса позвонила попросила к 13.30 это блюдо приготовить с рачетом в 13 40 уехать ....появившись на месте в 13 25 , сразу обозначила все детали заказа,  официант сказал все будет, по прошествии 3 минут он ничего не сделал, чтобы заказ появился на столе, задала вопрос другой официантка, затем ко мне подошла третья уже с меню...прошло 10 минут, а дзыкка  так и не появилась...сходила за багажом- без изменений ! Каши нет ! Спасибо за гостеприимство и то ,что оставили перед долгим перелётом голоднлй</t>
  </si>
  <si>
    <t>Никому не советую заказывать доставку из этого ресторана . Привезли сырые овощи на гриле, причём по три тоненькие дольки, зато головку лука здоровенный просто порезали пополам и типа поджарили, естественно весь вес дал этот сырой лук. Приправу вообще не положили, хотя в чек заботли внесли. Стоимость свинины 1600 рублей за килограмм. Это очень дорого. За 700 делают вкуснее, но администратор нам пояснил, что ценообразование связано с особыми условиями поставки высококачественного мяса. Вкус этого высококачественного мяса никого не поразил. Цена поразила. Испортили настроение. Никогда больше ничего там заказывать не будем. Заплатили 3 300 не понятно за что. Овощи отправили обратно дожаривать и попросили вернуть деньги за них и за приправу, которую не положили. Всё вернули, кроме испорченного настроения. Отзыв не заказной, а реальный. Сейчас большой выбор заведений и этот Мангал точно никогда мы больше рассматривать не будем. Работайте над собой.</t>
  </si>
  <si>
    <t>Отвратительно, к сожалению не почитал отзывы перед посещением… Ожидание 20 минут, ради максимально безвкусной шавермы, заказали значит мы 2 классические шавермы : соуса практически нет, курица как будто вареная, лук был заявлен , но отсутствовал. Итог сам больше не пойду и другим не советую</t>
  </si>
  <si>
    <t>Еда так себе, долго готовят , стоят салаты в холодильнике только для избранных или как мне сказали только на банкет</t>
  </si>
  <si>
    <t>Пицца пепперони =соль (пересоленная очень) +много масла +сама колбаса которая не понравились (понятно, что на вкус и цвет, но есть с чем сравнивать , так как везде заказываю именно пепперони) Обслуживание -2 Заведение находится на пешей туристической улице ,как будто не рассчитано на постоянных клиентов , пришли , поели , ушли, отсюда все что написал выше , про обслуживание в первую очередь .</t>
  </si>
  <si>
    <t>Ресторан очень хороший, но сегодня 6.04.2023 года, у них вышел другой администратор и слишком уж некорректно общается с клиентом , я являюсь я постоянным клиентом в течении года, но сегодня все пошло не так как раньше на высшем уровне, я обязательно переправлю свою оценку на 5 звезд</t>
  </si>
  <si>
    <t>Начнем по порядку! И поясним некоторые моменты! 1 - приборы приносят до того, как принесли блюда! 2  -блюда приносят по готовности горячими, а не всё сразу! Включая остывший суп, и холодные хинкали! 3 - если вы принесли холодные хинкали, то взяв на себя ответственность их подогреть, не стоит извинятся за то что они (взорвались) ))) их надо просто заменить! 4 - Не стоит на веранде, оставлять пустые стеллажи!!!! Это не красиво! Итог! Господа учредители! Обратите внимание! Кухня на 4+, а работа управления не дотягивает на 3! Это место, могло бы быть, лучшем в городе! P.S Желаю процветания! И новых, кулинарных побед!</t>
  </si>
  <si>
    <t>Очень уютное место, красивое и антуражное!) Были небольшой компанией (5 девушек). Блюда: Мне с блюдами не повезло. Взяла гриль - салат. В салате один кусок резаного свиного шашлыка и соус состоит в основном из горчицы. А описание в меню крутое было. А также взяла окрошку с мацони. Мацони было смешно с горчицей и есть было просто невозможно. Рот безумно горел. Не понимаю почему нельзя предложить гостю добавлять горчицу по вкусу. Хинкали подруге принести холодные, когда уже все за столом закончили кушать. Обслуживание: Официант очень вежливый, но редкий. Лимонад принес, но не разлил по стаканам. Девушкам не всегда легко разливать напиток из большого тяжелого графина. А также заказали мы не мало, тарелки и подносы уносили не своевременно. Лимонадов в меню много,а по факту только парочка. Желаю процветания и развития ???? Пускай данные аспекты корректируются и каждый посетитель будет довольнее предыдущего!)</t>
  </si>
  <si>
    <t>Ставлю 2 звезды только лишь за вкус еды, интерьер очень старый как был 15 лет назад так и остался.  Хочу написать что обслуживание было ужасное.. официант ошибся 3 раза из 2, принёс счёт больше чем было нужно,  то ли специально то ли нет, не знаю, уверял , что это мы не туда смотрим, но в итоге принёс перерасчёт только после разговора с администратором, вообщем покушали вкусно, но осадок остался! И, кстати,  в туалет лучше сходить в другом заведении )))</t>
  </si>
  <si>
    <t>Пицца испортилась в край,сыр самого худшего качества,в СВЕТАФОРЕ качество лучше, продукты мусор, несвежий,до этого каждую неделю с семьёй ездили в Красную Площадь,на третьем этаже ели ?? и офегивали от вкуса, супер,класс, качество на высшем уровне и тут купили в жар пицце эти помои,всей семьёй офигели от качества отбросов, было же хорошо,что случилось?</t>
  </si>
  <si>
    <t>Спустя много лет зашли в это кафе пообедать. Не ела ничего более отвратительного за последнее время, салат с несвежей рыбой и ледяным (очевидно из холодильника) яйцом пашот, микроскопические порции супа, самый дешёвый синтетический сок.  При пустом зале меню не принесли пока мы сами не спросили.  Но зато в конце обязательно интересуются все ли нам понравилось... Больше не придём</t>
  </si>
  <si>
    <t>Уважаемые представители данного заведения, пожалуйста разграничьте кухню на доставку и выдачу в зале. Утром очень долгое ожидание своего заказа. Заранее предупредили, что ожидание составит 10 мин. Вместо этого я прождала грибной суп и два блина 30 (!) минут. И каждый раз такая проблема. Наделайте вы уже блинов этих на утро, знаете ведь что поток большой идет и сократите время ожидания.  После меня заказ отдали двум девушкам а мне нет, сказали ждите. В итоге и приборы положить забыли. Именно в этот теремок больше не пойду.</t>
  </si>
  <si>
    <t>Обедали с семьей в этом заведении. Брали супы на всех и пиццу. Супы,  абсолютно все три, с мясом не первой свежести. Пицца на очень странном тесте, жирная, невкусная. Не знаю как можно испортить чай, но им это удалось на высшем уровне) Если вы вдруг решитесь покушать здесь, то  оставайтесь вблизи туалетов) потому что веселье вам обеспечено</t>
  </si>
  <si>
    <t>Хорошее место, но не понравилось обслуживание, всё очень долго готовится и подаётся не правильно ????? Не знаю как ответить на вопрос представителя этого заведения, поэтому добавлю сюда. Мы были у вас в январе, я с супругой и троими детьми. Обслуживали нас то парень, то девушка.. Нужно было постоянно звать кого нибудь из них, сами ни кто не подходил, видимо очень много людей было в тот день. Блюда нам приносили с интервалами в пол часа, я уже собирался встать и уйти, моя семья меня чуть успокоила..</t>
  </si>
  <si>
    <t>Были 14 февраля. Интерьер очень красивый! Живая музыка была на высоте, первое впечатление было супер причтное и положительное. Но потом начали приносит еду. Сначала принесли хлеб с маслом. Обычно это считается комплиментом, но тут это включили в счет ?? это конечно жлобство высшего уровня, мы с мужем посмеялись)) Справедливости ради, хлеб был вкусный (самое вкусное из всех блюд). Салат с перепелкой был приемлемый, не сказать что  вкус как то поразил, было просто нормально. Далее принесли рыбу с луком из сезонного меню. Она была невкусная, имела странное послевкусие и неприятный запах. Попробовав один кусочек я это есть не стала. Подошел официант, спросил буду ли я доедать, я сказала нет и он просто забрал блюдо. Не спросил что не так, почему не нравится, просто унес и все. В итоге почти целое блюдо забрали, из счета не убрали, не предложили заменить. Отличный сервис конечно, особенно учитывая что блюдо стоит почти 2 тысячи. Обычно в ресторанах похожего уровня сервис намного лучше. Далее заказала десерт тоже из сезонного меню с яблоком. Было вкусно, вот он понравился, но в меню нигде не было указано что это украшается сусальным золотом. В итоге принесли, сверху лежало это «украшение» в виде крохотного кусочка. Положили не золотой стороной, а серебрянной, создалось ощущение что это попал кусочек фольги ?? но в целом претензий нет, просто это странно. В итоге из трех блюд, не считая хлеба с маслом в начале, понравилось только одно - это десерт. Когда тратишь на ужин 16 тысяч на двоих, ожидаешь чего-то большего. 3 звезды только за интерьер и музыкантов. Сходить стоит, но только 1 раз) У нас впечатление осталось скорее негативное, второй раз не пойдем.</t>
  </si>
  <si>
    <t>Заказывал тут противни из нержавейки и плаху для рубки мяса, ассортимент неплохой, есть доставка по определенным дням недели в Подмосковье, что удобно. Теперь главный жирный минус, продают брак и косячат при доставке. Противни немного погнули, не критично, но очень неприятно. Надо было распаковывать при получении, сразу не проверил. Плаха в итоге тоже с браком, на одном боку дерево подгнившее, не глубоко и на работе не скажется , но тоже крайне неприятно. В итоге магазин разочаровал. Хотя надо было внимательнее посмотреть при приёмке.</t>
  </si>
  <si>
    <t>Если Вы любитель пива, то здесь найдёте много его. Оно вкусное, по московскому прайсу. Однако, заказывая к пиву креветок, пицу или куриные крылышки, готовьтесь к разочарованию. Пицца совсем не вкусная. Тесто даже не похоже на тесто для пиццы. Как будто для пирожков его делали. Куриные крылышки оказались плохо прожаренные, Все заказанное не стали доедать. При расчёте, на вопросы  официанта ответили и пояснили что не так с блюдами. При выборе бара заранее смотрел цену на блюда. Предполагал, если цена выше среднего, то и качество будет выше среднего. Здесь это правило не сработает.</t>
  </si>
  <si>
    <t>Был несколько раз в этом заведении, каждый раз выходя оттуда была только одна мысль, зачем сюда ходить?! Ну на самом деле зачем? Если вы ценитель пива и желаете попить разностороннего и вкусного пива то это место вас огорчит, пива здесь немного 4 или 5 видов, единственное выделяющееся это так называемое ""Резаное"" (смешение светлого и темного сортов). Закуски просто космически необосновано дорогие и невкусные. Набор из 6 сосисок 2500 рублей вы серьезно?! И ладно бы это было что-то интересное и вкусное, но увы! Хотя нет, горчица, которую подают в этом заведении к разным блюдам выше достойна хороших слов! Пивная тарелка также за неоправданно высокую цену представляет собой просто набор пережаренных во фритюре закусок и порции гренок! На самом деле кальмары, рыбка и тд, в общем все что было в кляре или во фритюре было со вкусом только фритюра! Заказав блюда из основного меню тоже были разочарованы сначала видом и вкусом а затем и удивлены высокой ценой. И отдельных слов стоит спец меню по баночному пиву некой пивоварни, из 10-12(насколько я помню) сортов по очереди мы с официанткой выяснили, что нету 5 видов, и да, каждый раз она уходила и смотрела есть или нет данной позиции в наличии! Вишенкой на торт стал тот факт, что при не полной посадке в заведении все блюда и напитки нам приносили, скажем так, слегка с опозданием. Поставлю 3 звезды, но по-честному их тут 2 в лучшем случае!</t>
  </si>
  <si>
    <t>Посетили ресторан в воскресенье вечером,возможно это и было ошибкой ,официанты уставшие ,не приветливые ,при общении даже не смотрят в твою сторону.При принятии заказа,официант не сказала время подачи ,не очередность.Почти каждый раз заказываю в других точках свинину по балийски,всегда вкусно готовят.В этот раз тоже решила не рисковать и заказала это блюдо .Свинина старая ,сухая,лапша холодная.Я бы может и донесла эту обратную связь до официанта, но только она пропала после того ,как вынесла блюдо, после ,к нашему столу она не подходила, не обновить напитки,ни спросить про качество блюд. За счетом пришлось напрямую подойти к кассиру .Не в первый раз не устраивает кухня и обслуживание в данной точке,и каждый раз даем эту заведению шанс,но увы ,в Евразию на комендантском точно ни ногой .</t>
  </si>
  <si>
    <t>Всегда мне нравилось это заведение, но спустя 2 года с последнего посещения, всё изменилось в худшую сторону. Цены космос, еда говно, официанты просто на всё игнорируют, в том числе и администратор. Не хочу расписывать все неприятности, скажу одно, если вы попали на банкет или ДР, то вы будете сидеть и  ждать ваши блюда по часу. И игнор официантов меня выбесил. Ни извинений и ничего вы не дождётесь.</t>
  </si>
  <si>
    <t>Вообще к Шоколаднице хорошо отношусь, но конкретно эта просто ужаснейшая, чудовищная. Не понимаю почему. Ведь место такое, что с хорошим персоналом, они могли бы просто в масле кататься. Итак: 1. со столика долго не убирали мусор от предыдущих посетителей. И вообще всё очень было грязно. В рабочих зонах всё завалено, не прибрано, как в комнате у подростка. 2. К нам никто не подходил. Я обратилась к девушке, она мне отказала. Затем я остановила парня и спросила, может ли он принять наш заказ. Его ответ попал мне в самое сердечко. Он сказал: ""Э-э-э, ну ладно"". 3. Салат Цезарь был просто мерзкий, с вялыми листьями салата, некоторые из которых уже подгнивали. 4. Но дальше — больше. Мне принесли бокал вина... *барабанная дробь* ... в грязном бокале!! Бокал был весь в отпечатках пальцев и со следами губ! Я была просто в шоке. P.S. другой сотрудник спас ситуацию, стал мило общаться, извинялся вежливо и подарил пирожное. Но грязный бокал — это слишком, всё равно. Не могу забыть до сих пор.</t>
  </si>
  <si>
    <t>В воскресенье днем захотелось прогуляться и  перекусить что то вкусненькое, неподалеку было кафе Юнона, заказала себе латте, принесли очень быстро, персонал приветливый и вежливый, выбрала для перекуса тартар из лосося, что хочу заметить это то что повар не имеет представления об этом блюде ?? зачем то положили два кусочка батона пропитанного в масле)))) ну по фото думаю понятно о чем Я)))) лосось не описать на вкус, какая то кашеобразная масса…  В этом городе есть приличная кухня? Мы с мужем здесь по работе второй месяц, с Самары на длительный период, посоветуйте куда сходить))))</t>
  </si>
  <si>
    <t>Три бала с очень большой натяжкой. Думаю, что большинство посетителей приходило сюда, чтобы выпить вкусного пива и съесть вкусных закусок да колбасок. С едой здесь особо не поменялось ничего (тв?рдая четв?рка, цена качество соответствуют). А вот с пивом беда, два балла, хочется плакать. Три бокала ОТВРАТИТЕЛЬНО сваренного по лицензии пива оставили нам жуткое похмелье ???? Пиво словно демидрольное, как в старой доброй Кружке... Обращаюсь к администрации! Ребят, даже если нет импорта, поставьте на краны крафт, или хорошее (настоящее) региональное пиво, например Алтай, Краснодар, Тверь, да что угодно, только не это!</t>
  </si>
  <si>
    <t>Я бы не посоветовал никому обращаться в этот ресторан. Они не только недобросовестны, но и безграмотны – как можно забыть все соусы, начиная от перечного к дорогущему стейку за 2000, заканчивая блю чизом к картошке? В итоге блюдо было испорчено, а картошка была холодной. Но самое удивительное – менеджер, которому я позвонил, предложил заменить только одно блюдо, а что делать второму человеку? Должен голодать, пока ждём повторной доставки? Ужасный сервис, не рекомендую. Мой заказ 20205350 будет последним у меня и всех моих друзей.</t>
  </si>
  <si>
    <t>Были 8.03.23. Народу было не много, и вроде праздник заведение должно быть готово , а по итогу то одного то другого нет. Заказали пиво принесли бокалы и бутылки пива закрытые открывашку не дали, наша официантка обслуживала нас очень долго, заказали кофе ждали 40 минут вообщем сервис так себе. Еда вкусная.</t>
  </si>
  <si>
    <t>Ожидала большего...немного разочарована. Суп огромная порция( в меню 200гр) на деле супница в 2литра. Неудачный выбор, жесткое мясо с жилами в супе .... конечно поели , но осадочные остался официант ничего не рекомендовала,  а зря. Пришлось потом до заказывать и ждать. Средний чек 900руб.</t>
  </si>
  <si>
    <t>Ставлю одну звезду только за вкусный чай и свинину в кисло-сладком соусе, которая на фоне остальных блюд была «нормальной», хоть и пережаренной. Остальное полный мрак, рис абсолютно безвкусный, заказали тофу с говядиной, говядины кот наплакал, тофу отвратительнейшей консистенции, свинина в кляре вообще полный кошмар, от свинины одно название, кляр похоже просто мука и его раза в три больше, чем свинины. Хотели с друзьями приятно провести вечер, а вышли в полном разочаровании заведения. По обслуживанию тоже не все гладко, администратор сначала попросила нас подождать, а потом пошла заниматься своими делами, отвечала на звонки, убирала столы. Официанты ужасно медлительные, и походу работают из принципа «кто раньше встал того и тапки», в данном случае блюда, на соседние столы, пришедшие позже, те же позиции подавали раньше. Полное разочарование, что по кухне, что по обслуживанию. Ну и вишенка на торте, нас даже не спросили понравилось ли нам в заведении и по качество еды.</t>
  </si>
  <si>
    <t>На выходных с семьей посетили данное заведение. Первое впечатление было восторг. Очень хорошее обслуживание приветливая официантка, которая помогла с выбором. Приятная обстановка. Были на летней площадке. Достаточно быстро стали приносить заказ, все стилизовано, вся посуда в горошек. Разочарование настигло когда принесли их фирменное блюдо - вареники. Первое что бросилось в глаза это машинная лепка, я все таки надеялся за такие деньги получить ручную работу. Втрое вареники через 5 мин подостыли и стали однии единым целым, что говорит о качестве тесто, оно конечно очень нежное..... но не для вареников, или пожалели масло. Если вареники с картофелем и с картофелем и грибами даже с такими недостатками  были неплохими, даже можно сказать вкусными, ощущался вкус начинки, то капусная начинка это отстой, во первых безвкусная не понимаещь что ешь, во вторых бесформенная как какое то пюре. Но вишенка на торте, что больше меня поразило, это когда официантка на свой вопрос, "" Как вам вареники?"" получив ответ "" Не очень.....!"" она мило улыбнулась и удалилась не уточняя, что же не прнравилось клиенту, тем более фирменное блюдо. Я прихожу к выводу что такое в этом заведнии постоянное отношение клиентов к качеству приготавлеваемой пищи. Я в это кафе точно больше не прийду.</t>
  </si>
  <si>
    <t>Ехали проездом с северов в тесь. Были в первый раз, впечатлил только мишка. Остальное сплошной минус. Жратва(по другому никак не назовешь) отвратительная. Были в четвертом, двое взрослых и двое детей. Остались все голодные, заказали пюрешки, котлеты с подливой, салаты :цезарь и любительский и блинчики с мясом. В салатах один майонез, котлета воняла ужас как, подлива кислая, пюрешка это вообще что то с чем то. Цены космос, у нас на северах и то в кафешках на трассах дешевле, а жрать не возможно. Если такие цены сделайте качество. А лучше поменяйте повара.</t>
  </si>
  <si>
    <t>Кушал сегодня в этом заведении ,уютно столы хорошие,Заказал казан кебаб с бараниной и хачапури,ждал пол часа ,принесли блюда не свежее ,Картошка ужасно жирная ,мясо один кусок более менее норма ,а второй воняет старой овцой ужасно ,хачапури оценка 2 из 5 ,теста много ,чай одна вода с запахом 130 руб зато стоит ,ушел с большим недовольствием ,никому не рекомендую искренне ,при этом даже приятного аппетита девушка не пожелала .</t>
  </si>
  <si>
    <t>Заведение отличное, еда на твердую 4. Цена приятная. Но обслуживание это нечто. Дама за стойкой просто как будто «вертухай» с зоны. Общается через зубы, слово если скажешь. Взгляд ?? как будто обматерил. Кто там бывал сразу поймут про кого пишу. Заведению ????. Но по персоналу нужно пересмотреть подход.</t>
  </si>
  <si>
    <t>Когда пришли первое впечатление юыдо на 5 ,неплохой интерьер,большое меню,цены как и везде,но вот мы сделали заказ,и в первую очередь почему то принесли десерты,ну это ладно,после этого около полу часа мы продождали колбаски ,а оказывается  про нас забыли,после того как мы спросили когда принесут наш заказ,официант пошла и принесла тарелку которая стояла на выдаче 20 минут и мы на неё смотрели ,но думали может на вынос. Мы сказали официанту что эта тарелка стоит уже давно и все остыло, в ответ она просто улыбнувшись сказала хорошо??и ушла. Аппетита уже не было,мы заплатили и ушли. Хотя простого извините было бы достаточно.</t>
  </si>
  <si>
    <t>Ощущение, словно мы попали на 20 лет назад. Простая белая скатерть в дырках, пластмассовые цветы в стакане. Еда не понравилась. Форель пересушена, подаётся с горой лука не маринованного репчатого. Чай марокканский не вкусный и не марокканский вовсе. Вино по бокалам местное, отвратительное. Официантка приветливая. Сносный горский суп. Музыка тоже ретро. Но надо отдать должное - вид на море отличный и на входе аутентичный интерьер. Цены для Дагестана довольно высокие.</t>
  </si>
  <si>
    <t>Отвратительный сервис! 30 минут ждали завтрак, предупредили, что спешим на самолет,  в итоге нам сообщили, что его еще не начали готовить! Ушли голодные и злые! Просто ужас!</t>
  </si>
  <si>
    <t>У меня была карта - купон,которые выдают при ланчах . Карта порвалась ,я уточнила,действительна ли она,мне говорили,что да и ставили туда печати .когда набралось 4 печати,я попросила бесплатный ланч ,но мне отказали,сказав,что она недействительна.  Я спросила,зачем мне ставили на нее печати до этого, а не дали новую . Администратор рассмеялся в лицо,сказал,что не знает .К слову ,хожу на обед я туда почти каждый день и бывает такое ,что например в удоне один кусок курицы и все,не соблюдена технологическая карта блюда. Во фрунчозе с курицей только фрунчоза,зачем такое выносят? Если блюдо даже визуально отличается от заявленного в меню . Многие блюда откровенно пересолены,не острые,а именно соленые .При почти полном отсутвии гостей блюда приходится ждать по 40 минут. Чем заняты в это время официанты,многочисленные повара?Много вопросов именно к этому месту,в остальных местах сети такого нет.</t>
  </si>
  <si>
    <t>Заказала еду на дом.салат из телятины воняет.селедка мариновая под луком есть не возможно.все отвратительно.деньги не вернули.все выбросила</t>
  </si>
  <si>
    <t>Полностью вернули блюдо со стейком тунца, но его включили в счет, мы заплатили за то, что даже не ели. Официантка сказала, что они не обязаны делать так, как показано в меню. Хотя в другом месте сделали блюдо с правильной прожаркой и не пропавшими продуктами. В бургере котлета сухая :(</t>
  </si>
  <si>
    <t>Можете смело заезжать, что бы посмотреть на кислую физиономию сотрудника на раздаче! Послушать как с большим одолжением вам скажут что меню нет - два раза, давая понять что вы все тупые, вместо того, что бы вежливо сообщить его хотя бы словесно. Про остальное смысла нет рассказывать)))</t>
  </si>
  <si>
    <t>Отвратительное кафе, хамский персонал. Проводили поминки. Пришло больше человек чем планировали, оплатили за них и попросили поставить ещё стол, но официантка сказала или так вмещайтесь или она будет стол ставить 20 минут. Блинов не хватило пришлось делиться с соседом(упомяну, что за всех было уплачено и доплачено!). Борщ кислый никто не стал есть, булочки не свежие, жёсткие не разгрызть. Пожилая женщина попросила принести стакан простой воды, не принесли! Заказали компот, но дали половина компота, половина сока. Типа не хватило? Или просто в такой день людям всё равно?! Не советую тратить на такое кафе деньги и нервы. Не вкусно и противно на таких людей смотреть!</t>
  </si>
  <si>
    <t>Был на мероприятии, в меню много сортов пива, но, что не спросишь, "сейчас нет". Естественно толкают самое дорогое(((. Обслуживают быстро, несмотря на большое количество людей.</t>
  </si>
  <si>
    <t>В целом, надо было догадаться, что тут будет не очень, еще при просмотре меню. Супер низкие цены. Но не ожидала, что будет ТАК плохо. Официанты не знают меню, не знают, как подавать блюда. Половина позиций в меню отсутствует, либо мы так удачно выбирали. Официантка при оформлении заказа не уточнила в каком порядке подавать блюда. В итоге сначала принесла кофе, дальше мы долго сидели и затем нам вынесли сразу все, что мы заказали. Причем ложки принесли, а про остальные приборы почему-то забыли. Щавелевый суп был норм. Шаурма с курицей была больше с капустой, чем с курицей. А вот сельдь с картофелем - это вообще треш. В моем блюде оказался песок. Разочарована. Кажется, что когда-то тут было приличное заведение.</t>
  </si>
  <si>
    <t>Так как живу неподалёку, часто прохожу мимо. И каждый раз мне пытаются всучить их рекламный флаер. Специальное предложение с очень низкими ценами. Такого не может быть либо что-то тут нечисто. Тем не менее ничего точно сказать не могу, не заходил, не пробовал. Однажды хотели зайти с другом, но отталкивает негативная энергетика, присутствующая на входе и в какой-то мере вызванная тем, что листовки раздают каждый раз разные люди. И кто попало.</t>
  </si>
  <si>
    <t>Из плюсов: приятный персонал. Из минусов: местное пиво - полный ужас, разливное пиво по 480 рублей - разбавленное в соотношении 50 на 50. Кухня 6/10. Возвращаться сюда не хочется. Особенно учитывая количество заведений в пределах 10 минут ходьбы.</t>
  </si>
  <si>
    <t>Приятное заведение, вкусные блюда. Но похоже, основной профиль - работа на доставку, а блюда в зал готовят на сдачу. Заказывать доставку буду, а вот в живую больше не пойду - ждать чебурек и салат (при заполнении зала на 20%) пришлось дольше, чем доставку того же домой.</t>
  </si>
  <si>
    <t>Интерьер достаточно интересен! К сожалению в меню была только солянка и салаты. Солянка на 3, за триста с лишним рублей получили горшочек с довольно жидким содержимым, оценка собственно за приемлемый вкус, кусочков разнообразных мясных продуктов там не было, были какие то волокна и мелкие кусочки огурца и картошки. Хлеб, два тонюсеньких кусочка на порцию. В обычной придорожной столовой солянка в три раза дешевле и вкуснее, с выраженными кусочками куры, мяса, колбасы и сосисок.</t>
  </si>
  <si>
    <t>Шашлык вообще никакой. Брали метр шашлыка. Смех и слезы, шашлык на шпажках, холодный, реально наверно грамм 500. Как можно покушать компанией я честно не знаю. Понравились только шоты</t>
  </si>
  <si>
    <t>5 марта были. Администратор показала нам, где свободный стол. Сели, ждём официанта, проходит 10мин., никто не подходит. Подошла сама к администратору, чтобы пригласили официанта. Ждём опять. Проходит ещё 10мин., игнор. Опять напомнили о себе, пригласили официанта, сделали заказ. Сказали, что спиртное принесут сразу, горячее позже. Проходит ещё 15 мин., никто не подходит, иду к администратору, напомнить о заказе. Приносят спиртное. И опять тишина. Через 20 мин.иду к администратору, чтобы она пригласила нам официанта. Через 30мин.приносят горячее. Вообщем администратор, официант, ещё какая-то девушка, непонятно какая должность стоят, общаются между собой. Делают вид, что работают. Но никакого внимания на посетителей не обращают. Ужасное обслуживание. Не советую это заведение. Жалею, что сразу не ушли.</t>
  </si>
  <si>
    <t>Ну, что же..., вполне, вполне. Чисто, приветливый, внимательный персонал, завтраки на хорошем уровне. Из минусов: корпоративы по вечерам до 22 в ресторане, парковки "в створе" (если авто заблокируют, через рецепшен придётся искать владельца, - не факт, что сразу найдете). Шум и завывание в номере от коммуникаций кондиционера (даже при выключеном). Ну и нет пешеходного перехода у гостиницы, а ездят лихо...</t>
  </si>
  <si>
    <t>Была несколько раз на обеде, народа мало, и все время чего- то да приходится допрашиваться, напоминать о заказе, вроде все записали, повторили, а нести не несут. Персонал не очень шевелится. А однажды, пришли с мужем в обед пятницы и мест нет, и персонал бегает. Мы подождали немного и нам нашли посадку, и больше скажу принесли все быстро, ничего не забыли и перепутали. Мы были в шоке, и все потому (как мы поняли): что руководство было в зале??</t>
  </si>
  <si>
    <t>Персонал дети, заказывали только кофе с собой, питчер просто понюхал-зачем его мыть... Попросил с корицей, и без нее попьешь... Не кофе, а сплошное не вспененное молоко. этим должен заниматься бариста, а не какой-то мальчик-неувязок с прической...)))</t>
  </si>
  <si>
    <t>Раньше частенько захаживали, но с каждым разом, всё больше разочаровываюсь. Очень долгая подача, лимонад несли 30 минут, при чём просили принести сразу, горячие роллы 50 минут, салат до смешного, принесли спустя час с лишним, когда все уже поели, в маленьком блюдечке, в жиже (салат простой Чука). При чём гостей было очень мало. К официантам притензий нет, поэтому две звезды.</t>
  </si>
  <si>
    <t>Посещала все рестораны сети, но этот - просто разочарование. Во-первых, интерьер скорее похож на столовую или кафе-забегаловку, чем на РЕСТОРАН. Во-вторых, супы мы ждали 40 минут! При том, что зал был наполовину пуст. Принесли еле теплые, грели. Шашлык ждали 55 минут!!!!! Такого ни в одном вашем ресторане не было! В-третьих, у стола шатается столешница. В-четвёртых, сидели на подиуме у окна, пол под стулом ходит ходуном, когда кто-то проходит мимо. В-пятых, стулья явно для великанов. Я ростом 170 и муж 186 просто провалились в стулья и ели из тарелок, поднимая руки наверх. По вкусу блюда как и во всей вашей сети вкусные, тут вам 5+. Но, в заведение по этому адресу мы больше не придем, уважаемые управляющие, примите меры. Вы называете себя РЕСТОРАН, а не забегаловка бистро!</t>
  </si>
  <si>
    <t>Какой раз заходим в этот и разочаровываемся. Все неприветливые, грубые. Персонал видимо молодой, бесятся, прыгают, подкалывают друг друга, на клиента не обращают внимания. Готовят медленно из-за этого и иногда с косяками в заказе.</t>
  </si>
  <si>
    <t>Очень всё плохо пришла с детьми с порога охраник ударил 8 летнего ребенка по плечу, за то что она велик поставила с не большим выступом, затем он кричал что он чеченец и уничтожит нас на весь зал более 50 человек это видели даже сам администратор данного заведения сделал охранику замечания за его грубость и мат, я написала жалобу даже вызвала полицию, но до сих пор этот сотрудник работает там охранником и угрожает маленьким детям как физической так и словестным лексиконом, я пойду туда ещё раз, и буду писать жалобу в мэрию им будет очень интересно, как *** держут в таких общественых местах</t>
  </si>
  <si>
    <t>Из плюсов - ничего. Хорошие отзывы пишут скорее всего работники и хозяева данного заведения. Обслуживание на нуле, парень почти не подходил и не смотрел за грязной посудой которая стояла часами на столе. Очень дорого. В ресторане куда дешевле. Детская площадка по каким то причинам ОТДЕЛЬНО оплачивается, хотя находится на территории кафе. Администратор без комментариев. Мой совет ни ходите сюда ни за что. Я не ногой. И никому не посоветую.</t>
  </si>
  <si>
    <t>Очень понравилось и обслуживание и кухня. Про оригинальную корейскую кухню знаю крайне мало, однако из предложенного ассортимента нравится практически все. При необходимости персонал прокомментирует состав, вкус, остроту блюд и поможет с выбором. Импонирует желание адаптировать уровень остроты под желание клиентов. Upd: испортились конкретно! Неприветливое обслуживание. За столами не обслуживают теперь. Такое ощущение, что никому посетители неинтересны.</t>
  </si>
  <si>
    <t>Магазинчик теперь со стороны. Роллы не вкусные, из четырёх разных ролл ничего не понравилось, 1200.. руб. на ветер., причём рис плохой, лук зелёный намешан, не советую, первый и последний раз тут беру что-либо. А нахваливают это... наверно если не пробовали действительно вкусные роллы или не делали их сами.</t>
  </si>
  <si>
    <t>Очень обидно, что роллы испортились. Ранее здесь брали - было очень вкусно. Но в пятницу я заказала доставку, треш. Привезли поздно, ждала очень долго, роллы помятые, не вкусные, рис отвратительный. Пришлось выкинуть. Не советую тут брать, даже не думайте.</t>
  </si>
  <si>
    <t>Самая невкусная еда!!! Один глютамат и крахмал, блюда пересолены... За счёт отдали 4800, зашли с дочкой поужинать. Купились на то, что много людей... Результат, полное разочарование. Еда отвратительна, обслуживание тоже.</t>
  </si>
  <si>
    <t>Заведение испортилось, официанты амебные, бармен недовольный, пришлось выпрашивать что бы убрали стол, предыдущие гости ушли, мы сели на их место, и сидели за грязным столом. Мясо сухое и не вкусное, местами подгоревшее.</t>
  </si>
  <si>
    <t>Заказ делала 26 апреля, повелась на рекламу о том, что можно выбрать любой кальцоне в подарок при покупке от 1000 руб. На сайте и по телефону выбрать нельзя было, был доступен только 1 вариант. Ну ладно, я согласилась, хотя осадок остался. В итоге заказ приехал быстро, но филадельфия оказалась со старой рыбой, есть не смогла, вечер испорчен, больше не закажу у вас</t>
  </si>
  <si>
    <t>Готовят вкусно, но дороговато. Неприветливый персонал.</t>
  </si>
  <si>
    <t>Атмосферное заведение. Красивый интерьер, приятный персонал, из плюсов все) цена высокая, порции достаточно маленькие и блюда не очень вкусные. Цена/качество не соразмерны. Одно из блюд у меня было салат с тунцом гриль, количество масла и соуса бальзамик в салате было огромное, остальные составляющие просто не запомнились на этом фоне. Ради интересно посетить можно, но нужно быть готовым к чеку на двоих 5к +</t>
  </si>
  <si>
    <t>Заказали на доставку в 19.52 (5.02) время 10час заказ не готов до сих пор. Это во сколько ж нам надо посылать курьера за заказом и тем более его есть?! Отвратительно отношение к клиентам. Сталкиваемся с таким впервые.</t>
  </si>
  <si>
    <t>Обожаем этот ресторан, еда очень вкусная! Том ям самый лучший, пробовала во многих ресторанах, самый вкусный только в, но это моё мнение))) Подача блюд очень красивая. Единственный минус нет доставки, с удовольствием бы заказывали на дом. Персонал ребята молодые иногда ошибаются столом, но это не так критично. В помещении всегда чисто, уютно. Однозначно рекомендую этот ресторан!</t>
  </si>
  <si>
    <t>Данное заведение сложно назвать "ресторан". Это максимум "кафе у дороги"!!! Цены только как в ресторане! Посетили данное заведение 8 мая и были очень разочарованы! Начнем с того, что большая часть блюд отсутствовала, пришлось выбирать "на лету", суши нет, бургеров нет, из детского меню только картофельные дольки. Спросила у официанта про пиццу, на что получили ответ: "вы можете сходить через дорогу, там пиццерия....". Из сладкого, было только 2 кусочка медовика... ребенок остался голодный! Из блюд нам очень повезло что была лапша с морепродуктами и лазанья, спасибо хоть на этом, заказали! Но когда принесли лапшу, разочарованию не было предела! Повара в "ресторане" не знают, что креветки нужно чистить? Зачем в блюдо добавили ещё яйцо? За 3 креветки, 3 мидии и 4 кусочка кальмара с лапшой отдали 590? Вместо лимонада принесли Мохито. Однозначно перехвалили данное заведение!</t>
  </si>
  <si>
    <t>Да, ребята сервис ваш упал, раз в неделю тратил у вас энную сумму но с сегоднешнего дня к вам больше не нагой, сегодня рабоотола 1 касса у кассы 2 девушки перед мной 2чел ожидание в очереди 10минут, продовцы не знают что где лежит, взял своей любимой дорады горячего капчения и еще всяких вкусняшек, оплатил наличкой продовец пошла за здачей в не работающую кассу и там мило завила беседу с покупателем, или ухажором, после 2х минут ожидания сделал замичание получил сдачу и уехал, но все это мелоч по сравнению с тем что меня ждало дома, открыл пакет с любимой дорадо и тут пахнул запах тухлячка, позвал жену, вердикт тот же, вобщем воскресный вечер испорчен.</t>
  </si>
  <si>
    <t>Много лет назад задали очень высокую планку качеству продуктов и качеству обслуживания, сейчас видимо кризис роста … печально … если открыть рядом рыбный магазин с широким ассортиментом можно быстро подняться на Вашем потоке</t>
  </si>
  <si>
    <t>Ужасная столовая, весь обслуживающий персонал с недовольными фэйсами, кондиционеры отсутствуют, заказали солянку - пока официант бегал с тарелкой по залу, вся тарелка была в супе, вызвали администратора - извинились-заменили, картофель по деревенски ужасный все дольки маленькие зажаренные, лангустин самый маленький напоминает крупные креветки 5 креветок за 500 рублей. Желание посетить это заведение отсутствует. Напоминает казино, есть вариант выиграть, если повезет можно вкусно покушать. Если хотите испортить себе настроение вам туда. Эти кислые лица официантов, им чаевые оставлять нет желания.</t>
  </si>
  <si>
    <t>Кофе хуже с каждым разом. Последний раз то что взяли-и кофе то сложно назвать. Не припомню такого "экспромта" давно. Заметные сложности с персоналом. Интерьер-довольно не плох. Чисто.</t>
  </si>
  <si>
    <t>Заказал кофе 0.4 и оплатил за него, на голубом глазу сделали 0.3 не стал спорить просто сюда больше ни ногой</t>
  </si>
  <si>
    <t>Часто были в этом кафе. Много раз праздновали дни рождения и 8 марта. Раньше кафе было лучше и в плане сервиса, и в плане кухни и цены были гораздо демократичнее. После последнего посещения мнение кардинально изменилось не в лучшую сторону, впечатления испортились. Кухня - скудная. Музыка вообще отстой, ребят вы меня извините, но крутить Кадышеву в 23 году - это нечто!???? Единственным плюсом вижу теперь только хорошую локацию и красивый вид на парк и реку. На этом - все.</t>
  </si>
  <si>
    <t>Лет 8 назад нормальный шашлык был, даже иностранцев водил сюда. Сейчас скатилось. Маленькие порции, свинина - пересолена в хламину, баранина на кости, где основная масса - это кость: сложилось ощущение как-будто варят её сначала, а потом обжаривают, чтобы была характерная корочка. Карты по-прежнему не принимают. Три звезды - это комплимент, что с момента последнего визита в туалете поставили унитазы вместо деревенских шахт. Кому хочется среднеазиатского колорита - вам сюда.</t>
  </si>
  <si>
    <t>Всем привет! Интерьер ресторана порадовал приятный! Кухня нет, ждали 1час! Принесли маленькую порцию красной рыбы с брокколи за 520 рублей, на вопрос почему такая маленькая ответили что она детская!))) Очень люблю грузинскую кухню, печально что её так мало!))) паста соус хороший в целом вкусно но похожа на вермишель яичную с беконом очень тонко нарезанного от того и жесковатого!))) ну и ладно пойдёт съел всю!) но блин могло быть и лучше за эти деньги тем более интерьер соответствует, веранда чистая, атмосфера приятная, я не хочу ни кого учить но пжлста сделайте что нибудь с кухней и будет очень приятно к Вам приходить, тем более рядом с домом!) Читал отзывы про вас как их много хороших)) второй раз с семьёй к вам заходил не понравилось как и в первый раз, очень надеюсь что исправитесь, буду пока выбирать соседние рестораны ))</t>
  </si>
  <si>
    <t>Ставлю две звезды вместо одной только потому, что когда-то давно мы тут ели, и было сносно. Но на 5 звезд не тянул никогда, всегда был медлителен и по вкусноте еды далеко не топ. Удивляюсь всем тем многочисленным высоким оценкам в других отзывах. Вы же сами провоцируете заведение на ухудшение. Собственно что в итоге и случилось. Вчера вместо обещанных 15 минут ждали пиццу на вынос больше 40 минут. Перед нами даже не извинились… И ладно бы пицца была хотя бы вкусная. Но это откровенно картонный корж и совершенно никакое наполнение. Прям давно не ели настолько плохой пиццы в нашем городе. И это фирменная пицца, на которую вы ставите свое имя. Пожалуйста, хватит лениться, становитесь лучше! Буду рад изменить свой отзыв в будущем</t>
  </si>
  <si>
    <t>Интерьер ресторана оставил хорошее впечатление. Все остальное не соответствует высокому рейтингу, поверив которому мы здесь оказались. Меню на огромном листе не понятное, названия блюд без расшифровки. Официантка порекомендовала посмотреть в интернете подробности меню их заведения. Цены запредельные. Блюдо под названием «рибай» 1100 руб. за 100 грамм! Лепешки, выпеченные в дровяной печи съесть не смогли, не пропеклись. Вкусная мусака с говяжьими щечками. Больше сюда не придем.</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</si>
  <si>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</si>
  <si>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</si>
  <si>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</si>
  <si>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</si>
  <si>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</si>
  <si>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</si>
  <si>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</si>
  <si>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</si>
  <si>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</si>
  <si>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</si>
  <si>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</si>
  <si>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</si>
  <si>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</si>
  <si>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</si>
  <si>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</si>
  <si>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</si>
  <si>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</si>
  <si>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</si>
  <si>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</si>
  <si>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</si>
  <si>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</si>
  <si>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</si>
  <si>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</si>
  <si>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</si>
  <si>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</si>
  <si>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</si>
  <si>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</si>
  <si>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</si>
  <si>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</si>
  <si>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</si>
  <si>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</si>
  <si>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</si>
  <si>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</si>
  <si>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</si>
  <si>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</si>
  <si>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</si>
  <si>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</si>
  <si>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</si>
  <si>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</si>
  <si>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</si>
  <si>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</si>
  <si>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</si>
  <si>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</si>
  <si>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</si>
  <si>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</si>
  <si>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</si>
  <si>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</si>
  <si>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</si>
  <si>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</si>
  <si>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</si>
  <si>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</si>
  <si>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</si>
  <si>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</si>
  <si>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</si>
  <si>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</si>
  <si>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</si>
  <si>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</si>
  <si>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</si>
  <si>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</si>
  <si>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</si>
  <si>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</si>
  <si>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</si>
  <si>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</si>
  <si>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</si>
  <si>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</si>
  <si>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</si>
  <si>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</si>
  <si>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</si>
  <si>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</si>
  <si>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</si>
  <si>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</si>
  <si>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</si>
  <si>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</si>
  <si>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</si>
  <si>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</si>
  <si>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</si>
  <si>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</si>
  <si>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</si>
  <si>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</si>
  <si>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</si>
  <si>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</si>
  <si>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</si>
  <si>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</si>
  <si>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</si>
  <si>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</si>
  <si>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</si>
  <si>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</si>
  <si>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</si>
  <si>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</si>
  <si>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</si>
  <si>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</si>
  <si>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</si>
  <si>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</si>
  <si>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</si>
  <si>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</si>
  <si>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</si>
  <si>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</si>
  <si>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</si>
  <si>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</si>
  <si>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</si>
  <si>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</si>
  <si>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</si>
  <si>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</si>
  <si>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</si>
  <si>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</si>
  <si>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</si>
  <si>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</si>
  <si>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</si>
  <si>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</si>
  <si>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</si>
  <si>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</si>
  <si>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</si>
  <si>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</si>
  <si>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</si>
  <si>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</si>
  <si>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</si>
  <si>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</si>
  <si>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</si>
  <si>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</si>
  <si>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</si>
  <si>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</si>
  <si>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</si>
  <si>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</si>
  <si>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</si>
  <si>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</si>
  <si>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</si>
  <si>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</si>
  <si>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</si>
  <si>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</si>
  <si>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</si>
  <si>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</si>
  <si>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</si>
  <si>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</si>
  <si>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</si>
  <si>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</si>
  <si>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</si>
  <si>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</si>
  <si>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</si>
  <si>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</si>
  <si>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</si>
  <si>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</si>
  <si>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</si>
  <si>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</si>
  <si>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</si>
  <si>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</si>
  <si>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</si>
  <si>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</si>
  <si>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</si>
  <si>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</si>
  <si>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</si>
  <si>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</si>
  <si>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</si>
  <si>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</si>
  <si>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</si>
  <si>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</si>
  <si>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</si>
  <si>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</si>
  <si>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</si>
  <si>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</si>
  <si>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</si>
  <si>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</si>
  <si>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</si>
  <si>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</si>
  <si>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</si>
  <si>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</si>
  <si>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</si>
  <si>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</si>
  <si>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</si>
  <si>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</si>
  <si>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</si>
  <si>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</si>
  <si>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</si>
  <si>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</si>
  <si>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</si>
  <si>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</si>
  <si>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</si>
  <si>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</si>
  <si>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</si>
  <si>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</si>
  <si>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</si>
  <si>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</si>
  <si>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</si>
  <si>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</si>
  <si>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</si>
  <si>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</si>
  <si>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</si>
  <si>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</si>
  <si>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</si>
  <si>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</si>
  <si>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</si>
  <si>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</si>
  <si>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</si>
  <si>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</si>
  <si>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</si>
  <si>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</si>
  <si>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</si>
  <si>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</si>
  <si>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</si>
  <si>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</si>
  <si>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</si>
  <si>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</si>
  <si>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</si>
  <si>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</si>
  <si>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</si>
  <si>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</si>
  <si>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</si>
  <si>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</si>
  <si>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</si>
  <si>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</si>
  <si>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</si>
  <si>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</si>
  <si>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</si>
  <si>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</si>
  <si>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</si>
  <si>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</si>
  <si>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</si>
  <si>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</si>
  <si>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</si>
  <si>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</si>
  <si>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</si>
  <si>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</si>
  <si>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</si>
  <si>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</si>
  <si>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</si>
  <si>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</si>
  <si>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</si>
  <si>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</si>
  <si>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</si>
  <si>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</si>
  <si>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</si>
  <si>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</si>
  <si>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</si>
  <si>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</si>
  <si>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</si>
  <si>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</si>
  <si>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</si>
  <si>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</si>
  <si>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</si>
  <si>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</si>
  <si>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</si>
  <si>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</si>
  <si>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</si>
  <si>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</si>
  <si>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</si>
  <si>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</si>
  <si>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</si>
  <si>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</si>
  <si>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</si>
  <si>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</si>
  <si>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</si>
  <si>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</si>
  <si>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</si>
  <si>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</si>
  <si>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</si>
  <si>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</si>
  <si>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</si>
  <si>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</si>
  <si>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</si>
  <si>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</si>
  <si>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</si>
  <si>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</si>
  <si>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</si>
  <si>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</si>
  <si>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</si>
  <si>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</si>
  <si>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</si>
  <si>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</si>
  <si>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</si>
  <si>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</si>
  <si>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</si>
  <si>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</si>
  <si>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</si>
  <si>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</si>
  <si>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</si>
  <si>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</si>
  <si>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</si>
  <si>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</si>
  <si>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Безумно вкусное место. Все, что заказали, было просто невозможно вкусно. Обслуживание очень сдержанно, ненавязчивые ребята. В общем все просто отлично!</t>
  </si>
  <si>
    <t>Невероятно красивое место, прямо на пирсе, буквально погружено в атмосферу моря. Все очень понравилось, каждое из заказанных блюд - приятно удивило, браво поварам! Отдельное спасибо официанту за профессионализм! Однозначно рекомендую, понравилось абсолютно всё, что большая редкость в наше время! Отличный ресторан!</t>
  </si>
  <si>
    <t>прекрасный официант. Тёплая атмосфера, прекрасное обслуживание, отличный вид. Все для того, чтобы идеально провести время. спасибо Вам!</t>
  </si>
  <si>
    <t>Это восторг. Отличный ресторан. Обширное меню, выбор на любой вкус. Уютно, чудесный вид на море. Приветливый персонал. Нас обслуживала официант, работает быстро и с улыбкой, поварам огромное спасибо.Атмосфера просто супер!Еда на 5+ , заказывали шашлык свинной, очень сочный и вкусный, Цезарь с курочкой был нежный, за соленья отдельное спасибо Дай бог вам удачи, успехов, улыбок посетителей.</t>
  </si>
  <si>
    <t>Всегда одно и тоже меню. Но вкусно и не дорого.</t>
  </si>
  <si>
    <t>Спасибо всему коллективу и еда вкусная и персонал молодцы !! Обслуживание супер Будем рекомендовать друзьям</t>
  </si>
  <si>
    <t>Уютное кафе. Кроме шашлыка есть и другие блюда. Брали шашлык из телятины, шапиньоны на шампунем и люля из картофеля (картофельное пюре на шампунем в виде люля - очень прикольно). Порции большие. Мы взяли три порции шашлыка ( пришли очень голодные), поэтому половину забрали с собой. На ужин доехали. Еда очень вкусная. Рассказали нам про приправа Сумах, из чего делается и где можно купить. Спасибо большое, когда приедем снова, обязательно придём к Вам.</t>
  </si>
  <si>
    <t>Классное, удобное, вкусное место, всегда можно зайти перекусить, пообедать вкусно, Вок и пицца, также постоянно берём большие пиццы 25 см, по крутой цене в 300р, всегда вкусные и свежие, делают при вас помещение новое, персонал хороший, процветания</t>
  </si>
  <si>
    <t>Кафешкой пользуемся много лет. Очень часто заезжаем семьёй, друзьями. Удобный сервис. К примеру обед можно заказать заранее. Что сокращает время ожидания. Успехов вам!!!</t>
  </si>
  <si>
    <t>Классный бар, вкусная еда, единственное место где есть фастфуд.</t>
  </si>
  <si>
    <t>Лучшая кофейня. Вкусный кофе и невероятная атмосфера</t>
  </si>
  <si>
    <t>Шавуха здесь одна из лучших. Хотя, возможно, с этим можно поспорить. Но Двойное мясо и сыр делают её самой сытной. Это точно. Цена адекватная. Продукты свежие. Рекомендую.</t>
  </si>
  <si>
    <t>Ну чтож, вот я и побывал в сие заведении. За местоположение можно смело ставить 5 баллов, а за вид из окон на парковку - 2. Вечером в будни с парковкой проблем нет. Заехать можно с разных сторон. По меню и ценам в принципе можно все найти в инете на сайте ресторана, но вот по наличию... Пошли туда пробывать морских ежей и в принципе всяких гадов, оказалось что ежей как раз вот в наличии и нет( Зато есть остального разнообразия в достатке. Готовят вкусно, подают красиво, официанты и сомелье - знатоки своего дела, за это отдельное спасибо. Итог, твердая четверка с плюсом.</t>
  </si>
  <si>
    <t>По-моему, тут все прекрасно!) Чисто, вежливые официанты, еда и напитки - это отдельная песня, вкусно было абсолютно всё! Да, цены высокие, но и это не забегаловка)</t>
  </si>
  <si>
    <t>Входная группа простая, интерьер в целом спокойный, современный, но без изысков. Цены выше среднего. Морепродукты вкусные, магаданские креветки - зачёт. Морские ежи - закончились перед нашим заказом - обидно, но есть уверенность, что продукты свежие. Официанты шустрые, вежливые, обслуживание на высоком уровне. Во время концертов кухня зашивается, подача некоторых блюд задерживается. Блюда выглядят симпатично, вызывают аппетит. К бару вопросов нет. Диджей в четверг не захотел устраивать дискотеку, музыка тихая и спокойная, потанцевать не удалось. За столами в основном девочки с одинаковыми губами и причёсками. Пафосные место для интересного времяпрепровождения.</t>
  </si>
  <si>
    <t>Хорошое заведение очень вежливый персонал. Очень все вкусно, морепродукты наисвежайшие.</t>
  </si>
  <si>
    <t>Для проведения семейного праздника в выборе ресторана не сомневались. Всегда уютная атмосфера, вкусная еда и отличная музыкальная программа. Благодаря праздник был организован идеально. Ещё раз огромное спасибо! Из блюд очень рекомендуем саджи рыбный и мясной и конечно, торт "Облако". Отдельная благодарность нашему официанту.</t>
  </si>
  <si>
    <t>Пробовал роллы с угрем. Тут в принципе даже не важно с чем. Суть в том что рис немножко был не доваренный и местами хрустел. Так по вкусу в основном понравилось, но считаю что в ресторане с таким уровнем такое в принципе не допустимо.</t>
  </si>
  <si>
    <t>Планировка не совсем удачная. Поэтому не так уютно как в других</t>
  </si>
  <si>
    <t>Уютный ресторан, почти всегда можно найти стол, так как достаточно большой по площади. С друзьями часто бываем в разных ресторанах сети, этот ближе всех к дому. Качество блюд радует, скорость обслуживания тоже.</t>
  </si>
  <si>
    <t>Отлично провели время. Вкусная еда, хорошее обслуживание. Самое большое впечатление -это игровая комната, там присутствует няня и ребёнок в восторге был с ней играть, прибежал только быстро поесть и обратно играть. Мы с мужем отдыхали.</t>
  </si>
  <si>
    <t>Отмечали здесь свою свадьбу в прошлом месяце на 30 человек. Все прошло отлично, живая музыка, детская комната. Блюда все вкусные, особенно их фирменный Стейк. Гости остались довольны, официанты были внимательные и приносили все быстро. Спасибо большое за теплый прием! Обязательно вернемся к вам еще.</t>
  </si>
  <si>
    <t>Недавно приходили с девушкой на дискотеку, всё великолепно, заказали пиццу и коктейли. Всё на высшем уровне, официанты вежливые и добрые!</t>
  </si>
  <si>
    <t>После нескольких лет жизни впервые встретил тот же вкус! Прекрасные владельцы, которые сами готовят, душой стоят за качество блюд и с удовольствием рассказывают о своём деле!</t>
  </si>
  <si>
    <t>Еда как дома,очень вкусно. Некоторые блюда начинают готовить после заказа. С наружи неприметный домик, в внутри аля двухтысячные, очень круто Котята про которых упоминают в предедущих комментариях уже выросли, но так же просят что нибудь со стола Кафе отличное, всегда теперь будем тут останавливаться. По деньгам норм, персонал приветливый.</t>
  </si>
  <si>
    <t>Понравилась и кухня и обслуживание. Очень вежливая администратор. Готовят достаточно быстро, из свежих продуктов. Остались очень довольны!</t>
  </si>
  <si>
    <t>Хорошее заведение, не тесное. Музыка огонь, кухня очень вкусная, обслуживающий персонал хороший. Отмечкли там свадьбу, всем очень понравилось Спасибо вам!!!</t>
  </si>
  <si>
    <t>Провели мероприятие, все понравилось. Были в отдельном зале на втором этаже. Душевно, вкусно, танцевательно. Отдельно хочу поблагодарить администратора или бармена нашего зала</t>
  </si>
  <si>
    <t>Официант девочка молодец,  профессионал своего дела, вежливая!Одним словом молодец! Достоина премии и повышения!</t>
  </si>
  <si>
    <t>Отличный ресторан, на втором этаже очень уютная терраса с прекрасным видом на парк, очень отзывчивые и доброжелательные официанты, все очень понравилось</t>
  </si>
  <si>
    <t>Ресторан прекрасный, уровень обслуживания на высоте. Официанты вежливо нас обслуживали, еду быстро приготовили, все блюда очень вкусные. Плюс удачное расположение, после ресторана пошли на прогулку по городу.</t>
  </si>
  <si>
    <t>Довольно недешевый ресторан. Хороший вид на пруд, рядом платная парковка. То что заказал, понравилось. Окрошка на квасе очень вкусная. Тар-тар из лосося тоже хорош</t>
  </si>
  <si>
    <t>В целом мне понравился ресторан, готовят вкусно, уютная и комфортная атмосфера, радушный персонал и отличное расположение ресторана. Однако небольшие недостатки тоже есть - парковка и расценки.</t>
  </si>
  <si>
    <t>Ресторан классный, сразу мне тут понравилось. Была приятно удивлена уровнем обслуживания и тем, как здесь готовят. Цены при всем при этом вполне нормальные. Советую к посещению</t>
  </si>
  <si>
    <t>Приятная атмосфера. Интересная подача блюд. Очень вежливый персонал. Буду тут, обязательно схожу ещё раз.</t>
  </si>
  <si>
    <t>Я недавно посетила ресторан и осталась приятно удивлена! Быстрое обслуживание сделало мой визит комфортным и удобным. Атмосфера заведения создает ощущение уюта и расслабленности. И, конечно же, нельзя не отметить великолепную кухню! Блюда были необыкновенно вкусными и качественными.</t>
  </si>
  <si>
    <t>Отмечал со своей семьёй юбилей своего отца. Конечно, первое что бросается в глаза - это вид из окна на пруд. Очень тепло и комфортно. На входе встречает приветливый персонал. Большой выбор в меню - глаза разбегаются! Особенно понравился "баклажан болоньезе" (сыр Пармезан оказался очень нежным и приятным на вкус). Из горячего запомнилось изысканное блюдо "Телячьи щёчки" (необычный вкус - советую всем!). Запомнилась и необычная подача сыров. Взяли Буратту и Скаморцу - "мешочек" на деревянной подложке - оригинально! Цены, конечно, "кусачие", но качество еды и обслуживания того стоит! В общем, советую Вам посетить.</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</si>
  <si>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</si>
  <si>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</si>
  <si>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</si>
  <si>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</si>
  <si>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</si>
  <si>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</si>
  <si>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</si>
  <si>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</si>
  <si>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</si>
  <si>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</si>
  <si>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</si>
  <si>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</si>
  <si>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</si>
  <si>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</si>
  <si>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</si>
  <si>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</si>
  <si>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</si>
  <si>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</si>
  <si>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</si>
  <si>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</si>
  <si>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</si>
  <si>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</si>
  <si>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</si>
  <si>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</si>
  <si>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</si>
  <si>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</si>
  <si>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</si>
  <si>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</si>
  <si>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</si>
  <si>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</si>
  <si>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</si>
  <si>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</si>
  <si>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</si>
  <si>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</si>
  <si>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</si>
  <si>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</si>
  <si>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</si>
  <si>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Стабильное место, уровень высокий! Меню качественное, блюда на уровне. Рекомендую этот торт! Летом превосходная веранда с видом на озеро! Персонал очень приветливый и с чувством юмора. Один нюанс...недостаточная вентиляция первого этажа...</t>
  </si>
  <si>
    <t>Супер место, как будто оказался где-то))) Все хорошо и добротно как и во всех других местах сети. Есть черная треска в меню. Персонал хороший. Столик лучше бронировать заранее, особенно летом)</t>
  </si>
  <si>
    <t>Что понравилось: 1. Блюда. Вкус, текстура, качество продуктов, везде чувствуется тщательный подход 2. Подача. Интересная, но без особых изысков, на мой вкус золотая середина. 3. Атмосфера. Дружелюбная и уютная Что можно улучшить: 1. Сделать рассадку чуть свободнее, на мой взгляд при полной посадке не вполне комфортно сидеть в центре зала. Итого рекомендую любителям умеренно изысканной и вкусной кухни.</t>
  </si>
  <si>
    <t>Вкусные десерты, приятный персонал, цены выше среднего, но это того стоит. Заведение расположено в красивом и удачном месте! Внутри интерьер интересный, нежный. Порадовала чистота и хорошее состояние мебели и интерьера.</t>
  </si>
  <si>
    <t>Потрясающе вкусно готовят, и подача красивая. Особенно рагу из кролика понравилось, объедение просто! Несколько раз здесь обедали во время поездки, из всех мест где ели, это место больше всего понравилось. Единственное, столик лучше бронировать заранее, так как место популярное. Обстановка приятная, хороший сервис.</t>
  </si>
  <si>
    <t>Очень  вкусно) и персонал вежливый</t>
  </si>
  <si>
    <t>Милое уютное место. Пока что пробовала здесь только бургеры. Безумно вкусно! Лучшие бургеры. А булочки для них это отдельный восторг) Надеюсь, в скором времени оценю и стейки) Место отлично, обязательно загляните)</t>
  </si>
  <si>
    <t>Самые вкусные стейки!!! Доброжелатьльная и приятная атмосфера!</t>
  </si>
  <si>
    <t>1619</t>
  </si>
  <si>
    <t>1620</t>
  </si>
  <si>
    <t>1621</t>
  </si>
  <si>
    <t>1622</t>
  </si>
  <si>
    <t>1623</t>
  </si>
  <si>
    <t>1624</t>
  </si>
  <si>
    <t>1625</t>
  </si>
  <si>
    <t>1626</t>
  </si>
  <si>
    <t>Ранее: Кафе хорошее, еда вкусная. Но даже с маленькими собаками нельзя. Даже если она  молча сидит под столом. При этом постоянно орущие дети это нормально. Мы занимаемся в парке с кинологом и в холодные дни хочется зайти и погреться, выпить горячего чаю. Как оказалось в этом заведении это сделать нельзя. Очень жаль, придётся искать другое место, где животных и их хозяев готовы встретить и обогреть. Теперь: Недавно посещали кафе. И если честно, я была очень приятно удивлена! На двери кафе больше нет таблички ограничивающей вход с животными, более того, на двери красуется маленький песель, зовущий зайти внутрь. Уважаемые владельцы и менеджеры кафе, Хочу вам сказать большое спасибо за то, что слушаете и слышите своих клиентов! Так приятно ощущать, что вам действительно важен каждый гость! Спасибо!</t>
  </si>
  <si>
    <t>Обожаем это место! Приходим сюда часто. Прекрасная домашняя атмосфера. Персонал просто бомба! Уютно, мило, вежливо, а главное ВКУСНО!</t>
  </si>
  <si>
    <t>Отличное заведение, захочу часто, очень вкусно готовят</t>
  </si>
  <si>
    <t>Доставка быстрая, упаковано хорошо все, заказы обрабатывают качественно, но если выбирать среди кулинарий города, есть и лучше. Хотелось бы обновлений в меню видеть чаще</t>
  </si>
  <si>
    <t>Любимый футкорт, мы частенько любим посидеть там с сыном, покушать вкусную пиццу. Приветливый персонал.  есть детская комната, есть окошко с видом на улицу. По утрам шведский стол. Радует то что есть кнопка вызова официанта, которой например нет в другом ресторане!!!!</t>
  </si>
  <si>
    <t>Самое лучшее место, а нам есть с чем сравнивать. Очень вкусная еда, высочайший уровень сервиса, всё расскажут, посоветуют. Интерьер и музыка заслуживают отдельного внимания. Цены приятные для такого места. Буду советовать всем. Отдельная благодарность официантке, очень чуткая и внимательная. От посещения заведения остались только положительные эмоции! Желаю успехов и дальнейшего развития!</t>
  </si>
  <si>
    <t>Очень вкусно готовят, обширное меню . Отличное и внимательное обслуживание. Можно интересные фотки  сделать. Для этого есть национальные костюмы, уголок с жаровней. Остались только теплые впечатления.  Смело могу рекомендовать своим друзьям и родственникам</t>
  </si>
  <si>
    <t>Хорошее место. Пироги, чай, пиво достойные. Взяли три пирогана четверых, объелась еще два дня завтраками. С мясом немного острый был. Единственный минус долгое обслуживание.</t>
  </si>
  <si>
    <t>Вкусная еда, демократичная цена, приятные обстановка и интерьер. Обслуживание и подача в течение 15 минут, всё свежее. Рекомендую!</t>
  </si>
  <si>
    <t>Хороший баскетбольный корт с удобными местами для зрителей, диванами и столом. Кафешка на первом этаже, уютно, чисто Отличное покрытие-паркет, кольца Освещение тоже в порядке</t>
  </si>
  <si>
    <t>Внимательный персонал. Обслуживают быстро, несмотря на большое количество посетителей. Готовят очень вкусно.</t>
  </si>
  <si>
    <t>Отличное место покушать принять душ автомагазины шиномонтаж вс? под рукой</t>
  </si>
  <si>
    <t>Очень вкусно все было, жили три дня и питались в этом кафе. Всегда все вкусно и сытно! Спасибо!</t>
  </si>
  <si>
    <t>Очень рады что в заповеднике открыли замечательное кафе! Уютная атмосфера, приветливые сотрудники, разнообразие вкусных блюд, рекомендую к посещению и сами еще не раз вернёмся! ))</t>
  </si>
  <si>
    <t>С точки зрения продукта и еды, что ты получаешь- это абсолютное качество. Мало того что все свежее, так ещё и вкус каждого блюда просто отточен. Водоросли настоящие, а не то что обычно в японских ресторанах приносят. За маринованный имбирь, который приносят к суши просто душу можно отдать, моти нежнейшее от и до... Реально как сгонял, только все ближе ))) Обслуживание если вас будет обслуживать официантка будет высочайшим. Официант который был ещё что называется не але ))) В общем отличный настоящий японский ресторан, после которого почти всем японским модным ресторанам должно быть стыдно... Единственная некрасивая мелочь это заваленная бумагами и всякой канцелярщиной барная стойка. Но я так, докопаться Однозначно рекомендую. Я в следующий раз на омакасе сэт пойду...</t>
  </si>
  <si>
    <t>в данном заведении очень приятное обслуживание, вкусная еда!!</t>
  </si>
  <si>
    <t>В городе первый раз, после покатушки заехали покушать, еда вкусная, обслуживание отличное, всем рекомендую.</t>
  </si>
  <si>
    <t>Хороший магазин,всегда "затариваюсь" мясом,овощами,фруктами,выпечкой,рыбой,колбасой</t>
  </si>
  <si>
    <t>Очень любим заезжать в ресторан, еда вкуснее чем в кафешке, а главное можно быстро пообедать, что порой очень важно. В гипере цены не самые низкие, но большой ассортимент. Хлеб собственного производства недорогой и очень вкусный. Также мясной цех делает неплохую продукцию, паштет очень рекомендую)</t>
  </si>
  <si>
    <t>Все офигенно, вкусно и не дорого, всегда по возможности питаюсь тут, вкусный кофе, хороший ассортимент для полноценного приема пищи</t>
  </si>
  <si>
    <t>Большой ассортимент товаров,все всегда свежее,рекомендую</t>
  </si>
  <si>
    <t>Голодным точно не уйдешь, собственное производство! Свежесть гарантирована, вкусно, по ценам на любой карман что называется</t>
  </si>
  <si>
    <t>Большой ассортимент блюд, все свежее. Все смогут найти для себя чем порадовать, несколько касс, все быстро. Зал большой, чистый.</t>
  </si>
  <si>
    <t>Небольшой магазин, не из недорогих, выбор есть, интересные шоколадные конфеты своего производства. Судя по очереди, пользуется популярностью. Или это от того, что продуктовых магазинов в переулках не так много? Запарковаться есть где</t>
  </si>
  <si>
    <t>Очень вкусно! Порции огромные, все свежее, продукты натуральные, цены приемлемые, а персонал всегда приветлив и дружелюбен! Долго ходила на завтраки и обеды в другое место, но бороться с качеством сервиса надоело. Начала ходить сюда и это было лучшим решением!</t>
  </si>
  <si>
    <t>Пицца вкусная, доставка быстрая, напиток в подарок+ даже привезли роллы на пробу. Был там с сыном днем, нам очень понравилось, вежливый персонал.</t>
  </si>
  <si>
    <t>Брали императорский сет. Все ооочень вкусно. При заказе с собой скидка 10%. А вот суп фо никакой( но за суши ставлю 5 звезд</t>
  </si>
  <si>
    <t>С открытия заказываем здесь роллы, всегда вкусные и свежие. Готовят быстро, обычно за 30 минут управляются. Доставкой редко пользуемся,чаще самовывоз -удобнее.</t>
  </si>
  <si>
    <t xml:space="preserve">Кассир очень вежливая и с милой улыбкой . Роллы очень вкусные . В заведении чисто . Быстро готовят </t>
  </si>
  <si>
    <t xml:space="preserve">самые вкусные роллы и поке. заказываем только там. Хотя есть суши бар и в нашем ЖК, но это наше любимое заведение если хочется азиатской кухни. </t>
  </si>
  <si>
    <t>Очень понравилось кафе , уютно , много посадочных мест , хороший ассортимент блюд !</t>
  </si>
  <si>
    <t>И отдохнуть, и покушать вкусно, и массаж на кресле, и просветится про Чуйский тракт - все в одном месте. Очень понравилось</t>
  </si>
  <si>
    <t xml:space="preserve">Просто классное кафе!!!! Огромный выбор, всё дёшево и очень вкусно!!!! Помещение очень большое, единственное, что огорчило- это платный туалет, пусть плата и символическая, но всё равно неприятно! </t>
  </si>
  <si>
    <t>Неплохое место, туалеты чистые, но платные. Еда вкусная, но местами холодная(мажно конечно и подогреть, но об этом нужно думать/знать заранее. Рядом сразу супермаркет. Большая парковка есть уличные/бесплатные туалеты, но это экстрим</t>
  </si>
  <si>
    <t>Прекрасное разнообразное меню, хорошие цены и очень вкусные блюда, кафе детское без алкоголя, но очень вкусно, спасибо повару!</t>
  </si>
  <si>
    <t xml:space="preserve">Хорошее место, не ресторан конечно, я бы сказала кафе. Меню хорошее, много наверно восточных блюд, вкусно, рекомендую вам посетить. </t>
  </si>
  <si>
    <t>Интересное кафе, в основном там молодеж питается. Цены и атмосфера приятные)) роллы мне не понравились, вкусный чай и пицца!</t>
  </si>
  <si>
    <t xml:space="preserve">обожаю это место! заказы выдают быстро и цена отличная, еда тоже вполне вкусная, подача замечательная, интерьер тоже хорош. из минусов: зона самообслуживания, там огромная очередь и работает только одна касса, а из основной всегда ссылают идти именно туда </t>
  </si>
  <si>
    <t>Пожалуй лучшее кафе, где готовят очень вкусно и не дорого! Познакомился с кафе давно - наверное года 4 назад. Любимые блюда: 1. Блинчики! Не зависимо с какой начинкой! Они просто великолепны! Просто пальчики оближешь! 2. Солянка. Ммммм. Правда на неё не всегда попадаю, т.к. она готовится по определенным дням, а день не запоминаю, т.к. прихожу поесть всегда набегом. Кроме солянки, отличный борщ, сыыыырный мммм, вкуснятина! 3. Роллы... Они тут очень вкусные и дешевле чем в других заведениях 4. Морсы, пицца, салаты, кофе, десерты - всё вкусно! Кстати сходил с женой во второе кафе... Так там ещё круче - выглядит как ресторан, там самообслуживания уже нет, официанты принесут заказанные блюда к вашему столику. Ну прям очень круто! Сервис на высоте! Гостям нашего города порекомендовал идти именно туда. Спасибо большое!</t>
  </si>
  <si>
    <t>Из положительного: дешевые цены на углеводные блюда (блины, рис-суши, пицца) и напитки, ценник для мам в декрете, пенсионеров, и :) ипотечников. Гурманы в такое место конечно не пойдут, но такова концепция кафе, ведь это вроде даже и кафе - приборы приносят еда не в пластике. Красивый интерьер, новая посуда Из минусов показалось что жирная поверхность стола, пришли, но свободных мест было мало, сели за неубранный - официант забрала посуду, но стол не протерла. Но может ,я конечно, ошибаюсь и мне самой нужно было протереть стол по концепции этого кафе. Схожу еще раз туда, узнаю. Место показалось интересным, из углеводного меню попробовано еще не все.</t>
  </si>
  <si>
    <t xml:space="preserve">В общем неплохо Был на Центр города Есть  выбор Пицца, роллы, кофе Цена невысокая 64 руб за любую позицию Не понравилось расположение столиков Пицца к сожалению подкачала( тесто не то) зато фри понравилась(свежая) </t>
  </si>
  <si>
    <t xml:space="preserve">Лучшие булочки с корицей и шоколадом в мире! Кофе тоже не высоте))) ооочень вкусно и калорийно) анорексичным курам с диетами не сюда! </t>
  </si>
  <si>
    <t xml:space="preserve">Тёплое уютное кафе прямо в середине. Здесь всегда есть народ, но никогда нет толкучки. В плане атмосферы всё очень просто, по-домашнему. Синнабоны бесподобны, кофе очень приличный, в меню есть и несладкие блюда. Цена умеренная, что редкость для центра. </t>
  </si>
  <si>
    <t>Вкусная пицца, все салаты, которые заказывали, очень понравились. Скумбрия была просто супер. Детская комната небольшая, но довольно уютная. Детей хорошо видно через окна между основным залом и детской комнатой. Вечером свободных мест практически не бывает. Так что если планируете посетить - заказывайте столик.</t>
  </si>
  <si>
    <t>Отличная пиццерия с итальянской кухней. Есть детская комната с почасовой оплатой, где ребенок будет под присмотром администратора. Хорошее детское меню. Есть сезонные десерты и напитки, которые предлагают отдельно. Красивая  посуда и подача блюд. Все приготовлено из качественных продуктов. Разнообразные  десерты. В зале помимо официантов все время присутствует администратор - очень приятная девушка, может поэтому и официанты всегда вежливы и внимательны. Пицца готовится в печи, которая расположена за стойкой в основном зале. Однозначно рекомендую посетить это место всем любителям итальянской кухни</t>
  </si>
  <si>
    <t xml:space="preserve">Прекрасное место как для уютной небольшой встречи, так и для посиделки с подругами. Отдельный плюсик за детскую комнату. По кухне тоже все супер, меню интересное, вкусное. И персонал милый </t>
  </si>
  <si>
    <t xml:space="preserve">Заходил сегодня в районе 17 часов дня Сотрудники улыбчивые предлагают помощь,но не назойливо,по рекомендации сотрудника взял попробовать пиццу ниже приложу фото сравнения из меню  и  фотографии сделаной мною На вкус все супер мне очень понравилось а если говорить честно то это самая вкусная пицца из все что я пробовал </t>
  </si>
  <si>
    <t>Спасибо за очень вкусный тортик Наполеон с заварным кремом, главное понравился детям. Хорошее заведение, очень выручает, если пришли гости и нужно что- нибудь вкусное приготовить, а времени нет.</t>
  </si>
  <si>
    <t>Отличный выбор первых, вторых блюд, гарниров, закусок и салатов. Когда мнёт времени или не успели что-то приготовить, всегда заезжаем. Особенно суп для ребёнка, очень нравится. В зависимости от времени посещения очередь бывает даже довольно большой, но на приёме заказов работают оперативно, ждать не особо долго даже при большом количестве людей. Всё, что на ветрине, довольно вкусно. Цена, конечно, выше чем в гипермаркетах,хотя не так сильно, но это стоит того. Советуем. Разочарованы не будете точно!</t>
  </si>
  <si>
    <t xml:space="preserve">Добрый день! Хочу оставить отзыв о данном ресторане. Сравнительно недавно переехала в данный район, а уже нашла любимое местечко где можно проводить встречи с друзьями и банкеты. Зашли поужинать с подружками, были приятно удивлены. Интерьер невероятный, очень уютно и комфортно, можно выбрать любой зал. Заказывала брускетты, салат, пасту, очень все вкусно, особенно брускетты и салат цезарь думаю теперь буду вместо ужина почаще заходить в это уютное местечко. Кстати, блюда долго ждать не пришлось, все очень быстро подали. Ну и так же без внимания не оставил нас официант, так как сидели в зале веранды, за отдельным столом. </t>
  </si>
  <si>
    <t>Супер крутая кухня! Супер-мега крутое обслуживание! Официанты чудесные, чуткие, вежливые и доброжелательные! Интерьер бомба! Очень приятно, комфортно и вкусно!</t>
  </si>
  <si>
    <t>Уютное заведение. В данном районе одно из лучших. Вкусно, быстро...</t>
  </si>
  <si>
    <t xml:space="preserve">Самые-самые лучшие пирожки , как дома , всё свежее всегда. </t>
  </si>
  <si>
    <t>Очень хорошее место, особенно когда вы с детьми. Для детей очень интересная игровая зона, + иногда проводят бесплатные мастер-классы для детей (как раз мы попали на такой). Большой выбор в меню. Всё вкусно, но пару нюансов было по блюдам (видимо, авторские интерпритации шефа))). В пицце с сыром и грушей по меню указано, что груша карамелизованная. В итоге, она то, может, и карамелизованная, но как-будто вымоченная или в соке или в вине, т.к. груша свекольного цвета, ну и вкус у неё непонятный, странный какой-то. У ребёнка такая пицца - любимая, но тут грушу пришлось убирать с пиццы. Как по мне - в целом ничего, но ела такую пиццу и вкуснее,  лучше обычную грушу в пицце использовать. Из десертов не поняла их панна-котту с базиликом и клубничным соусами: сама панна-котта не лучшего исполнения, я люблю когда она не сильно похожа на упругое желе, поэтому мне бы поменьше в десерте желатина/агара; и базиликовый соус (хотя я такое люблю, но в других сочетаниях) мне тут показался ненужным и лишним. Опять же - ребёнок очень любит панна-котту (но в классическом исполнении) - тут попробовала и отказалась есть. Салаты вкусные. В целом место понравилось, красивое, уютное, с детьми - отлично. В другой раз буду пробовать другие блюда из меню. Приятное обслуживание.</t>
  </si>
  <si>
    <t>Кафе очень популярно. Удачно расположено, рядом с остановкой транспорта. Работники кафе приветливые и улыбчивые. Обслуживание хорошее и быстрое. Вкусная свежая еда</t>
  </si>
  <si>
    <t>Очень любим это кафе,практисески,каждый раз заходим в него после прогулки по парку. Это не просто кафе, а кафе - музей! Очень атмосферная обстановка! Есть, что посмотреть. И можно перекусить вкусной пиццей, выпить чаю или кофе. Здесь проводятся разные мастер-классы, бывают концерты. Мы желаем процветания, удачи и новых свершений!</t>
  </si>
  <si>
    <t>Кафе-музей. Уютно, интересно посмотреть на разные исторические предметы быта и инструменты. Гостеприимно встретили, вкусно накормили пиццей. Пицца печ?тся в дровяной печи, и поэтому у теста особенный вкус. Вкуснейшее мясо прошутто, с натуральным песто и т?ртыми помидорами! Стоила пицца около 600 руб. Ингредиенты запомнились качеством, вкусом, изысканностью.Также в этом кафе проходят различные мастер-классы. Находится рядом с парком.</t>
  </si>
  <si>
    <t>Ещё на подходе к кафе ощутили запах печи и сдобы. Очень вкусная пицца с грушей и горгондзолой. Идеальное тесто, тонко нарезаные груши, сыр с плесенью, и все это приготовленное в печи на дровах, что даёт особенный аромат. Уютный интерьер, собранный из старинных вещей. Было приятно погулять по парку и зайти погреться)</t>
  </si>
  <si>
    <t>Приятное место, атмосфера старины, отличная пицца. Есть стоянка. Можно купить винтажные вещицы - фарфоровую и металлическую посуду. Тут проводятся культурные мероприятия, например, концерты джаза, вход на них бывает платный, нужно записываться.</t>
  </si>
  <si>
    <t>Пицца на дровах вкусная, обстановка кафе интересная, пока ждёшь заказ можно рассмотреть старые вещи, которыми обставлен интерьер), обслуживание было вежливым и быстрым.</t>
  </si>
  <si>
    <t xml:space="preserve">Отлично. Всем советую, уютно, камфортно, незабываемо!! Молодцы!!!! </t>
  </si>
  <si>
    <t>Местоположение хорошее, все в зелени, обстановка крутая, много интересных и крутых предметов старины (вряд ли где еще такое увидишь), можно пройтись по кафешке как по музею,  так же на улице посидеть  на скамейке выпить кофе и сделать красивые незабываемые фото. Правда с кухней прям беда, кроме пиццы толком ничего нет, в меню указаны салаты, супы, но за два моих посещения..... Увы... ни разу в наличие ничего не было, то же можно сказать и про пиво и соки... то закончилось... то последнее. А в общем для одного раза посмотреть ....</t>
  </si>
  <si>
    <t>Влюбились в это место! Невероятная, камерная атмосфера и очень, очень стильный интерьер, много винтажной посуды, можно сидеть и рассматривать всякие интересные предметы. Каждый подоконник декорирован чем-то необычным. Отдельное спасибо официантке за изумительное обслуживание! Счёт приносят в лакированных шкатулочках! Пицца вкусная, кофе отменный, туалет - это вообще отдельная тема, произведение искусства! Обязательно придём ещё!</t>
  </si>
  <si>
    <t>Пиццу не пробовали, не голодные были, выпечка очень очень низкого качества. Молодец только владелец, такую любопытную коллекцию собрал  интерьер супер, уютно и не хочется уходить</t>
  </si>
  <si>
    <t>Пиццу не употребляю, но территория удивила. На любителя, но мне очень понравились и кошки во дворе и телега с цветочками и лампы, самовары в самом помещении... Рекомендую к посещению, если будете мимо проезжать.</t>
  </si>
  <si>
    <t>Красивущее место) очень антуражно и при этом вкуснейшая пицца !) Пробовали 4сыра и груша/горгонзола и нам очень понравилось! Для малыша принесли чудесный старинный стульчик). Обязательно вернёмся чтобы попробовать всё то, что не успели)</t>
  </si>
  <si>
    <t>Уже второй раз посещаем зоопарк. Цена 350 рублей. Животные и экскурсовод просто шедевр. Очень интересно было и познавательно. Остаёмся здесь обедать. Очень вкусно варенники с творогом. Закупились здесь творогом, молоком, яйцами. Ви этом году построили горку, беседку, молодцы. Детей еле оторвали. Было бы прикольно, если бы были услуги поухаживать за животными, возможность подоить коров или коз. Рекомендую посетитьпосетить в мае, обещали что добрые животные будут гулять свободно и прям у, входа ходить павлины,</t>
  </si>
  <si>
    <t>Очень нравится это место, были три раза, в разное время года, особенно приятно отдохнуть с детьми. Есть на что посмотреть, кафе, ремесленная лавка. Всё организованно, колоритно. Только дорога подводит((( но это от т парка не зависит.</t>
  </si>
  <si>
    <t>Невероятно уютное место, где не просто предложат вкуснейший стейк из оленя, но и посоветуют к нему палитру подходящих именно к этому вкусу напитков на выбор..причем, к каждому напитку бонусом идет история про то, откуда эта бутылка, кем был придуман тот или иной вид джина или виски. По-моему, тут нет ни одной бутылки в баре, про которую бармен не смог бы рассказать увлекательную историю! Десять баллов из пяти, правда!</t>
  </si>
  <si>
    <t>Хорошее, уютное место .И для романтики ,и с детьми посидеть,и с подружками .Обеды очень вкусные Девочки приветливы,всегда вежливы.Дклаю этому кафе процветания.</t>
  </si>
  <si>
    <t>Приятное, уютное местечко для обеда.</t>
  </si>
  <si>
    <t xml:space="preserve">Все как всегда очень вкусно, частенько к вам заходим) но к сожалению не всегда попадаем на девушку светленькую которая, очень милая и привлекательная девушка, вежливо обслуживает,что не скажешь о другой девушки , постоянно чем то не довольная,грубит и редко бывает на рабочем месте,в ее смену стараемся не приходить. А в целом все супер,так держать,вы умнички </t>
  </si>
  <si>
    <t>Авто - это отличный вариант для тех, кто хочет перекусить в дороге. Здесь можно заказать вкусные и сытные блюда из курицы. Заказ можно сделать через специальный терминал или через окно. Обслуживание быстрое и дружелюбное. Еда всегда горячая.</t>
  </si>
  <si>
    <t>Комфортно, очень уютно, готовят очень вкусно, и классная атмосфера, огромное спасибо!</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</si>
  <si>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</si>
  <si>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</si>
  <si>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</si>
  <si>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</si>
  <si>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</si>
  <si>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</si>
  <si>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</si>
  <si>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</si>
  <si>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</si>
  <si>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</si>
  <si>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</si>
  <si>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</si>
  <si>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</si>
  <si>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</si>
  <si>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</si>
  <si>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</si>
  <si>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</si>
  <si>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</si>
  <si>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</si>
  <si>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</si>
  <si>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</si>
  <si>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</si>
  <si>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</si>
  <si>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</si>
  <si>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</si>
  <si>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</si>
  <si>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</si>
  <si>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</si>
  <si>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</si>
  <si>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</si>
  <si>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</si>
  <si>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</si>
  <si>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</si>
  <si>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</si>
  <si>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</si>
  <si>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</si>
  <si>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</si>
  <si>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</si>
  <si>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</si>
  <si>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</si>
  <si>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</si>
  <si>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</si>
  <si>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</si>
  <si>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</si>
  <si>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</si>
  <si>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</si>
  <si>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</si>
  <si>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</si>
  <si>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</si>
  <si>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</si>
  <si>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</si>
  <si>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</si>
  <si>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</si>
  <si>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</si>
  <si>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</si>
  <si>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</si>
  <si>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</si>
  <si>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</si>
  <si>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</si>
  <si>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</si>
  <si>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</si>
  <si>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</si>
  <si>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</si>
  <si>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</si>
  <si>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</si>
  <si>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</si>
  <si>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</si>
  <si>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</si>
  <si>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</si>
  <si>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</si>
  <si>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</si>
  <si>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</si>
  <si>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</si>
  <si>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</si>
  <si>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Орын жақсы жерде орналасқан, табу оңай болды. Іші де таза, үстелдер жинақы екен.</t>
  </si>
  <si>
    <t>Тапсырысымда бір бургер жетіспей қалды. Оның үстіне орын бізге біраз алыс орналасқан, қайта бару ыңғайсыз болды.</t>
  </si>
  <si>
    <t>Іші онша таза емес сияқты, үстел үстінде қоқымдар қалып кеткен. Бірақ орналасқан жері ыңғайлы екен.</t>
  </si>
  <si>
    <t>Заказды дұрыс жинап берді, ештеңе ұмытпаған. Соус, сусын, бәрі өз орнында болды.</t>
  </si>
  <si>
    <t>Ресторан жақсы жерде тұр, бірақ ішіндегі тазалық көңілден шықпады. Еден лас, үстел дұрыс сүртілмеген.</t>
  </si>
  <si>
    <t>Тапсырысым толық келді, бәрі чектегідей болды. Осындайда еш уайымсыз тамақтанады екенсің.</t>
  </si>
  <si>
    <t>Орналасқан жері тым алыс, арнайы баруға онша ыңғайсыз. Бірақ ішіне кіргенде таза әрі тыныш болды.</t>
  </si>
  <si>
    <t>Заказда пиццаны ұмытып кетіпті, тек сусын мен картопты ғана әкелді. Осындай қателік көңіл-күйді түсірді.</t>
  </si>
  <si>
    <t>Іші таза, жағымсыз иіс жоқ, ыдыстары да жақсы жуылған сияқты. Гигиена жағынан ұнады.</t>
  </si>
  <si>
    <t>Тапсырыс дұрыс келді, бірақ үстеліміз лас болды. Қызметкерден сүртіп беруін сұрауға тура келді.</t>
  </si>
  <si>
    <t>Жері ыңғайлы, аялдамаға жақын орналасқан. Бірақ дәретхана таза емес екен, осы жағы ұнамады.</t>
  </si>
  <si>
    <t>Бәрін дұрыс салып беріпті, ештеңе шатастырмаған. Тапсырысты ашқанда бәрі толық тұрғанына қуандым.</t>
  </si>
  <si>
    <t>Орынды табу қиын болды, кіреберісі де анық көрінбейді. Іші таза болғанымен, орналасуы ыңғайсыздау.</t>
  </si>
  <si>
    <t>Заказда басқа сусын салып жіберіпті, мен мүлде басқа нәрсе таңдаған едім. Ұсақ нәрсе болса да, жағымсыз әсер қалдырды.</t>
  </si>
  <si>
    <t>Кафенің іші мұнтаздай таза, үстелдер де тез жиналып жатыр. Тамақтануға сенімді орын сияқты көрінді.</t>
  </si>
  <si>
    <t>Орналасқан жері жақсы, орталыққа жақын. Бірақ тапсырысымда бір соус жетіспеді, соны байқап қалдым.</t>
  </si>
  <si>
    <t>Тазалық орташа ғана, қатты лас емес, бірақ үстелдерде іздер қалыпты. Кішкене мұқият болса жақсы болар еді.</t>
  </si>
  <si>
    <t>Тапсырысымды дәл дайындап берді, тіпті “ащы қоспаңыз” дегенімді де ескерген. Бұл жағы қатты ұнады.</t>
  </si>
  <si>
    <t>Орын үйге жақын болған соң кіріп едім, бірақ іші таза емес екен. Қоқыс жәшігі толып тұрғаны бірден көзге түсті.</t>
  </si>
  <si>
    <t>Заказ толық болды, бірақ пакет ішіндегі заттар ретсіз салынған. Ештеңе жоғалмаған, бірақ ұқыптырақ жинаса жақсы.</t>
  </si>
  <si>
    <t>Жақсы жерде орналасқан, жолдан көрініп тұр. Іші де таза, тыныш отырып тамақтануға болады.</t>
  </si>
  <si>
    <t>Тапсырысым мүлде басқа болып келді. Оның үстіне орын алыс болғандықтан, қайта барып ауыстыру қиын болды.</t>
  </si>
  <si>
    <t>Дәретхана таза, сабын мен қағаз да бар екен. Осындай ұсақ нәрселер жалпы әсерді жақсартады.</t>
  </si>
  <si>
    <t>Орын ыңғайлы жерде, бірақ заказда картоп орнына басқа гарнир салып жіберіпті. Жалпы жаман емес, бірақ қателік болды.</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</si>
  <si>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</si>
  <si>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</si>
  <si>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</si>
  <si>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</si>
  <si>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</si>
  <si>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</si>
  <si>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</si>
  <si>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</si>
  <si>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</si>
  <si>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</si>
  <si>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</si>
  <si>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</si>
  <si>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</si>
  <si>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</si>
  <si>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</si>
  <si>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</si>
  <si>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</si>
  <si>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</si>
  <si>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</si>
  <si>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</si>
  <si>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</si>
  <si>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</si>
  <si>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</si>
  <si>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</si>
  <si>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Ресторан расположен в хорошем месте, найти его было легко. Внутри тоже чисто, столы аккуратно убраны.</t>
  </si>
  <si>
    <t>В заказе забыли положить пиццу, хотя в чеке она была. Еще и место находится далеко, возвращаться было неудобно.</t>
  </si>
  <si>
    <t>Локация удобная, рядом остановка, но внутри было грязновато. Стол пришлось просить протереть отдельно.</t>
  </si>
  <si>
    <t>Заказ собрали правильно, ничего не перепутали. Все блюда, напитки и соусы были на месте.</t>
  </si>
  <si>
    <t>Место хорошее, почти в центре, но чистота внутри разочаровала. Пол был грязный, а стол липкий.</t>
  </si>
  <si>
    <t>Пиццу забыли положить, принесли только напиток и картошку. Из-за такой ошибки впечатление сразу испортилось.</t>
  </si>
  <si>
    <t>Внутри очень чисто, неприятных запахов нет. Видно, что за залом нормально следят.</t>
  </si>
  <si>
    <t>Найти заведение было сложно, вывеска плохо видна. Зато заказ отдали полностью и без ошибок.</t>
  </si>
  <si>
    <t>Ресторан находится рядом с домом, это удобно. Но туалет был не очень чистый, что сильно испортило впечатление.</t>
  </si>
  <si>
    <t>Вместо моего напитка положили другой. Вроде мелочь, но заказ уже не такой, как я просил.</t>
  </si>
  <si>
    <t>Заведение расположено удобно, прямо у дороги, заметить легко. Внутри чисто и спокойно.</t>
  </si>
  <si>
    <t>Заказ пришел полный, но все в пакете было сложено неаккуратно. Плюс стол в зале был плохо протерт.</t>
  </si>
  <si>
    <t>Чистота средняя: прямо грязно не было, но на столах оставались следы. Хотелось бы больше аккуратности.</t>
  </si>
  <si>
    <t>Заказ собрали с ошибкой, не положили соус и салат. А ресторан еще и далеко находится, поэтому возвращаться не хотелось.</t>
  </si>
  <si>
    <t>Локация очень удобная, есть место для парковки. Внутри тоже чисто, все выглядит аккуратно.</t>
  </si>
  <si>
    <t>Ресторан стоит в хорошем месте, но внутри чистота не понравилась. На полу были крошки и мусор возле столов.</t>
  </si>
  <si>
    <t>Заказ сделали точно, даже мой комментарий учли. Просил без острого соуса, и действительно его не добавили.</t>
  </si>
  <si>
    <t>Место найти легко, расположение удобное. Но в туалете не было бумаги и в целом было не очень чисто.</t>
  </si>
  <si>
    <t>Вместо двух порций положили только одну. Пришлось разбираться, хотя заказ был оформлен правильно.</t>
  </si>
  <si>
    <t>Заведение уютное, расположено удобно, внутри чисто. По локации и гигиене все оставило хорошее впечатление.</t>
  </si>
  <si>
    <t>Кафе жолдың бойында тұр, алыстан-ақ көрінеді. Ішіне кіргенде де бәрі жинақы, орындықтар таза екен.</t>
  </si>
  <si>
    <t>Тапсырысымда фри болу керек еді, бірақ пакеттен шықпады. Үйге келген соң ғана байқап, көңілім қалды.</t>
  </si>
  <si>
    <t>Орынның орналасуы ыңғайсыздау, көлікпен бармасаң қиындау екен. Бірақ ішіндегі тазалық жақсы деңгейде болды.</t>
  </si>
  <si>
    <t>Заказды шатастырып, мен сұрамаған бургерді салып жіберіпті. Дұрыс тексермегендері көрініп тұр.</t>
  </si>
  <si>
    <t>Іші жарық әрі таза, үстелдердің үстінде ешқандай дақ байқамадым. Тамақтануға жайлы жер екен.</t>
  </si>
  <si>
    <t>Мекенжайы картада дұрыс көрсетілмеген сияқты, біраз айналып жүріп таптық. Осы жағын түзетсе жақсы болар еді.</t>
  </si>
  <si>
    <t>Тапсырыс толық болды, қосымша соустарды да ұмытпапты. Бұрынғыдай қайта тексеріп әуре болған жоқпын.</t>
  </si>
  <si>
    <t>Дәретханада қағаз жоқ, қол жуатын жерде де тазалық онша емес болды. Жалпы әсерді осы нәрсе бұзды.</t>
  </si>
  <si>
    <t>Кафе аялдамаға жақын орналасқан, сабақтан кейін кіріп шығуға ыңғайлы. Іші де таза, жағымсыз иіс жоқ.</t>
  </si>
  <si>
    <t>Мен сусынды қантсыз деп сұраған едім, бірақ кәдімгі тәттісін беріп жіберген. Ұсақ нәрсе болса да, тапсырыс дұрыс орындалмады.</t>
  </si>
  <si>
    <t>Залдың іші таза көрінді, бірақ терезе жақтағы үстелде шаң бар екен. Кішкене мұқият қараса жақсы болар еді.</t>
  </si>
  <si>
    <t>Орны тым тығылып қалған сияқты, бірінші рет келген адамға табу қиын. Белгісі анық көрінбейді.</t>
  </si>
  <si>
    <t>Бәрін чектегідей салып берді, ештеңе артық та, кем де емес. Тапсырыс жағынан шағым жоқ.</t>
  </si>
  <si>
    <t>Пакет ішінде басқа адамның тапсырысы жүр екен. Біздікін ауыстырып жіберген сияқты, өте ыңғайсыз болды.</t>
  </si>
  <si>
    <t>Іші таза, едені жуылған, қоқыс жәшіктері де толып тұрмаған. Гигиена жағы ұнады.</t>
  </si>
  <si>
    <t>Орын орталықта орналасқанымен, көлік қоятын жер табу қиын болды. Келу жағынан сәл қолайсыз екен.</t>
  </si>
  <si>
    <t>Тапсырыста бір тағам артық салынып кетіпті, ал мен сұраған салат жоқ болды. Жинағанда мұқият болмаған.</t>
  </si>
  <si>
    <t>Ас құралдары таза, стақандарда да із жоқ. Осындай нәрселерге мән бергендері көрінеді.</t>
  </si>
  <si>
    <t>Кафе үйге жақын, тез барып алуға ыңғайлы. Бірақ өткенде үстелдер жиналмай, біраз лас болып тұрды.</t>
  </si>
  <si>
    <t>Заказдағы барлық позиция дұрыс келді, тіпті арнайы жазған өтінішімді де орындапты. Бұл жағы қуантты.</t>
  </si>
  <si>
    <t>Ішінде адамдар көп болса да, тазалық сақталған. Үстел босай салысымен бірден жинап жатты.</t>
  </si>
  <si>
    <t>Мекеме жақсы жерде емес, кешке қарай жету қиын, айналасы да қараңғылау. Қауіпсіздік жағынан ұнамады.</t>
  </si>
  <si>
    <t>Тапсырыста соус орнына басқа түрін беріпті. Маған қатты маңызды емес, бірақ бәрібір қате ғой.</t>
  </si>
  <si>
    <t>Дивандардың үсті таза емес сияқты, майда қоқымдар қалып кеткен. Отырмас бұрын өзім сүртіп алдым.</t>
  </si>
  <si>
    <t>Орын сауда орталығының ішінде болғандықтан табу оңай. Тапсырыс та дұрыс берілді, бәрі толық болды.</t>
  </si>
  <si>
    <t>Заказымда нан жетіспеді, ал сорпаға ол міндетті түрде кіру керек еді. Осындай майда қате де әсер етеді.</t>
  </si>
  <si>
    <t>Тазалық орташа деңгейде, қатты лас емес, бірақ үстел астында қоқыс жатты. Балалармен келуге онша ыңғайлы емес сияқты.</t>
  </si>
  <si>
    <t>Кафе кең жерде орналасқан, кіреберісі анық, адаспай кірдік. Іші де ұқыпты, тыныш атмосфера болды.</t>
  </si>
  <si>
    <t>Тапсырысты дұрыс дайындаған, бірақ пакетке салғанда сусын төгіліп кетіпті. Жинау жағына көбірек мән беру керек.</t>
  </si>
  <si>
    <t>Зал таза, ыдыстар жақсы жуылған, қол жуатын жерде сабын да бар. Гигиена жағынан сенімді әсер қалдырды.</t>
  </si>
  <si>
    <t>Орын жолға жақын екен, кіріп шығуға ыңғайлы болды. Іші де жинақы, үстелдер таза тұрды.</t>
  </si>
  <si>
    <t>Тапсырысымда сусын болу керек еді, бірақ мүлде салмапты. Үйге келгенде ғана көріп, ренжіп қалдым.</t>
  </si>
  <si>
    <t>Кафенің орналасқан жері жақсы, бірақ ішіндегі тазалық онша емес. Терезе жақтағы үстелде дақтар қалыпты.</t>
  </si>
  <si>
    <t>Заказ толық келді, ештеңе шатаспаған. Қосымша сұраған соусты да ұмытпапты.</t>
  </si>
  <si>
    <t>Орынды табу қиын болды, кіреберісі бірден көрінбейді. Бірінші рет барған адам біраз іздеп қалуы мүмкін.</t>
  </si>
  <si>
    <t>Іші таза, ауа да жақсы, жағымсыз иіс байқалмады. Гигиена жағынан көңілімнен шықты.</t>
  </si>
  <si>
    <t>Тапсырыста бургердің орнына басқа тағам салып жіберген. Чек дұрыс, бірақ пакет ішіндегі зат басқа болып шықты.</t>
  </si>
  <si>
    <t>Кафе аялдамаға жақын орналасқан, осы жағы ыңғайлы. Бірақ үстеліміз толық тазаланбаған сияқты болды.</t>
  </si>
  <si>
    <t>Тапсырысты дұрыс дайындапты, барлық позиция бар. Артық сұрақсыз алып кете салдым.</t>
  </si>
  <si>
    <t>Іші сырттай әдемі көрінеді, бірақ еденде майда қоқыс жатты. Тазалыққа көбірек қараса жақсы болар еді.</t>
  </si>
  <si>
    <t>Орналасуы ыңғайлы, жолдан бірден көрінеді. Көлікпен де, жаяу да баруға болады.</t>
  </si>
  <si>
    <t>Заказда екі соус болу керек еді, біреуін ғана салыпты. Ұсақ нәрсе сияқты, бірақ бәрібір қате.</t>
  </si>
  <si>
    <t>Ас құралдары таза, стақандар да жақсы жуылған екен. Осындай нәрселер бірден сенім береді.</t>
  </si>
  <si>
    <t>Орын тым шетте орналасқан, арнайы бару ыңғайсыз. Жақын жерде болмаса, қайта бармайтын шығармын.</t>
  </si>
  <si>
    <t>Тапсырысым дәл шықты, тіпті “ащы қоспаңыз” деген өтінішімді де орындаған. Бұл жағы ұнады.</t>
  </si>
  <si>
    <t>Дәретханада тазалық нашарлау болды, қағаз да жоқ екен. Жалпы әсерім осыдан кейін төмендеп кетті.</t>
  </si>
  <si>
    <t>Кафе жақсы жерде тұр, жанынан өтіп бара жатып оңай кіре саласың. Іші де таза әрі тыныш болды.</t>
  </si>
  <si>
    <t>Мен картоп сұраған едім, бірақ пакетте ол жоқ болып шықты. Тапсырысты жинағанда тексермеген сияқты.</t>
  </si>
  <si>
    <t>Үстелдер босай салысымен жинап жатыр екен. Адам көп болса да, зал таза көрінді.</t>
  </si>
  <si>
    <t>Локациясы онша ыңғайлы емес, айналасында көлік қою қиын. Ішіндегі тазалығы жақсы болғанымен, жету жағы қиын.</t>
  </si>
  <si>
    <t>Тапсырыс толық болды, бірақ бәрін бір пакетке ретсіз тығып жіберген. Ештеңе жоғалмаған, бірақ ұқыпсыз көрінді.</t>
  </si>
  <si>
    <t>Ішінде тазалық бар, орындықтар да таза, үстелде майлы із жоқ. Тамақтануға жайлы әсер қалдырды.</t>
  </si>
  <si>
    <t>Орын картада дұрыс белгіленбеген сияқты, басқа жаққа апарып тастады. Біраз уақыт жоғалттық.</t>
  </si>
  <si>
    <t>Заказда басқа сусын беріп жіберіпті. Мен таңдаған сусын емес екенін үйге келген соң байқадым.</t>
  </si>
  <si>
    <t>Қол жуатын жерде сабын бар, бәрі таза ұсталған. Мұндай ұсақ нәрселер өте маңызды.</t>
  </si>
  <si>
    <t>Кафе үйге жақын болғаны ыңғайлы, бірақ ішіндегі қоқыс жәшігі толып кетіпті. Тазалық жағы сәл әлсіз болды.</t>
  </si>
  <si>
    <t>Тапсырысты чектегідей жинаған, ештеңе кем емес. Соңғы кезде мұндай дәлдік сирек кездеседі.</t>
  </si>
  <si>
    <t>Орынның маңайы тар, кіретін жері де ыңғайсыздау. Бірақ ішке кіргенде бәрі таза әрі ұқыпты екен.</t>
  </si>
  <si>
    <t>Бір тағамды мүлде ұмытып кетіпті, қалғаны ғана келген. Осындай қате үшін қайта хабарласуға тура келді.</t>
  </si>
  <si>
    <t>Залда жағымды тазалық сезіледі, үстелдер де, еден де таза. Орналасуы да жаман емес, жалпы ыңғайлы жер екен.</t>
  </si>
  <si>
    <t>Орналасқан жері қалыпты, табу қиын болған жоқ. Ішіндегі тазалық та орташа деңгейде.</t>
  </si>
  <si>
    <t>Тапсырысымда бәрі дұрыс сияқты болды, артық немесе кем нәрсе байқамадым.</t>
  </si>
  <si>
    <t>Кафе жолға жақын орналасқан, кіріп шығуға болады. Іші де жалпы жинақы көрінді.</t>
  </si>
  <si>
    <t>Үстелдер таза болды деп айтуға болады, бірақ ерекше бір әсер қалдырмады.</t>
  </si>
  <si>
    <t>Заказдағы позициялар чектегімен сәйкес келді. Барлығы әдеттегідей өтті.</t>
  </si>
  <si>
    <t>Орынды карта арқылы оңай таптым, орналасуы жаман емес.</t>
  </si>
  <si>
    <t>Ішінде қатты лас нәрсе көрмедім, жалпы қарапайым тазалық сақталған.</t>
  </si>
  <si>
    <t>Тапсырыс толық берілді, ештеңе сұрап қайта баруға тура келмеді.</t>
  </si>
  <si>
    <t>Локациясы орташа, арнайы ыңғайлы деп айтпас едім, бірақ жетуге болады.</t>
  </si>
  <si>
    <t>Залдың тазалығы қалыпты, үстел мен орындықтар қолдануға жарамды болды.</t>
  </si>
  <si>
    <t>Заказды алған кезде бәрі дұрыс сияқты көрінді, кейін де қате байқалмады.</t>
  </si>
  <si>
    <t>Орын бірден көзге түсе қоймайды, бірақ іздесең табуға болады.</t>
  </si>
  <si>
    <t>Іші әдеттегі кафе сияқты, тазалығы да стандартты деңгейде.</t>
  </si>
  <si>
    <t>Тапсырысымда негізгі тағамдар түгел болды, соус пен сусын да орнында екен.</t>
  </si>
  <si>
    <t>Орналасуы аса ерекше емес, бірақ жолдан қатты алыс та емес.</t>
  </si>
  <si>
    <t>Ас құралдары таза көрінді, осы жағынан сұрақ болған жоқ.</t>
  </si>
  <si>
    <t>Тапсырысты дұрыс жинап берген сияқты, бәрі пакет ішінде болды.</t>
  </si>
  <si>
    <t>Кіреберісі қалыпты, мекенжай бойынша табуға болады.</t>
  </si>
  <si>
    <t>Үстелді біз отырғанға дейін жинап қойған екен, жалпы бәрі дұрыс болды.</t>
  </si>
  <si>
    <t>Заказ бойынша ешқандай түсініспеушілік болған жоқ, бәрі жай ғана қалыпты өтті.</t>
  </si>
  <si>
    <t>Орынның орналасуы маған ыңғайлы да, ыңғайсыз да емес болып көрінді.</t>
  </si>
  <si>
    <t>Залда тазалық орташа, қатты мін тағатын нәрсе байқамадым.</t>
  </si>
  <si>
    <t>Тапсырысымда не жазылса, соны берген сияқты. Ерекше пікір жоқ.</t>
  </si>
  <si>
    <t>Кафе көп жүретін жерде емес, бірақ баруға болады.</t>
  </si>
  <si>
    <t>Ішінде жағымсыз иіс болған жоқ, тазалығы қалыпты деңгейде.</t>
  </si>
  <si>
    <t>Заказда бәрі толық келді, тек жай ғана стандартты жинақталған.</t>
  </si>
  <si>
    <t>Орынды табу үшін біраз қарадым, бірақ жалпы қиындық болған жоқ.</t>
  </si>
  <si>
    <t>Дәретхана жағы да орташа, қолдануға болады, бірақ ерекше таза деп айтпаймын.</t>
  </si>
  <si>
    <t>Тапсырысым дұрыс шықты, ештеңе ауысып кеткен жоқ.</t>
  </si>
  <si>
    <t>Жалпы локация, тазалық және заказ жағынан бәрі қалыпты болды, ерекше жақсы да, жаман да емес.</t>
  </si>
  <si>
    <t>Заведение находится в удобном месте, рядом легко пройти пешком. Внутри было аккуратно, столы выглядели чистыми.</t>
  </si>
  <si>
    <t>В заказе не оказалось картошки, хотя она была оплачена. Проверили уже дома, поэтому возвращаться не стали.</t>
  </si>
  <si>
    <t>Место расположено не совсем удобно, пришлось немного искать вход. Зато внутри было довольно чисто.</t>
  </si>
  <si>
    <t>Заказ выдали без ошибок, все блюда были на месте. Даже дополнительные соусы положили правильно.</t>
  </si>
  <si>
    <t>В зале вроде спокойно, но на соседнем столе долго стояла грязная посуда. Это немного портит впечатление.</t>
  </si>
  <si>
    <t>Локация нормальная, не самая удобная, но добраться можно без особых проблем.</t>
  </si>
  <si>
    <t>В заказе перепутали гарнир, вместо одного положили другой. Не критично, но все равно неприятно.</t>
  </si>
  <si>
    <t>Внутри было чисто, пол сухой, столы без пятен. Видно, что за порядком следят.</t>
  </si>
  <si>
    <t>Заведение находится далеко от основной улицы, случайно туда точно не зайдешь. Нужно специально искать.</t>
  </si>
  <si>
    <t>Заказ собрали полностью, ничего не забыли. В этом плане все прошло спокойно.</t>
  </si>
  <si>
    <t>Туалет был не очень опрятный, хотя сам зал выглядел нормально. Хотелось бы, чтобы за этим следили чаще.</t>
  </si>
  <si>
    <t>Место легко найти по карте, вывеска видна хорошо. Для первого посещения это удобно.</t>
  </si>
  <si>
    <t>В пакете оказался чужой соус, а мой не положили. Мелочь, но заказ уже не полностью правильный.</t>
  </si>
  <si>
    <t>Стол, за который мы сели, был чистый, но на полу рядом были крошки. Не ужасно, но заметно.</t>
  </si>
  <si>
    <t>Расположение хорошее, рядом есть где остановиться ненадолго. Заказ тоже выдали без путаницы.</t>
  </si>
  <si>
    <t>Вместо двух напитков положили только один. Пришлось отдельно напоминать, чтобы добавили второй.</t>
  </si>
  <si>
    <t>Внутри не было неприятного запаха, посуда выглядела чистой. В плане гигиены все нормально.</t>
  </si>
  <si>
    <t>Заведение находится в проходном месте, поэтому его легко заметить. Удобно зайти по пути.</t>
  </si>
  <si>
    <t>Заказ отдали быстро, но забыли салфетки и приборы. Для еды с собой это не очень удобно.</t>
  </si>
  <si>
    <t>Чистота средняя: явной грязи нет, но местами видно, что уборку сделали наспех.</t>
  </si>
  <si>
    <t>Локация не понравилась, рядом шумно и не очень удобно подходить ко входу. Внутри при этом было чисто.</t>
  </si>
  <si>
    <t>Все позиции в заказе совпали с чеком. Ничего лишнего и ничего пропущенного не было.</t>
  </si>
  <si>
    <t>На подносе были небольшие следы, будто его плохо протерли. Хотелось бы аккуратнее с такими вещами.</t>
  </si>
  <si>
    <t>Заведение расположено удобно, но вход не сразу понятный. Пришлось немного оглядываться.</t>
  </si>
  <si>
    <t>В заказе не учли комментарий, хотя я специально писал без одного ингредиента. Из-за этого пришлось часть блюда не есть.</t>
  </si>
  <si>
    <t>Зал был аккуратный, мусор нигде не лежал. Даже при большом количестве людей выглядело прилично.</t>
  </si>
  <si>
    <t>Место находится далековато, пешком идти неудобно. Если бы было ближе, заходил бы чаще.</t>
  </si>
  <si>
    <t>Заказ выдали правильно, но упаковали небрежно. Ничего не потерялось, но выглядело неаккуратно.</t>
  </si>
  <si>
    <t>Стаканы и приборы были чистые, к этому вопросов нет. В целом гигиена оставила нормальное впечатление.</t>
  </si>
  <si>
    <t>Расположение обычное, без особых плюсов и минусов. Заказ собрали правильно, внутри было достаточно чисто.</t>
  </si>
  <si>
    <t>Заведение находится рядом с остановкой, поэтому добраться было удобно. Внутри тоже выглядело аккуратно, столы были чистые.</t>
  </si>
  <si>
    <t>Заказ собрали не совсем правильно: вместо обычного бургера положили острый. Я специально выбирал другой вариант.</t>
  </si>
  <si>
    <t>Внутри было чисто, но само место находится немного в стороне. С первого раза не сразу понял, куда заходить.</t>
  </si>
  <si>
    <t>Все позиции в заказе были на месте, ничего не забыли. Даже приборы и салфетки положили нормально.</t>
  </si>
  <si>
    <t>Зал выглядел неплохо, но на одном из столов остались следы от прошлых гостей. Хотелось бы, чтобы убирали быстрее.</t>
  </si>
  <si>
    <t>Расположение удобное, рядом много людей проходит. Можно зайти по пути, не делая лишний круг.</t>
  </si>
  <si>
    <t>В заказе не оказалось соуса, хотя он был добавлен отдельно. Небольшая ошибка, но всё равно неприятно.</t>
  </si>
  <si>
    <t>Туалет был чистый, мыло и бумага были на месте. Для меня это показатель нормального отношения к гостям.</t>
  </si>
  <si>
    <t>Заведение сложно заметить с улицы, вывеска маленькая. Пришлось несколько минут искать вход.</t>
  </si>
  <si>
    <t>Заказ выдали точно по чеку, все блюда совпали. В этот раз никаких проблем не было.</t>
  </si>
  <si>
    <t>Пол в зале был немного липкий, особенно возле кассы. В остальном место выглядело нормально.</t>
  </si>
  <si>
    <t>Локация хорошая, рядом удобно встретиться с друзьями. Внутри тоже достаточно чисто.</t>
  </si>
  <si>
    <t>Вместо одного десерта положили другой. Заметили уже после ухода, поэтому менять не стали.</t>
  </si>
  <si>
    <t>Столы убраны, мусора нигде не видел. В зале было приятно сидеть.</t>
  </si>
  <si>
    <t>Место находится далековато от остановки, пешком идти не очень удобно. Особенно если погода плохая.</t>
  </si>
  <si>
    <t>Тапсырыс дұрыс жиналған сияқты, но один напиток был не того размера. Вроде мелочь, но заказ всё равно не полностью совпал.</t>
  </si>
  <si>
    <t>Посуда выглядела чистой, без пятен и запаха. Это сразу добавляет доверия к заведению.</t>
  </si>
  <si>
    <t>Заведение находится в хорошем районе, но парковки рядом почти нет. Из-за этого пришлось долго искать место.</t>
  </si>
  <si>
    <t>В заказе забыли положить приборы. Еду взяли с собой, поэтому это было неудобно.</t>
  </si>
  <si>
    <t>Внутри чисто, но столы после гостей убирали не сразу. Несколько свободных мест выглядели неготовыми.</t>
  </si>
  <si>
    <t>Расположение нормальное, добраться можно без проблем. Но вход немного спрятан, сначала прошёл мимо.</t>
  </si>
  <si>
    <t>Заказ собрали аккуратно, ничего не пролилось и не перепуталось. Всё было на своих местах.</t>
  </si>
  <si>
    <t>В зале не было неприятного запаха, воздух нормальный. По чистоте впечатление осталось спокойное.</t>
  </si>
  <si>
    <t>Место расположено удобно для тех, кто рядом работает или учится. Специально ехать, наверное, не стал бы.</t>
  </si>
  <si>
    <t>В пакете не было одной позиции из набора. Такое ощущение, что заказ собирали в спешке.</t>
  </si>
  <si>
    <t>На подоконнике была пыль, хотя столы выглядели чистыми. Не критично, но заметно.</t>
  </si>
  <si>
    <t>Заведение находится прямо у дороги, его легко найти. Для быстрого перекуса локация удачная.</t>
  </si>
  <si>
    <t>Заказ оказался чужим, потому что внутри были совсем другие блюда. Пришлось возвращаться и объяснять ситуацию.</t>
  </si>
  <si>
    <t>Внутри всё выглядело свежо и опрятно, особенно зона у кассы. Видно, что уборку делают регулярно.</t>
  </si>
  <si>
    <t>Локация средняя, не слишком удобная, но и не ужасная. Заказ был правильный, чистота тоже на обычном уровне.</t>
  </si>
  <si>
    <t>Заведение находится в обычном месте, найти его получилось без особых сложностей.</t>
  </si>
  <si>
    <t>Заказ выдали по списку, все основные позиции были на месте.</t>
  </si>
  <si>
    <t>Внутри было достаточно чисто, ничего сильно заметного не бросилось в глаза.</t>
  </si>
  <si>
    <t>Расположение не лучшее и не худшее, добраться в целом можно.</t>
  </si>
  <si>
    <t>Заказ собрали нормально, без лишних вопросов и исправлений.</t>
  </si>
  <si>
    <t>Столы выглядели убранными, хотя особой идеальной чистоты я не заметил.</t>
  </si>
  <si>
    <t>Место находится не прямо на виду, но по карте нашлось спокойно.</t>
  </si>
  <si>
    <t>В пакете было все, что я заказывал. Ничего необычного, просто стандартно.</t>
  </si>
  <si>
    <t>По чистоте зал обычный, каких-то явных проблем не было.</t>
  </si>
  <si>
    <t>Локация в целом приемлемая, если заранее знать, куда идти.</t>
  </si>
  <si>
    <t>Заказ совпал с чеком, дополнительных комментариев по этому поводу нет.</t>
  </si>
  <si>
    <t>Внутри было аккуратно, но без ощущения, что всё прям идеально.</t>
  </si>
  <si>
    <t>Заведение расположено немного в стороне, но дойти туда можно.</t>
  </si>
  <si>
    <t>Тапсырысымды дұрыс жинаған сияқты, бәрі чекте көрсетілгендей болды.</t>
  </si>
  <si>
    <t>Туалет был в рабочем состоянии, по чистоте примерно средний уровень.</t>
  </si>
  <si>
    <t>Место найти можно, вывеска есть, но сразу в глаза не бросается.</t>
  </si>
  <si>
    <t>Заказ отдали без путаницы, всё прошло спокойно.</t>
  </si>
  <si>
    <t>В зале было нормально убрано, сидеть было можно.</t>
  </si>
  <si>
    <t>Расположение обычное, специально отмечать нечего.</t>
  </si>
  <si>
    <t>По заказу всё было ровно: что выбрал, то и получил.</t>
  </si>
  <si>
    <t>Посуда выглядела нормально, явных пятен или запаха не заметил.</t>
  </si>
  <si>
    <t>До заведения добрался без проблем, хотя путь не самый короткий.</t>
  </si>
  <si>
    <t>Комплектация заказа была обычной, ничего не забыли.</t>
  </si>
  <si>
    <t>Чистота в помещении средняя, в целом приемлемо.</t>
  </si>
  <si>
    <t>Орынды табу қиын болған жоқ, бірақ орналасуы ерекше ыңғайлы да емес.</t>
  </si>
  <si>
    <t>Заказ проверил на месте, всё оказалось правильно.</t>
  </si>
  <si>
    <t>Внутри порядок был, но атмосфера по чистоте самая стандартная.</t>
  </si>
  <si>
    <t>Локация подходит, если находишься рядом, но специально ехать не обязательно.</t>
  </si>
  <si>
    <t>Все позиции положили как надо, без ошибок.</t>
  </si>
  <si>
    <t>По расположению, заказу и чистоте всё было нейтрально, без сильных плюсов или минусов.</t>
  </si>
  <si>
    <t>Самое обычное место, ничего особенного. Нашли без проблем, внутри нормально.</t>
  </si>
  <si>
    <t>Нормальный ресторан, заказ собрали как надо, без каких-то сюрпризов.</t>
  </si>
  <si>
    <t>В целом всё стандартно: чисто, спокойно, заказ выдали правильно.</t>
  </si>
  <si>
    <t>Место как место, локация обычная. Не супер удобно, но и не сложно добраться.</t>
  </si>
  <si>
    <t>Заказ был полный, всё положили по списку. Просто нормально.</t>
  </si>
  <si>
    <t>Внутри чистота обычная, ничего плохого не заметил.</t>
  </si>
  <si>
    <t>Нормальное заведение, столы были убраны, сидеть можно.</t>
  </si>
  <si>
    <t>Расположение среднее, если рядом проходить, можно зайти.</t>
  </si>
  <si>
    <t>Заказ отдали без ошибок, всё было как в чеке.</t>
  </si>
  <si>
    <t>Ресторан обычный, внутри более-менее чисто, без особых впечатлений.</t>
  </si>
  <si>
    <t>Локация нормальная, не пришлось долго искать.</t>
  </si>
  <si>
    <t>Всё в заказе было на месте, ничего не забыли.</t>
  </si>
  <si>
    <t>По чистоте нормально, не идеально, но и не грязно.</t>
  </si>
  <si>
    <t>Заведение находится в обычном районе, добраться можно.</t>
  </si>
  <si>
    <t>Заказ собрали спокойно, без путаницы.</t>
  </si>
  <si>
    <t>Внутри было нормально убрано, каких-то проблем не увидела.</t>
  </si>
  <si>
    <t>Обычный ресторан, обычная атмосфера, чистота тоже средняя.</t>
  </si>
  <si>
    <t>Место не прям удобное, но найти его можно.</t>
  </si>
  <si>
    <t>В заказе всё совпало, что выбрала, то и получила.</t>
  </si>
  <si>
    <t>Столы были чистые, но ничего прям особенного.</t>
  </si>
  <si>
    <t>Нормальная точка, расположение более-менее удобное.</t>
  </si>
  <si>
    <t>Заказ выдали правильно, в этом плане всё ок.</t>
  </si>
  <si>
    <t>В помещении чисто на обычном уровне, без замечаний.</t>
  </si>
  <si>
    <t>Ресторан как ресторан, ничего удивительного, всё спокойно.</t>
  </si>
  <si>
    <t>Локация не плохая, но специально ради неё не поехала бы.</t>
  </si>
  <si>
    <t>Внутри порядок был, мусора рядом не заметил.</t>
  </si>
  <si>
    <t>Место обычное, по карте нашли сразу.</t>
  </si>
  <si>
    <t>Заказ нормальный, всё положили, как должно быть.</t>
  </si>
  <si>
    <t>В целом по расположению, чистоте и заказу всё нейтрально, без сильных плюсов и минусов.</t>
  </si>
  <si>
    <t>Всё правильно собрали, ничего лишнего не было.</t>
  </si>
  <si>
    <t>Заказ собрали невнимательно: в наборе не оказалось одного бургера, хотя я его точно оплачивала.</t>
  </si>
  <si>
    <t>Попросила напиток без льда, но привезли полный стакан льда. Комментарий явно никто не прочитал.</t>
  </si>
  <si>
    <t>Вместо куриного блюда положили мясное, хотя в приложении всё было указано правильно.</t>
  </si>
  <si>
    <t>Заказ был на двоих, но приборы положили только на одного. Очень неудобно, когда берёшь еду с собой.</t>
  </si>
  <si>
    <t>В комбо не хватало десерта, хотя он входил в состав. Неприятно, что приходится всё перепроверять.</t>
  </si>
  <si>
    <t>Просила не добавлять острый соус, но блюдо всё равно пришло острым. Есть нормально не получилось.</t>
  </si>
  <si>
    <t>В пакете лежала не моя позиция, а то, что я заказывала, вообще отсутствовало.</t>
  </si>
  <si>
    <t>Вместо большой порции картошки положили маленькую. Разница вроде не огромная, но заказ должен быть точным.</t>
  </si>
  <si>
    <t>Заказала два одинаковых блюда, а положили только одно. В чеке при этом всё было пробито.</t>
  </si>
  <si>
    <t>Соусы перепутали полностью: вместо сырного и чесночного положили какие-то другие.</t>
  </si>
  <si>
    <t>В наборе не было салфеток, трубочек и приборов. Для доставки это прям неудобно.</t>
  </si>
  <si>
    <t>Просила добавить extra cheese, но по факту его вообще не было. Зачем тогда принимать такие комментарии?</t>
  </si>
  <si>
    <t>В заказе оказался напиток с сахаром, хотя я выбирала без сахара. Для меня это было важно.</t>
  </si>
  <si>
    <t>Положили бургер с ингредиентом, который я просила убрать. Пришлось разбирать его самой.</t>
  </si>
  <si>
    <t>Заказ выглядел так, будто его собирали в спешке: часть позиций забыли, часть перепутали.</t>
  </si>
  <si>
    <t>Вместо ролла, который я выбрала, положили другой. Заметила только дома, уже было поздно менять.</t>
  </si>
  <si>
    <t>В детском наборе не хватало игрушки и сока. Ребёнок расстроился, а я заплатила за полный комплект.</t>
  </si>
  <si>
    <t>Заказала суп с хлебом, но хлеб не положили. Мелочь, но всё равно неприятно.</t>
  </si>
  <si>
    <t>В пакете было два напитка, но оба не те, которые мы выбирали.</t>
  </si>
  <si>
    <t>Просила сделать блюдо без майонеза, но его добавили как обычно. Комментарии к заказу игнорируют.</t>
  </si>
  <si>
    <t>Одну позицию заменили без предупреждения. Лучше бы заранее сказали, а не просто положили другое.</t>
  </si>
  <si>
    <t>В чеке заказ правильный, а в пакете половина не совпадает. Такое ощущение, что перепутали пакеты.</t>
  </si>
  <si>
    <t>Заказала салат без лука, но лука было даже больше обычного. Очень невнимательная сборка.</t>
  </si>
  <si>
    <t>В комплекте должны были быть соус и напиток, но положили только основное блюдо.</t>
  </si>
  <si>
    <t>Вместо обычной воды дали газированную. Небольшая ошибка, но всё равно не то, что я заказывала.</t>
  </si>
  <si>
    <t>Положили не тот гарнир, хотя я специально выбирала другой вариант.</t>
  </si>
  <si>
    <t>В заказе не было оплаченной добавки. Деньги списали, а сам продукт не положили.</t>
  </si>
  <si>
    <t>Перепутали размер порции: заказала большую, получила стандартную.</t>
  </si>
  <si>
    <t>В пакете оказались лишние позиции, а моей основной еды не было. Полная путаница с заказом.</t>
  </si>
  <si>
    <t>Уже не первый раз забывают часть заказа. После такого доверия к сборке вообще нет.</t>
  </si>
  <si>
    <t>Заказала сет, а внутри не оказалось одной позиции из набора. Получилось не то, за что платила.</t>
  </si>
  <si>
    <t>В приложении выбрала один вкус напитка, а положили совсем другой. Неприятно, когда такие детали не проверяют.</t>
  </si>
  <si>
    <t>Попросила убрать помидоры, но блюдо пришло с ними. Комментарий к заказу просто проигнорировали.</t>
  </si>
  <si>
    <t>В заказе должны были быть две порции соуса, но не положили ни одной.</t>
  </si>
  <si>
    <t>Вместо выбранного десерта отправили другой. Я его вообще не хотела заказывать.</t>
  </si>
  <si>
    <t>Заказ собрали странно: основное блюдо забыли, а мелкие добавки положили.</t>
  </si>
  <si>
    <t>В комбо не хватало картошки, хотя без неё набор уже выглядит неполным.</t>
  </si>
  <si>
    <t>Просила сделать напиток без сахара, но привезли обычный сладкий вариант.</t>
  </si>
  <si>
    <t>В пакете оказался чужой чек и не мой заказ. Пришлось заново разбираться.</t>
  </si>
  <si>
    <t>Положили блюдо с острым соусом, хотя я выбирала обычный. Есть было невозможно.</t>
  </si>
  <si>
    <t>Заказала одну начинку, а внутри была совсем другая. Очень невнимательно собрали.</t>
  </si>
  <si>
    <t>Оплаченную добавку не положили, хотя в чеке она отдельно указана.</t>
  </si>
  <si>
    <t>Вместо двух бургеров положили один бургер и какой-то другой сэндвич. Заказ не совпал.</t>
  </si>
  <si>
    <t>В наборе не было напитка, хотя он входил в стоимость. Проверять каждый раз уже надоедает.</t>
  </si>
  <si>
    <t>Попросила не добавлять сыр, но его всё равно положили. Получилось совсем не то блюдо.</t>
  </si>
  <si>
    <t>Заказ пришёл неполный: не хватало гарнира и одного соуса.</t>
  </si>
  <si>
    <t>В пакете лежала позиция, которую я не заказывала, а моей еды не оказалось.</t>
  </si>
  <si>
    <t>Вместо большой порции дали маленькую, хотя оплата была за большую.</t>
  </si>
  <si>
    <t>Заказали три одинаковых блюда, а положили только два. Ошибку заметили уже дома.</t>
  </si>
  <si>
    <t>В комментарии просила отдельно упаковать соус, но его налили прямо в блюдо.</t>
  </si>
  <si>
    <t>Вместо обычной колы положили диетическую, хотя я выбирала другой вариант.</t>
  </si>
  <si>
    <t>Заказ был оформлен правильно, но собрали его совсем не по списку.</t>
  </si>
  <si>
    <t>В детском наборе не хватало части комплекта. Ребёнок ждал одно, а получил неполный заказ.</t>
  </si>
  <si>
    <t>Положили не тот вид лапши, хотя в заказе был указан другой.</t>
  </si>
  <si>
    <t>В блюде оставили ингредиент, который я специально просила убрать.</t>
  </si>
  <si>
    <t>Заказ выглядел перепутанным: часть еды явно была из другого заказа.</t>
  </si>
  <si>
    <t>Вместо одного соуса положили другой, причём тот, который я вообще не ем.</t>
  </si>
  <si>
    <t>В наборе забыли хлеб и приборы, хотя для такого блюда они нужны.</t>
  </si>
  <si>
    <t>Оплатила дополнительную порцию мяса, но в блюде её не было заметно вообще.</t>
  </si>
  <si>
    <t>Заказ собрали с ошибками сразу в нескольких позициях, поэтому впечатление полностью испортилось.</t>
  </si>
  <si>
    <t>В зале было неприятно сидеть, потому что столы выглядели плохо убранными. Сразу пропало желание долго оставаться.</t>
  </si>
  <si>
    <t>На подносе были заметные следы, как будто его вообще не протирали после прошлого гостя.</t>
  </si>
  <si>
    <t>Пол возле кассы был грязный, местами липкий. Для кафе это выглядит очень неаккуратно.</t>
  </si>
  <si>
    <t>Посуда попалась с разводами, и это сразу испортило впечатление от еды.</t>
  </si>
  <si>
    <t>Внутри было душно и пахло не очень свежо. Из-за этого атмосфера казалась неприятной.</t>
  </si>
  <si>
    <t>На столе остались крошки и пятна, хотя людей в зале было не так много.</t>
  </si>
  <si>
    <t>Туалет выглядел запущенным, бумаги не было, раковина была грязная.</t>
  </si>
  <si>
    <t>Стулья были в пятнах, садиться было неприятно. Такое ощущение, что их давно нормально не чистили.</t>
  </si>
  <si>
    <t>В зоне выдачи было неаккуратно, вокруг стояли грязные подносы и салфетки.</t>
  </si>
  <si>
    <t>На полу под столами валялся мусор. Видно, что уборку делают не очень внимательно.</t>
  </si>
  <si>
    <t>Вилки и ложки выглядели плохо промытыми, пришлось просить заменить.</t>
  </si>
  <si>
    <t>Стол протерли только после просьбы, хотя он явно был грязный еще до нашего прихода.</t>
  </si>
  <si>
    <t>В помещении ощущался неприятный запах, и это сильно мешало спокойно поесть.</t>
  </si>
  <si>
    <t>У окна было пыльно, подоконник явно давно не протирали.</t>
  </si>
  <si>
    <t>Пакет с заказом был испачкан снаружи, выглядело небрежно и негигиенично.</t>
  </si>
  <si>
    <t>Место само по себе нормальное, но чистота очень слабая. Особенно заметно по столам и полу.</t>
  </si>
  <si>
    <t>На диване были крошки и какие-то пятна, поэтому пришлось пересесть за другой стол.</t>
  </si>
  <si>
    <t>В туалете не было мыла, что для заведения с едой вообще странно.</t>
  </si>
  <si>
    <t>Поднос принесли мокрый и с разводами. Не очень приятно класть на него еду.</t>
  </si>
  <si>
    <t>В зале долго не убирали после гостей, несколько столов стояли с грязной посудой.</t>
  </si>
  <si>
    <t>Около мусорного бака было грязно, салфетки лежали прямо на полу.</t>
  </si>
  <si>
    <t>Внутри вроде красиво, но чистота подводит. Много мелких деталей, которые портят общее впечатление.</t>
  </si>
  <si>
    <t>На стакане были следы, после этого напиток пить уже не хотелось.</t>
  </si>
  <si>
    <t>Кухонная зона частично видна, и там всё выглядело не очень аккуратно.</t>
  </si>
  <si>
    <t>В углу зала скопился мусор, будто туда никто не заглядывает во время уборки.</t>
  </si>
  <si>
    <t>Салфетки на столе были помятые и грязноватые, лучше бы их вообще заменяли чаще.</t>
  </si>
  <si>
    <t>Меню было липкое, держать в руках неприятно. Такие вещи тоже нужно протирать.</t>
  </si>
  <si>
    <t>После посещения осталось ощущение, что за гигиеной следят поверхностно.</t>
  </si>
  <si>
    <t>Полы были мокрые и грязные, никто не поставил предупреждение и не убрал нормально.</t>
  </si>
  <si>
    <t>В целом еда может быть нормальной, но из-за грязных столов и неопрятного зала возвращаться не хочется.</t>
  </si>
  <si>
    <t>Заведение находится в неудобном месте, туда сложно добраться без машины.</t>
  </si>
  <si>
    <t>Локация не понравилась: рядом почти ничего нет, идти пешком долго и некомфортно.</t>
  </si>
  <si>
    <t>Ресторан расположен слишком далеко от остановки, особенно неудобно возвращаться вечером.</t>
  </si>
  <si>
    <t>Место вроде нормальное, но вход найти сложно, вывеска почти не помогает.</t>
  </si>
  <si>
    <t>Локация странная: рядом шумная дорога, сидеть внутри из-за этого не очень приятно.</t>
  </si>
  <si>
    <t>Заведение находится в таком месте, куда случайно точно не зайдёшь. Нужно специально ехать.</t>
  </si>
  <si>
    <t>Расположение неудобное, рядом нет нормальной парковки, пришлось долго искать место.</t>
  </si>
  <si>
    <t>Пешком добираться неприятно, вокруг темно и мало людей. Вечером идти было некомфортно.</t>
  </si>
  <si>
    <t>Кафе стоит далеко от центра, ради него специально ехать вообще не хочется.</t>
  </si>
  <si>
    <t>Найти вход оказалось сложнее, чем само заведение на карте. Всё как-то запутано.</t>
  </si>
  <si>
    <t>Локация слабая: рядом нет удобного подъезда, такси тоже не сразу нашло место.</t>
  </si>
  <si>
    <t>Заведение спрятано во дворе, с улицы его почти не видно. Первый раз можно легко пройти мимо.</t>
  </si>
  <si>
    <t>Расположение неудачное, вокруг постоянные пробки, поэтому добираться долго.</t>
  </si>
  <si>
    <t>Место находится на отшибе, после работы туда ехать совсем неудобно.</t>
  </si>
  <si>
    <t>Рядом с рестораном нет нормального тротуара, пешком идти неприятно.</t>
  </si>
  <si>
    <t>Локация неудобная для встреч: всем пришлось ехать с пересадками.</t>
  </si>
  <si>
    <t>Заведение находится далеко от жилых районов, поэтому просто зайти по пути не получится.</t>
  </si>
  <si>
    <t>Вход расположен с обратной стороны здания, и это нигде нормально не указано.</t>
  </si>
  <si>
    <t>Кафе находится в шумном месте, рядом машины и постоянная суета. Атмосфера из-за локации страдает.</t>
  </si>
  <si>
    <t>Добраться на общественном транспорте сложно, ближайшая остановка далековато.</t>
  </si>
  <si>
    <t>Расположение разочаровало: место вроде есть на карте, но на практике найти его было муторно.</t>
  </si>
  <si>
    <t>Ресторан находится в неудобном районе, вечером там не очень приятно находиться.</t>
  </si>
  <si>
    <t>Локация неудачная, рядом почти нет ориентиров. Пришлось несколько раз сверяться с картой.</t>
  </si>
  <si>
    <t>Если без машины, то добираться сюда вообще неудобно. Пешком путь слишком долгий.</t>
  </si>
  <si>
    <t>Заведение находится в подвале, вход плохо заметен. С первого раза не понял, куда идти.</t>
  </si>
  <si>
    <t>Место расположено далеко от остановок и парковок, поэтому посещение сразу становится неудобным.</t>
  </si>
  <si>
    <t>Локация не для всех: рядом мало транспорта, и дорога занимает больше времени, чем ожидал.</t>
  </si>
  <si>
    <t>Ресторан стоит в неудобном месте, вокруг стройка и грязная дорога. Впечатление портится ещё до входа.</t>
  </si>
  <si>
    <t>На карте точка указана неточно, из-за этого пришлось блуждать вокруг здания.</t>
  </si>
  <si>
    <t>Расположение совсем не понравилось: далеко, неудобно и без нормальных указателей.</t>
  </si>
  <si>
    <t>Орынның орналасуы ұнамады, жаяу баруға тым қолайсыз екен.</t>
  </si>
  <si>
    <t>Кафе тым шет жақта орналасқан, арнайы іздеп бармасаң, жолай кіретін жер емес.</t>
  </si>
  <si>
    <t>Аялдамадан алыс екен, әсіресе кешке қарай бару ыңғайсыз болды.</t>
  </si>
  <si>
    <t>Мекенжайы картада бар сияқты, бірақ нақты жерін табу қиын болды.</t>
  </si>
  <si>
    <t>Кіреберісі дұрыс белгіленбеген, қай жақтан кіру керегін бірден түсінбедік.</t>
  </si>
  <si>
    <t>Орналасқан жері сәтсіздеу, айналасында көлік көп, жүру де ыңғайсыз.</t>
  </si>
  <si>
    <t>Кафе жолдан көрінбейді, сыртынан байқамай өтіп кетуге болады.</t>
  </si>
  <si>
    <t>Жақын жерде көлік қоятын орын таппадым, соның кесірінен біраз уақыт жоғалттым.</t>
  </si>
  <si>
    <t>Локациясы нашар, жету үшін бірнеше рет бұрылып, айналып баруға тура келді.</t>
  </si>
  <si>
    <t>Орын тым алыста орналасқан, қайта барғым келмейді.</t>
  </si>
  <si>
    <t>Кафе аула ішінде тығылып тұрғандай, бірінші рет келген адамға табу қиын.</t>
  </si>
  <si>
    <t>Қоғамдық көлікпен жету ыңғайсыз, аялдама жақын емес.</t>
  </si>
  <si>
    <t>Орналасуы жақсы ойластырылмаған сияқты, айналасы қараңғы әрі жайсыз көрінді.</t>
  </si>
  <si>
    <t>Ресторанды табу үшін картаны бірнеше рет қарадым, бәрібір біраз адасып қалдым.</t>
  </si>
  <si>
    <t>Жол бойында белгісі анық көрінбейді, сыртынан кафе екенін түсіну қиын.</t>
  </si>
  <si>
    <t>Орын орталықтан тым алыс, арнайы баруға уақыт кетеді.</t>
  </si>
  <si>
    <t>Кешкі уақытта сол жаққа бару онша қауіпсіз сезілмеді, айналасы тым тыныш.</t>
  </si>
  <si>
    <t>Кіретін жері тар әрі ыңғайсыз, адамдар көп болса, кіріп-шығу қиын.</t>
  </si>
  <si>
    <t>Кафенің маңы тар, такси тоқтайтын ыңғайлы жер жоқ екен.</t>
  </si>
  <si>
    <t>Локациясы көңілден шықпады, жақын жерде ешқандай нақты бағдар жоқ.</t>
  </si>
  <si>
    <t>Ғимараттың артқы жағында орналасқан, бірден табу мүмкін емес.</t>
  </si>
  <si>
    <t>Жаяу барған адамға жолы ұзақ әрі шаршататын сияқты.</t>
  </si>
  <si>
    <t>Орналасқан жері түсініксіз, навигатор бір жаққа, нақты кіреберіс басқа жаққа апарды.</t>
  </si>
  <si>
    <t>Кафе шеткі көшеде орналасқан, айналасы бос әрі жайсыз көрінді.</t>
  </si>
  <si>
    <t>Парковка мәселесі қатты байқалды, орын іздеп ұзақ жүрдік.</t>
  </si>
  <si>
    <t>Локациясы ыңғайсыз болғандықтан, достармен кездесуге қолайлы емес.</t>
  </si>
  <si>
    <t>Бір қарағанда жақын сияқты еді, бірақ жолы айналма болып шықты.</t>
  </si>
  <si>
    <t>Ресторан үлкен көшеден алыстау тұр, кездейсоқ көріп кіретіндей емес.</t>
  </si>
  <si>
    <t>Кіреберісте ешқандай анық көрсеткіш жоқ, бірінші рет келгендер қиналады.</t>
  </si>
  <si>
    <t>Орны тым қолайсыз, тамағы жақсы болса да, қайта баруға ниет болмайды.</t>
  </si>
  <si>
    <t>Ішке кіргенде бірден тазалыққа көңілім толмады, үстелдердің беті дұрыс сүртілмеген сияқты болды.</t>
  </si>
  <si>
    <t>Ас ішетін жерде мұндай ұқыпсыздық болмауы керек еді, орындықтарда дақтар көрініп тұрды.</t>
  </si>
  <si>
    <t>Табақта майлы із қалғанын байқап, тәбетім бірден қашты.</t>
  </si>
  <si>
    <t>Залда қоқыс көп болмаса да, жалпы жинақылық жетіспейді екен.</t>
  </si>
  <si>
    <t>Қол жуатын жердің жағдайы ұнамады, раковина лас болып тұрды.</t>
  </si>
  <si>
    <t>Үстел үстіндегі тұздықтар мен майлық салғыштар жабысқақ болып кеткен.</t>
  </si>
  <si>
    <t>Іші сырттай әдемі көрінгенімен, тазалық жағы қатты ақсап тұр.</t>
  </si>
  <si>
    <t>Ас құралдарын қайта ауыстыруға тура келді, таза емес сияқты көрінді.</t>
  </si>
  <si>
    <t>Еденде төгілген сусынның ізі қалыпты, ешкім сүртіп үлгермеген.</t>
  </si>
  <si>
    <t>Дәретханадағы иіс жағымсыз болды, ондайдан кейін жалпы әсер бұзылады.</t>
  </si>
  <si>
    <t>Терезе маңындағы орын шаң болып тұрды, отыруға онша жағымды емес.</t>
  </si>
  <si>
    <t>Тапсырыс алған пакет те таза көрінбеді, сыртында майлы дақтар болды.</t>
  </si>
  <si>
    <t>Залда ауа ауырлау, желдету дұрыс емес сияқты сезілді.</t>
  </si>
  <si>
    <t>Балалармен келуге сенімсіздеу орын екен, тазалығы көңілден шықпады.</t>
  </si>
  <si>
    <t>Касса маңында майлықтар мен қоқыс шашылып жатты, ешкім жинамапты.</t>
  </si>
  <si>
    <t>Стаканның сыртында саусақ іздері қалыпты, мұндай нәрсе өте жағымсыз.</t>
  </si>
  <si>
    <t>Үстелді сүрткен сияқты, бірақ бәрібір майлы іздер көрініп тұрды.</t>
  </si>
  <si>
    <t>Орындықтың үстінде үгінділер қалып кеткен, өзім тазалап отыруға тура келді.</t>
  </si>
  <si>
    <t>Ішіндегі тазалыққа қарағанда, бұл жерде уборка асығыс жасалатын сияқты.</t>
  </si>
  <si>
    <t>Қоқыс жәшігі толып кетіп, жан-жағына қағаздар түсіп жатты.</t>
  </si>
  <si>
    <t>Тамақ жақсы болуы мүмкін, бірақ мұндай гигиенамен қайта келгім келмейді.</t>
  </si>
  <si>
    <t>Диванның бұрыштарында шаң мен ұсақ қоқымдар жиналып қалыпты.</t>
  </si>
  <si>
    <t>Ас ішетін залда жағымсыз иіс бар, бұл өте қолайсыз әсер қалдырды.</t>
  </si>
  <si>
    <t>Қол сүртетін қағаз да, сабын да жоқ болды, гигиенаға мән бермейтіні көрінді.</t>
  </si>
  <si>
    <t>Менюдің беті майлы әрі лас болды, қолыма ұстағым келмеді.</t>
  </si>
  <si>
    <t>Қасықта дақ қалғанын көріп, қызметкерден басқасын сұрадым.</t>
  </si>
  <si>
    <t>Үстел астында ескі салфеткалар жатты, оны ешкім байқамаған сияқты.</t>
  </si>
  <si>
    <t>Жалпы зал шашылып тұрды, бос столдардың өзі дайын емес көрінді.</t>
  </si>
  <si>
    <t>Ыдыстың иісі біртүрлі болды, дұрыс жуылмағандай сезілді.</t>
  </si>
  <si>
    <t>Кафенің тазалығы көңілімнен шықпады, бәрі сәл ұқыпсыз әрі қараусыз қалғандай әсер берді.</t>
  </si>
  <si>
    <t>Попросила бургер без добавления помидора и огурцов, но все равно добавили</t>
  </si>
  <si>
    <t>Тапсырыста таңдаған тағамымның орнына басқа нәрсе беріп жіберіпті, үйге келгенде ғана байқадым.</t>
  </si>
  <si>
    <t>Комбоның ішінде болуы керек заттардың жартысы жоқ болды, толық емес заказ үшін ақша төлегендей болдым.</t>
  </si>
  <si>
    <t>Сусынды үлкен размермен алған едім, бірақ кішкентайын салып жіберген.</t>
  </si>
  <si>
    <t>Мен тағамды ащы емес деп сұрадым, бірақ өте ащы қылып дайындапты.</t>
  </si>
  <si>
    <t>Қосымша ірімшікке ақша төлегенмін, бірақ бургердің ішінде ол мүлде болмады.</t>
  </si>
  <si>
    <t>Тапсырысымда екі түрлі соус болуы керек еді, екеуінің орнына мүлде басқа бір соус беріпті.</t>
  </si>
  <si>
    <t>Балаға арналған мәзірден бір бөлігі жетіспеді, толық комплект болмады.</t>
  </si>
  <si>
    <t>Заказды ашсам, мен таңдамаған салат тұр, ал негізгі тағамым жоқ.</t>
  </si>
  <si>
    <t>Пікірге “пияз қоспаңыз” деп жазғанмын, бірақ пиязын алып тастамаған.</t>
  </si>
  <si>
    <t>Тапсырысты шатастырып, басқа адамның пакетін беріп жіберген сияқты.</t>
  </si>
  <si>
    <t>Бір тағамның орнына басқа арзанырақ позиция салыпты, бірақ чекте менікі дұрыс тұр.</t>
  </si>
  <si>
    <t>Қосымша нан сұрағанмын, оны мүлде ұмытып кеткен.</t>
  </si>
  <si>
    <t>Мен таңдаған гарнир емес, басқа гарнир берілген. Дәмі ұнамады, себебі ондайды жемеймін.</t>
  </si>
  <si>
    <t>Заказдағы десерт жетіспеді, ал оны арнайы бөлек қосқан едім.</t>
  </si>
  <si>
    <t>Тағамды “соус бөлек болсын” деп сұрадым, бірақ бәрін үстіне құйып жіберіпті.</t>
  </si>
  <si>
    <t>Екі адамға тапсырыс берген едік, бірақ бір ғана комплект прибор салған.</t>
  </si>
  <si>
    <t>Қаптаманың сыртындағы чек дұрыс, бірақ ішіндегі тағамдар мүлде сәйкес емес.</t>
  </si>
  <si>
    <t>Тапсырыстағы бір позицияны өздері ауыстырып жіберіпті, алдын ала ешкім ескертпеді.</t>
  </si>
  <si>
    <t>Салаттың құрамынан бір ингредиентті алып тастауды сұрадым, бірақ оны бәрібір қосқан.</t>
  </si>
  <si>
    <t>Бірдей екі тағам заказ бергенмін, бірақ біреуін басқа түрімен шатастырыпты.</t>
  </si>
  <si>
    <t>Тапсырыстың жартысы дұрыс, жартысы қате болып келді. Мұндай жинақтау өте ұқыпсыз.</t>
  </si>
  <si>
    <t>Напитоксыз комбо беріп жіберді, ал чекте сусын бар деп көрсетілген.</t>
  </si>
  <si>
    <t>Мен таңдаған дәмдегі десерт емес, басқа дәмдегісін салыпты.</t>
  </si>
  <si>
    <t>Қосымша етке ақша төледім, бірақ тағамда ешқандай қосымша ет байқалмады.</t>
  </si>
  <si>
    <t>Заказда фастфуд сеті толық болуы керек еді, бірақ бір негізгі бөлігі жоқ шықты.</t>
  </si>
  <si>
    <t>“Майонезсіз” деп нақты жазсам да, майонез қосып жіберген.</t>
  </si>
  <si>
    <t>Тапсырысты алып кеткен соң ғана бір позицияның мүлде жоқ екенін көрдім.</t>
  </si>
  <si>
    <t>Менің заказымда болмауы керек ингредиенттерді қосып жіберіпті, сондықтан тағамды жей алмадым.</t>
  </si>
  <si>
    <t>Қосымша төленген сусын орнына қарапайым су беріп жіберген.</t>
  </si>
  <si>
    <t>Бірнеше позиция қатарынан қате жиналған, тапсырысты мүлде тексермеген сияқты.</t>
  </si>
  <si>
    <t>Тамақтың дәмі кәдімгідей болды, ерекше бір айырмашылық байқамадым. Порциясы да орташа.</t>
  </si>
  <si>
    <t>Қызметкерлер тапсырысты алып, әдеттегідей жауап берді. Артық та, кем де нәрсе болған жоқ.</t>
  </si>
  <si>
    <t>Тапсырысым бойынша бәрі қалыпты өтті, не жазылса, соған жақын берілді.</t>
  </si>
  <si>
    <t>Ішіндегі тазалық орташа деңгейде, қатты көзге түсетін мәселе көрмедім.</t>
  </si>
  <si>
    <t>Бағасы қарапайым, тым қымбат та емес, арзан да емес. Тамақ сапасына шамамен сай сияқты.</t>
  </si>
  <si>
    <t>Күту уақыты қалыпты болды, тез де емес, ұзақ та емес. Жалпы стандартты жағдай.</t>
  </si>
  <si>
    <t>Ішкі атмосферасы қарапайым, тыныш отырып тамақтануға болады. Ерекше әсер қалдырмады.</t>
  </si>
  <si>
    <t>Орналасқан жері жаман емес, карта арқылы табуға болады. Арнайы ыңғайлы деп те айтпас едім.</t>
  </si>
  <si>
    <t>Тағамы орташа, қызмет көрсетуі де қалыпты болды. Жалпы жай ғана күнделікті тамақтанатын орын сияқты.</t>
  </si>
  <si>
    <t>Тапсырыс дұрыс берілді, ал залдың тазалығы кәдімгі деңгейде болды. Айтарлықтай жақсы не жаман нәрсе байқалмады.</t>
  </si>
  <si>
    <t>Баға мен порция шамамен сәйкес келеді. Дәмі де қарапайым, аса ерекше емес.</t>
  </si>
  <si>
    <t>Қызметкерлер сыпайы сөйлесті, бірақ бәрі жай ғана стандартты түрде өтті.</t>
  </si>
  <si>
    <t>Күту уақыты мен тапсырыс дәлдігі бойынша бәрі қалыпты болды. Ешқандай түсініспеушілік болған жоқ.</t>
  </si>
  <si>
    <t>Іші қарапайым, үстелдер жиналған, атмосферасы да тыныш. Ерекше стиль байқалмады.</t>
  </si>
  <si>
    <t>Орын табуға қиын емес, бірақ локациясы да ерекше ыңғайлы емес. Жалпы баруға болады.</t>
  </si>
  <si>
    <t>Тамақ, баға және қызмет жағынан бәрі орташа деңгейде қалды. Қатты мақтайтын да, сынайтын да нәрсе жоқ.</t>
  </si>
  <si>
    <t>Еда была обычная, без яркого вкуса, но и без явных проблем. Просто средний вариант.</t>
  </si>
  <si>
    <t>Персонал работал спокойно, заказ приняли без лишних вопросов. Обслуживание обычное.</t>
  </si>
  <si>
    <t>Заказ в целом соответствовал тому, что я выбирала. Ничего неожиданного не было.</t>
  </si>
  <si>
    <t>По чистоте всё выглядело нормально, без особых замечаний. Обычный уровень для такого места.</t>
  </si>
  <si>
    <t>Цены средние, примерно как в похожих заведениях. Не дешево, но и не слишком дорого.</t>
  </si>
  <si>
    <t>Ждать пришлось немного, но не дольше обычного. По скорости всё стандартно.</t>
  </si>
  <si>
    <t>Атмосфера простая, без особого уюта, но сидеть можно. Ничего необычного.</t>
  </si>
  <si>
    <t>Расположение нормальное, по карте найти получилось. Специально удобным место не назову.</t>
  </si>
  <si>
    <t>Еда и обслуживание были на обычном уровне. Впечатление осталось нейтральное.</t>
  </si>
  <si>
    <t>Заказ собрали без заметных ошибок, внутри было достаточно чисто. Всё прошло спокойно.</t>
  </si>
  <si>
    <t>Цена примерно соответствует тому, что подают. Никакого сильного впечатления по value не осталось.</t>
  </si>
  <si>
    <t>Сотрудники отвечали нормально, без грубости и без особой вовлеченности. Просто стандартный сервис.</t>
  </si>
  <si>
    <t>По времени ожидания всё было предсказуемо. Не быстро, но и не затянуто.</t>
  </si>
  <si>
    <t>В зале было спокойно, интерьер простой. Для обычного перекуса подходит.</t>
  </si>
  <si>
    <t>Заведение находится не в самом заметном месте, но найти можно. Локация скорее нейтральная.</t>
  </si>
  <si>
    <t>В целом еда, чистота, заказ и обслуживание были обычными. Ничего сильно хорошего или плохого не выделилось.</t>
  </si>
  <si>
    <t>Тағамның дәмі қарапайым болды, жаман емес, бірақ ерекше әсер де қалдырмады.</t>
  </si>
  <si>
    <t>Қызметкерлер өз жұмысын істеді, тапсырысты қабылдап, әдеттегідей әкелді.</t>
  </si>
  <si>
    <t>Тапсырысымда негізгі заттар түгел болды, бәрі шамамен дұрыс жиналған сияқты.</t>
  </si>
  <si>
    <t>Ішіндегі тазалық қалыпты, қатты лас та емес, ерекше таза да емес.</t>
  </si>
  <si>
    <t>Бағасы орташа, тағамның сапасына шамамен сәйкес келеді деп ойлаймын.</t>
  </si>
  <si>
    <t>Тапсырысты біраз күттік, бірақ өте ұзақ болды деп айта алмаймын.</t>
  </si>
  <si>
    <t>Атмосферасы жай ғана қарапайым, отырып тамақтануға болады.</t>
  </si>
  <si>
    <t>Орынның орналасуы қалыпты, карта арқылы еш қиындықсыз таптық.</t>
  </si>
  <si>
    <t>Тамақ та, қызмет те орташа деңгейде болды. Қатты есте қалатындай ештеңе байқамадым.</t>
  </si>
  <si>
    <t>Зал таза көрінді, тапсырыс та дұрыс келді. Жалпы бәрі стандартты өтті.</t>
  </si>
  <si>
    <t>Бағасы да, порциясы да орташа. Қатты арзан емес, бірақ тым қымбат та емес.</t>
  </si>
  <si>
    <t>Қызмет көрсету жағынан бәрі тыныш өтті, қызметкерлер артық сөйлеспеді, бірақ дөрекілік те болмады.</t>
  </si>
  <si>
    <t>Тапсырысымды уақытында алдым, күту уақыты әдеттегідей болды.</t>
  </si>
  <si>
    <t>Ішкі көрінісі қарапайым, музыка қатты емес, жай отырып тамақтануға болады.</t>
  </si>
  <si>
    <t>Локациясы аса ыңғайлы емес, бірақ баруға болады. Арнайы қиындық болған жоқ.</t>
  </si>
  <si>
    <t>Тағамның дәмі орташа, сонымен қатар бағасы да сол деңгейге сай сияқты.</t>
  </si>
  <si>
    <t>Тапсырысымда қате байқалмады, бәрі өз орнында болды. Ерекше ештеңе жоқ.</t>
  </si>
  <si>
    <t>Үстелдер жиналған, залда жалпы тәртіп бар. Бірақ ерекше тазалық сезілмеді.</t>
  </si>
  <si>
    <t>Қызмет көрсету жылдам да емес, баяу да емес. Бәрі қалыпты деңгейде өтті.</t>
  </si>
  <si>
    <t>Жалпы орын қарапайым: тамақ, баға, тазалық және орналасуы бойынша бәрі орташа әсер қалдырды.</t>
  </si>
  <si>
    <t>Еда была обычная, без яркого вкуса, но и без каких-то явных недостатков.</t>
  </si>
  <si>
    <t>Персонал обслужил спокойно, без особого внимания, но и без грубости.</t>
  </si>
  <si>
    <t>Заказ выдали правильно, все основные позиции были на месте.</t>
  </si>
  <si>
    <t>Внутри было достаточно чисто, ничего неприятного сразу не заметил.</t>
  </si>
  <si>
    <t>Цены обычные, примерно такие же, как в похожих местах.</t>
  </si>
  <si>
    <t>Ждали заказ недолго, но и быстрым обслуживание назвать сложно.</t>
  </si>
  <si>
    <t>Атмосфера простая, без особого уюта, но находиться можно.</t>
  </si>
  <si>
    <t>Расположение нормальное, по карте заведение нашлось без проблем.</t>
  </si>
  <si>
    <t>Еда и сервис оставили нейтральное впечатление. Всё было просто стандартно.</t>
  </si>
  <si>
    <t>Заказ собрали нормально, в зале было более-менее чисто. Ничего необычного.</t>
  </si>
  <si>
    <t>Порция и цена примерно соответствуют друг другу. Особой выгоды не почувствовал.</t>
  </si>
  <si>
    <t>Сотрудники отвечали спокойно, заказ приняли без лишних вопросов.</t>
  </si>
  <si>
    <t>По скорости всё было средне: не быстро, но и не слишком долго.</t>
  </si>
  <si>
    <t>Интерьер обычный, без ярких деталей. Для простого перекуса подходит.</t>
  </si>
  <si>
    <t>Локация не самая удобная, но если знать адрес, добраться можно.</t>
  </si>
  <si>
    <t>Вкус еды средний, обслуживание тоже обычное. В целом без сильных эмоций.</t>
  </si>
  <si>
    <t>В заказе всё совпало с тем, что выбирала. Ничего не забыли и не добавили лишнего.</t>
  </si>
  <si>
    <t>По чистоте всё выглядело нормально, хотя идеальным место не назову.</t>
  </si>
  <si>
    <t>Цены нормальные, не могу сказать, что дорого или дешево.</t>
  </si>
  <si>
    <t>В целом ресторан обычный: еда, чистота, скорость и расположение на среднем уровне.</t>
  </si>
  <si>
    <t>Тағамның дәмі жай ғана қалыпты болды, қатты ұнады да, ұнамады да деп айта алмаймын.</t>
  </si>
  <si>
    <t>Қызметкерлер тапсырысты қабылдап, керек ақпаратты қысқаша түсіндірді. Бәрі тыныш өтті.</t>
  </si>
  <si>
    <t>Заказымды ашып қарағанда, таңдаған заттарым сол күйі салынған екен.</t>
  </si>
  <si>
    <t>Залдың тазалығы қарапайым деңгейде, отырған кезде ыңғайсыздық сезілмеді.</t>
  </si>
  <si>
    <t>Бағасы мәзірдегі тағамдарға сай сияқты, аса тиімді де, аса қымбат та көрінбеді.</t>
  </si>
  <si>
    <t>Тамақты күтуге біраз уақыт кетті, бірақ бұл қалыпты уақыт сияқты болды.</t>
  </si>
  <si>
    <t>Ішіндегі атмосферасы қарапайым, қатты шулы емес, жай ғана отыруға болады.</t>
  </si>
  <si>
    <t>Орын картадан табылды, кіреберісі де түсінікті болды, бірақ ерекше ыңғайлы деп айтпаймын.</t>
  </si>
  <si>
    <t>Ас мәзіріндегі тағамды алып көрдім, дәмі күткендей, артық әсер қалдырмады.</t>
  </si>
  <si>
    <t>Қызмет көрсету кезінде бәрі ресми түрде өтті, қызметкерлер тек керек нәрсені айтты.</t>
  </si>
  <si>
    <t>Тапсырыстағы тағамдар мен сусындар тізімге сәйкес келді, тексергенде айырмашылық байқалмады.</t>
  </si>
  <si>
    <t>Үстел мен орындықтар қолдануға дайын болды, тазалық жағынан айтарлықтай мәселе көрмедім.</t>
  </si>
  <si>
    <t>Порция көлемі мен бағасы бір-біріне шамалас сияқты көрінді.</t>
  </si>
  <si>
    <t>Дайындалу уақыты ұзақ сезілмеді, бірақ жылдам болды деп те айта алмаймын.</t>
  </si>
  <si>
    <t>Интерьері көзге қатты түспейді, бірақ тамақтанып шығуға жарайды.</t>
  </si>
  <si>
    <t>Локациясы маған бейтарап әсер қалдырды, жақын болсаң кіріп шығуға болады.</t>
  </si>
  <si>
    <t>Тамақ, тазалық және қызмет жағынан бәрі бір деңгейде өтті, ерекше айырмашылық байқалмады.</t>
  </si>
  <si>
    <t>Заказ дұрыс берілді, ал күту уақыты шамамен күткендей болды.</t>
  </si>
  <si>
    <t>Іші тыныш, жарығы қалыпты, бірақ атмосферасы ерекше есте қалмады.</t>
  </si>
  <si>
    <t>Жалпы бағасы, орны және қызметі бойынша орташа әсер қалдырды.</t>
  </si>
  <si>
    <t>Еда показалась вполне простой, без сильного вкусового впечатления.</t>
  </si>
  <si>
    <t>Сотрудники приняли заказ и ответили на вопрос по меню, всё прошло спокойно.</t>
  </si>
  <si>
    <t>Комплектацию заказа проверил сразу, позиции совпали с выбранными.</t>
  </si>
  <si>
    <t>В зале было прибрано на обычном уровне, сидеть было нормально.</t>
  </si>
  <si>
    <t>Цена выглядит примерно соответствующей порции и формату заведения.</t>
  </si>
  <si>
    <t>Заказ готовили не мгновенно, но ожидание не показалось слишком долгим.</t>
  </si>
  <si>
    <t>Обстановка внутри спокойная, без ярких деталей, но для перекуса подходит.</t>
  </si>
  <si>
    <t>Заведение нашлось по навигатору, путь был понятный, хотя место не самое заметное.</t>
  </si>
  <si>
    <t>Блюдо было нормальным по вкусу, без особых плюсов или минусов.</t>
  </si>
  <si>
    <t>Обслуживание было сдержанным: заказ приняли, уточнили детали и всё.</t>
  </si>
  <si>
    <t>В пакете лежало то, что я выбирал при оформлении заказа.</t>
  </si>
  <si>
    <t>По чистоте всё выглядело приемлемо, каких-то неприятных моментов не заметил.</t>
  </si>
  <si>
    <t>Стоимость обычная для такого меню, сильного ощущения переплаты не было.</t>
  </si>
  <si>
    <t>По времени ожидания всё вышло примерно так, как ожидалось.</t>
  </si>
  <si>
    <t>Интерьер простой, без особой атмосферы, но находиться внутри можно.</t>
  </si>
  <si>
    <t>Расположение скорее среднее: не супер удобно, но и не проблемно.</t>
  </si>
  <si>
    <t>Еда, сервис и цена оставили ровное впечатление, без ярких эмоций.</t>
  </si>
  <si>
    <t>Заказ выдали корректно, ждать пришлось умеренно.</t>
  </si>
  <si>
    <t>В помещении было спокойно и достаточно аккуратно, ничего сильно не выделилось.</t>
  </si>
  <si>
    <t>В целом место воспринимается нейтрально: обычная еда, обычное обслуживание и обычная локация.</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</si>
  <si>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</si>
  <si>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</si>
  <si>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</si>
  <si>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</si>
  <si>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</si>
  <si>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</si>
  <si>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</si>
  <si>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</si>
  <si>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</si>
  <si>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</si>
  <si>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</si>
  <si>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</si>
  <si>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</si>
  <si>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</si>
  <si>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</si>
  <si>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</si>
  <si>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</si>
  <si>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</si>
  <si>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</si>
  <si>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</si>
  <si>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</si>
  <si>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</si>
  <si>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</si>
  <si>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</si>
  <si>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</si>
  <si>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</si>
  <si>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</si>
  <si>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</si>
  <si>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</si>
  <si>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</si>
  <si>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</si>
  <si>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</si>
  <si>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</si>
  <si>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</si>
  <si>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</si>
  <si>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</si>
  <si>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</si>
  <si>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</si>
  <si>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</si>
  <si>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</si>
  <si>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</si>
  <si>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</si>
  <si>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</si>
  <si>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</si>
  <si>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</si>
  <si>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</si>
  <si>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</si>
  <si>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</si>
  <si>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</si>
  <si>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</si>
  <si>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</si>
  <si>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</si>
  <si>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</si>
  <si>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</si>
  <si>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</si>
  <si>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</si>
  <si>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</si>
  <si>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</si>
  <si>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</si>
  <si>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</si>
  <si>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</si>
  <si>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</si>
  <si>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</si>
  <si>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</si>
  <si>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</si>
  <si>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</si>
  <si>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</si>
  <si>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</si>
  <si>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</si>
  <si>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</si>
  <si>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</si>
  <si>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</si>
  <si>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</si>
  <si>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</si>
  <si>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</si>
  <si>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</si>
  <si>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</si>
  <si>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</si>
  <si>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</si>
  <si>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</si>
  <si>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</si>
  <si>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</si>
  <si>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</si>
  <si>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</si>
  <si>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</si>
  <si>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</si>
  <si>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</si>
  <si>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</si>
  <si>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</si>
  <si>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</si>
  <si>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</si>
  <si>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</si>
  <si>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</si>
  <si>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</si>
  <si>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</si>
  <si>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</si>
  <si>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</si>
  <si>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</si>
  <si>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</si>
  <si>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</si>
  <si>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</si>
  <si>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</si>
  <si>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</si>
  <si>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</si>
  <si>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</si>
  <si>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</si>
  <si>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</si>
  <si>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</si>
  <si>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</si>
  <si>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</si>
  <si>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</si>
  <si>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</si>
  <si>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</si>
  <si>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</si>
  <si>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</si>
  <si>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</si>
  <si>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</si>
  <si>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</si>
  <si>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</si>
  <si>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</si>
  <si>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</si>
  <si>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</si>
  <si>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</si>
  <si>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</si>
  <si>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</si>
  <si>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</si>
  <si>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</si>
  <si>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</si>
  <si>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</si>
  <si>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</si>
  <si>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</si>
  <si>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</si>
  <si>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</si>
  <si>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</si>
  <si>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</si>
  <si>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</si>
  <si>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</si>
  <si>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</si>
  <si>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</si>
  <si>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</si>
  <si>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</si>
  <si>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</si>
  <si>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</si>
  <si>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</si>
  <si>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</si>
  <si>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</si>
  <si>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</si>
  <si>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</si>
  <si>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</si>
  <si>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</si>
  <si>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</si>
  <si>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</si>
  <si>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</si>
  <si>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</si>
  <si>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</si>
  <si>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</si>
  <si>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</si>
  <si>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</si>
  <si>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</si>
  <si>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</si>
  <si>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</si>
  <si>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</si>
  <si>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</si>
  <si>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</si>
  <si>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</si>
  <si>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</si>
  <si>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</si>
  <si>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</si>
  <si>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</si>
  <si>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</si>
  <si>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</si>
  <si>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</si>
  <si>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</si>
  <si>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</si>
  <si>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</si>
  <si>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</si>
  <si>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</si>
  <si>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</si>
  <si>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</si>
  <si>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</si>
  <si>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</si>
  <si>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</si>
  <si>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</si>
  <si>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</si>
  <si>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</si>
  <si>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</si>
  <si>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</si>
  <si>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</si>
  <si>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</si>
  <si>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</si>
  <si>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</si>
  <si>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</si>
  <si>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</si>
  <si>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</si>
  <si>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</si>
  <si>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</si>
  <si>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</si>
  <si>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</si>
  <si>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</si>
  <si>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</si>
  <si>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</si>
  <si>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</si>
  <si>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</si>
  <si>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</si>
  <si>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</si>
  <si>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</si>
  <si>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</si>
  <si>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</si>
  <si>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</si>
  <si>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</si>
  <si>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</si>
  <si>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</si>
  <si>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</si>
  <si>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</si>
  <si>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</si>
  <si>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</si>
  <si>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</si>
  <si>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</si>
  <si>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</si>
  <si>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</si>
  <si>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</si>
  <si>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</si>
  <si>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</si>
  <si>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</si>
  <si>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</si>
  <si>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</si>
  <si>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</si>
  <si>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</si>
  <si>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</si>
  <si>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</si>
  <si>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</si>
  <si>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</si>
  <si>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</si>
  <si>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</si>
  <si>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</si>
  <si>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</si>
  <si>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</si>
  <si>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</si>
  <si>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</si>
  <si>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</si>
  <si>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</si>
  <si>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</si>
  <si>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</si>
  <si>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</si>
  <si>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</si>
  <si>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</si>
  <si>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</si>
  <si>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</si>
  <si>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</si>
  <si>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</si>
  <si>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</si>
  <si>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</si>
  <si>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</si>
  <si>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</si>
  <si>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</si>
  <si>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</si>
  <si>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</si>
  <si>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</si>
  <si>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</si>
  <si>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</si>
  <si>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</si>
  <si>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</si>
  <si>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</si>
  <si>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</si>
  <si>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</si>
  <si>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</si>
  <si>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</si>
  <si>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</si>
  <si>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</si>
  <si>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</si>
  <si>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</si>
  <si>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</si>
  <si>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</si>
  <si>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</si>
  <si>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</si>
  <si>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</si>
  <si>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</si>
  <si>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</si>
  <si>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</si>
  <si>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</si>
  <si>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</si>
  <si>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</si>
  <si>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</si>
  <si>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</si>
  <si>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</si>
  <si>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</si>
  <si>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</si>
  <si>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</si>
  <si>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</si>
  <si>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</si>
  <si>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</si>
  <si>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</si>
  <si>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</si>
  <si>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</si>
  <si>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</si>
  <si>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</si>
  <si>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</si>
  <si>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</si>
  <si>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</si>
  <si>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</si>
  <si>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</si>
  <si>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</si>
  <si>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</si>
  <si>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</si>
  <si>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</si>
  <si>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</si>
  <si>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</si>
  <si>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</si>
  <si>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</si>
  <si>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</si>
  <si>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</si>
  <si>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</si>
  <si>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</si>
  <si>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</si>
  <si>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</si>
  <si>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</si>
  <si>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</si>
  <si>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</si>
  <si>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</si>
  <si>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</si>
  <si>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</si>
  <si>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</si>
  <si>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</si>
  <si>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</si>
  <si>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</si>
  <si>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</si>
  <si>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</si>
  <si>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</si>
  <si>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</si>
  <si>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</si>
  <si>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</si>
  <si>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</si>
  <si>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</si>
  <si>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</si>
  <si>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</si>
  <si>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</si>
  <si>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</si>
  <si>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</si>
  <si>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</si>
  <si>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</si>
  <si>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</si>
  <si>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</si>
  <si>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</si>
  <si>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</si>
  <si>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</si>
  <si>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</si>
  <si>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</si>
  <si>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</si>
  <si>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</si>
  <si>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</si>
  <si>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</si>
  <si>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</si>
  <si>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</si>
  <si>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</si>
  <si>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</si>
  <si>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</si>
  <si>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</si>
  <si>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</si>
  <si>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</si>
  <si>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</si>
  <si>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</si>
  <si>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</si>
  <si>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</si>
  <si>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</si>
  <si>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</si>
  <si>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</si>
  <si>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</si>
  <si>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</si>
  <si>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</si>
  <si>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</si>
  <si>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</si>
  <si>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</si>
  <si>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</si>
  <si>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</si>
  <si>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</si>
  <si>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</si>
  <si>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</si>
  <si>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</si>
  <si>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</si>
  <si>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</si>
  <si>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</si>
  <si>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</si>
  <si>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</si>
  <si>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</si>
  <si>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</si>
  <si>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</si>
  <si>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</si>
  <si>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</si>
  <si>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</si>
  <si>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</si>
  <si>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</si>
  <si>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</si>
  <si>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</si>
  <si>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</si>
  <si>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</si>
  <si>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</si>
  <si>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</si>
  <si>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</si>
  <si>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</si>
  <si>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</si>
  <si>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</si>
  <si>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</si>
  <si>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</si>
  <si>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</si>
  <si>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</si>
  <si>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</si>
  <si>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</si>
  <si>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</si>
  <si>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</si>
  <si>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</si>
  <si>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</si>
  <si>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</si>
  <si>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</si>
  <si>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</si>
  <si>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</si>
  <si>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</si>
  <si>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</si>
  <si>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</si>
  <si>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</si>
  <si>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</si>
  <si>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</si>
  <si>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</si>
  <si>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</si>
  <si>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</si>
  <si>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</si>
  <si>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</si>
  <si>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</si>
  <si>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</si>
  <si>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</si>
  <si>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</si>
  <si>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</si>
  <si>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</si>
  <si>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</si>
  <si>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</si>
  <si>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</si>
  <si>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</si>
  <si>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</si>
  <si>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</si>
  <si>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</si>
  <si>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</si>
  <si>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</si>
  <si>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</si>
  <si>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</si>
  <si>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</si>
  <si>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</si>
  <si>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</si>
  <si>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</si>
  <si>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</si>
  <si>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</si>
  <si>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</si>
  <si>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</si>
  <si>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</si>
  <si>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</si>
  <si>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</si>
  <si>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</si>
  <si>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</si>
  <si>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</si>
  <si>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</si>
  <si>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</si>
  <si>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</si>
  <si>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</si>
  <si>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</si>
  <si>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</si>
  <si>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</si>
  <si>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</si>
  <si>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</si>
  <si>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</si>
  <si>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</si>
  <si>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</si>
  <si>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</si>
  <si>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</si>
  <si>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</si>
  <si>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</si>
  <si>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</si>
  <si>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</si>
  <si>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</si>
  <si>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</si>
  <si>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</si>
  <si>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</si>
  <si>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</si>
  <si>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</si>
  <si>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</si>
  <si>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</si>
  <si>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</si>
  <si>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</si>
  <si>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</si>
  <si>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</si>
  <si>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</si>
  <si>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</si>
  <si>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</si>
  <si>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</si>
  <si>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</si>
  <si>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</si>
  <si>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</si>
  <si>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</si>
  <si>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</si>
  <si>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</si>
  <si>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</si>
  <si>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</si>
  <si>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</si>
  <si>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</si>
  <si>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</si>
  <si>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</si>
  <si>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</si>
  <si>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</si>
  <si>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</si>
  <si>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</si>
  <si>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</si>
  <si>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</si>
  <si>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</si>
  <si>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</si>
  <si>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</si>
  <si>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</si>
  <si>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</si>
  <si>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</si>
  <si>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</si>
  <si>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</si>
  <si>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</si>
  <si>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</si>
  <si>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</si>
  <si>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</si>
  <si>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</si>
  <si>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</si>
  <si>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</si>
  <si>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</si>
  <si>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</si>
  <si>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</si>
  <si>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</si>
  <si>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</si>
  <si>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</si>
  <si>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</si>
  <si>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</si>
  <si>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</si>
  <si>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</si>
  <si>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</si>
  <si>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</si>
  <si>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</si>
  <si>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</si>
  <si>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</si>
  <si>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</si>
  <si>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</si>
  <si>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</si>
  <si>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</si>
  <si>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</si>
  <si>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</si>
  <si>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</si>
  <si>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</si>
  <si>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</si>
  <si>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</si>
  <si>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</si>
  <si>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</si>
  <si>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</si>
  <si>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</si>
  <si>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Дәмәнге өндіктіліктер жағдайда болдым. Тамақ өндіктіліктің орта деңгейінде болды - қымбат емес, бәлкім оң болмады. Портиялары ойына сәйкес, жеткілік болды. Қызметші команда сыйластылы болды. Ішкі дизайны әдпесі жок болмады. Орналасуы құлайлы табылды.</t>
  </si>
  <si>
    <t>Посетил ресторан на выходных. Качество блюд среднее - ничем не выделяется, но и не разочаровывает. Порции нормальные, достаточные. Персонал вежливый и внимательный. Интерьер простой, без излишеств. Место удобно расположено.</t>
  </si>
  <si>
    <t>Сервис тез болды, өндіктіліктеген бәлкім аздап салқын. Тапсырысым 6-7 минутта дайын болды. Бәлкім парковка орындары тар болды. Тамақ температурасы құбылмалы болды. Мекеменің гигиенасы дәл болды.</t>
  </si>
  <si>
    <t>Обслуживание быстрое - заказ приготовили примерно за 8 минут. Это удобно для тех, кто спешит. Блюда подали горячими. Парковка рядом ограничена. Гигиена соответствует нормам. Цены приемлемые.</t>
  </si>
  <si>
    <t>Тапсырысым толық және дәл орындалды. Ешқандай қалдырау немесе қателік болмады. Персонал тағдыр сұрағы қалдық берді. Тамақтың сапасы орта болды. Төлемдеу жүйесі жай болды.</t>
  </si>
  <si>
    <t>Мой заказ выполнили без ошибок, все компоненты присутствовали. Персонал внимателен к деталям. Качество ингредиентов среднее. Расчет произошел быстро. Место подходит для обеда.</t>
  </si>
  <si>
    <t>Гигиена өндіктіліктіген болды - барлық орындар таза ұстала. Ыдыстар және құтысы ақ болды. Бәлкім біршама орындар тазалау керек болды. Тамақ сапасы орта деңгейде болды. Персонал ынамдарлық болды.</t>
  </si>
  <si>
    <t>Санитария в норме - столы чистые, полы вымыты. Посуда выглядит чистой. Работники поддерживают чистоту во время смены. Качество пищи среднее. Атмосфера рабочая. Цены справедливы.</t>
  </si>
  <si>
    <t>Ішкі дизайны сәл ескітей көрінді, бәлкім аздап шу болды. Музыка дыбыс деңгейі қолайлы. Семей үшін орындау мүмкін болмады. Светтер жақсы болды. Ресторанның жалпы ләззатты болмады.</t>
  </si>
  <si>
    <t>Интерьер выглядит немного старомодным, но функциональным. Музыка на приятном уровне громкости. Помещение не шумное. Освещение хорошее. Место подходит для спокойного обеда. Пища среднего качества.</t>
  </si>
  <si>
    <t>Персонал өндіктіліктіген болды, әрбір адам сұрағы жауап берді. Сервис команда іскерліктіген, бәлкім аздап салдарындағы. Тамақ өндіктіліктіген болду. Төлемдеу жүйесі қолайлы болды. Орналасуы құлайлы табылды.</t>
  </si>
  <si>
    <t>Персонал предусмотрительный, помогает выбрать блюдо. Обслуживание вежливое, хотя иногда медленное. Блюда готовят со средним качеством. Расчет происходит гладко. Место расположено удобно. Цены в пределах нормы.</t>
  </si>
  <si>
    <t>Баға-сапа сабақтау дұрыс болды, өндіктіліктіген бәлкім төмендеген. Портиялары жеткіліктеген болды. Тамақ өндіктіліктіген, бәлкім күйеріссіз. Төлемдеу құны өндіктіліктіген болмады. Гигиена орта деңгейде болды.</t>
  </si>
  <si>
    <t>Соотношение цены и качества приемлемо. За деньги получаешь нормальную порцию. Вкус среднего уровня. Нет изысканности, но это базовый вариант. Гигиена в норме. Место подходит для экономного обеда. Персонал вежлив.</t>
  </si>
  <si>
    <t>Өндіктіліктіктен ажырап, өндіктіліктеген аралас болды. Тамақ өндіктіліктіген, бәлкім аздап салқын. Портиялары жеткіліктеген болды. Персонал сыйластылы болду. Гигиена түсініктіліктіген болмады. Орналасуы құлайлы табылды.</t>
  </si>
  <si>
    <t>В целом впечатление нейтральное - обычное заведение с обычным сервисом. Блюда приемлемого качества. Персонал не проявляет чрезмерной любезности, но вежлив. Гигиена удовлетворительна. Интерьер скромный. Место среднего уровня. Цены справедливы.</t>
  </si>
  <si>
    <t>Ресторанның орналасуы өндіктіліктіген болды - трансп жанында. Барлық нәрсеге жетпе мүмкін болды. Тамақ өндіктіліктіген болды. Персонал ынамдарлық болды. Төлемдеу жүйесі жай болды. Гигиена орта деңгейде болды.</t>
  </si>
  <si>
    <t>Расположение заведения очень удобно - рядом с остановкой транспорта. Легко припаркваться. Тамак среднего качества. Персонал любезен. Обслуживание быстрое. Цены приемлемые. Место идеально для тех, кто торопится.</t>
  </si>
  <si>
    <t>Мекемеге болған барлық нәрсе орта деңгейде болды. Тамақ өндіктіліктіген, бәлкім дәлсіз. Портиялары жеткіліктеген болду. Персонал өндіктіліктіген болмады. Төлемдеу құны өндіктіліктіген табылды. Гигиена дәл болды.</t>
  </si>
  <si>
    <t>Обычное заведение для обычного обеда. Ничего особенного - стандартное меню, стандартный сервис. Качество пищи среднее. Персонал вежлив, но не выделяется. Цены справедливы для качества. Место подойдет, если нет других вариантов. Гигиена соответствует требованиям.</t>
  </si>
  <si>
    <t>Тағамның дәмі қарапайым болды, жеп көруге болады, бірақ ерекше есте қалмады.</t>
  </si>
  <si>
    <t>Ас мәзіріндегі тағам күткен деңгейде болды, дәмі аса өзгеше емес.</t>
  </si>
  <si>
    <t>Қызметкерлер тапсырысты қабылдап, көп сөйлеспей өз жұмысын орындады.</t>
  </si>
  <si>
    <t>Персонал тарапынан ерекше нәрсе байқалмады, бәрі жай ғана ресми түрде өтті.</t>
  </si>
  <si>
    <t>Тапсырыста көрсетілген заттар сол күйі берілді, артық өзгеріс байқамадым.</t>
  </si>
  <si>
    <t>Мен таңдаған тағамдар тізім бойынша келді, жалпы сәйкестік болды.</t>
  </si>
  <si>
    <t>Залдың тазалығы күнделікті деңгейде көрінді, көзге түсетін мәселе болмады.</t>
  </si>
  <si>
    <t>Отырған жеріміз қолдануға дайын болды, тазалық бойынша ерекше пікір жоқ.</t>
  </si>
  <si>
    <t>Бағасы мәзірдегі ұсынысқа сай сияқты, тым жоғары не төмен сезілмеді.</t>
  </si>
  <si>
    <t>Төленген ақша мен алынған тағам көлемі шамалас көрінді.</t>
  </si>
  <si>
    <t>Тапсырысты күту уақыты орташа болды, асықпай дайындалды.</t>
  </si>
  <si>
    <t>Дайындалу процесі әдеттегі уақыт алды, ұзақ созылды деп айта алмаймын.</t>
  </si>
  <si>
    <t>Ішкі орта тыныштау болды, жай ғана отырып шығуға болады.</t>
  </si>
  <si>
    <t>Атмосферасы қарапайым, қатты әсер қалдыратын деталь байқалмады.</t>
  </si>
  <si>
    <t>Мекенжай бойынша табуға болады, орналасуы аса қиындық тудырмады.</t>
  </si>
  <si>
    <t>Орынға жету мүмкін, бірақ локациясы ерекше ыңғайлы деп айтпас едім.</t>
  </si>
  <si>
    <t>Вкус блюда был спокойный, без яркого акцента, но вполне привычный.</t>
  </si>
  <si>
    <t>Еда воспринимается как стандартная, без сильного впечатления после посещения.</t>
  </si>
  <si>
    <t>Сотрудники приняли заказ и дальше особо не вмешивались, всё прошло ровно.</t>
  </si>
  <si>
    <t>Персонал вел себя нейтрально, без лишнего внимания и без неприятных моментов.</t>
  </si>
  <si>
    <t>В заказе оказались те позиции, которые были выбраны при оформлении.</t>
  </si>
  <si>
    <t>Комплектация совпала с заказом, ничего неожиданного в пакете не было.</t>
  </si>
  <si>
    <t>В помещении было убрано на приемлемом уровне, заметных проблем не увидела.</t>
  </si>
  <si>
    <t>Место выглядело достаточно опрятно для обычного посещения.</t>
  </si>
  <si>
    <t>Цена показалась стандартной для такого формата заведения.</t>
  </si>
  <si>
    <t>По стоимости всё примерно ожидаемо, без ощущения особой выгоды или переплаты.</t>
  </si>
  <si>
    <t>Заказ готовился в среднем темпе, ждать пришлось примерно ожидаемо.</t>
  </si>
  <si>
    <t>По времени всё вышло спокойно, без ощущения сильной задержки.</t>
  </si>
  <si>
    <t>Обстановка внутри простая, без особого настроения, но находиться можно.</t>
  </si>
  <si>
    <t>Атмосфера нейтральная, ничего сильно не отвлекало и не запомнилось.</t>
  </si>
  <si>
    <t>Заведение удалось найти по адресу, расположение в целом понятное.</t>
  </si>
  <si>
    <t>Место находится не слишком удобно и не слишком далеко, обычная локация.</t>
  </si>
  <si>
    <t>Дәмі таныс фастфуд деңгейінде болды, жегенде нақты жақсы не жаман ой қалмады.</t>
  </si>
  <si>
    <t>Тағам ауызға ауыр тимеді, бірақ ерекше дәм күтетіндей де емес.</t>
  </si>
  <si>
    <t>Ас жалпы жеуге болатын деңгейде, дәмі аса ерекшеленбеді.</t>
  </si>
  <si>
    <t>Қызметкер сұрағыма қысқа жауап берді, бәрі жай ғана жұмыс тәртібімен өтті.</t>
  </si>
  <si>
    <t>Персонал тарапынан артық көңіл бөлу байқалмады, бірақ жағдай да туындамады.</t>
  </si>
  <si>
    <t>Қызмет көрсету жай ғана бейтарап болды, ешқандай ерекше сәт есімде қалмады.</t>
  </si>
  <si>
    <t>Чектегі атаулар мен берілген өнімдер бір-біріне сәйкес келді.</t>
  </si>
  <si>
    <t>Қаптаманы қарағанда тапсырыстан бөлек артық нәрсе байқалмады.</t>
  </si>
  <si>
    <t>Заказ құрамын тексергенде бәрі жазылған тізім бойынша тұрған сияқты болды.</t>
  </si>
  <si>
    <t>Зал көзге жайлы көрінді, тазалық бойынша нақты шағым айта алмаймын.</t>
  </si>
  <si>
    <t>Отырған аймақта бәрі реттелген сияқты, ерекше мін байқамадым.</t>
  </si>
  <si>
    <t>Гигиена жағы қарапайым деңгейде болды, көзге оғаш нәрсе түспеді.</t>
  </si>
  <si>
    <t>Баға осы форматтағы орындарға ұқсас, қатты айырмашылық сезілмеді.</t>
  </si>
  <si>
    <t>Ақша жағынан күткен деңгейіммен шамалас шықты.</t>
  </si>
  <si>
    <t>Құны мәзірдегі ұсыныстарға сай көрінді, артық пікір жоқ.</t>
  </si>
  <si>
    <t>Күту уақыты аса байқалмады, бәрі бірқалыпты жүрді.</t>
  </si>
  <si>
    <t>Тапсырыс дайын болғанша біраз отырдым, бірақ бұл әдеттегі уақыт сияқты.</t>
  </si>
  <si>
    <t>Жылдамдық жағынан бәрі тыныш өтті, асығыс та, баяу да емес.</t>
  </si>
  <si>
    <t>Ішкі орта көзге қарапайым көрінді, отыруға кедергі болған жоқ.</t>
  </si>
  <si>
    <t>Залдағы көңіл күй жай, ерекше атмосфера сезілмеді.</t>
  </si>
  <si>
    <t>Интерьер тым көзге түспейді, бірақ қысқа уақыт отыруға болады.</t>
  </si>
  <si>
    <t>Орынға жету аса қиын болған жоқ, бірақ локациясы да қатты ыңғайлы емес.</t>
  </si>
  <si>
    <t>Мекенжайды қарап барсаң, табуға болады. Өздігінен көзге түсе бермейді.</t>
  </si>
  <si>
    <t>Орналасуы жай ғана қалыпты, арнайы артықшылық байқалмады.</t>
  </si>
  <si>
    <t>Вкус был привычный, без сильного впечатления после еды.</t>
  </si>
  <si>
    <t>Блюдо получилось обычным, без заметного акцента во вкусе.</t>
  </si>
  <si>
    <t>Еда воспринимается спокойно, попробовать можно, но ничего особенного.</t>
  </si>
  <si>
    <t>Сотрудник ответил по делу и дальше просто выполнял свою работу.</t>
  </si>
  <si>
    <t>Общение с персоналом было ровным, без лишней вовлеченности.</t>
  </si>
  <si>
    <t>Обслуживание прошло нейтрально, без запоминающихся моментов.</t>
  </si>
  <si>
    <t>Состав заказа совпал с тем, что было указано при оформлении.</t>
  </si>
  <si>
    <t>При проверке пакета всё выглядело по списку.</t>
  </si>
  <si>
    <t>В заказе не оказалось неожиданных замен или лишних позиций.</t>
  </si>
  <si>
    <t>В зале было достаточно опрятно, ничего неприятного не бросилось в глаза.</t>
  </si>
  <si>
    <t>Место выглядело убранным, без заметных проблем по чистоте.</t>
  </si>
  <si>
    <t>По гигиене впечатление осталось ровное, без конкретных замечаний.</t>
  </si>
  <si>
    <t>Стоимость выглядит типичной для такого меню.</t>
  </si>
  <si>
    <t>Цена примерно соответствует тому, что обычно ожидаешь в подобных местах.</t>
  </si>
  <si>
    <t>По соотношению цены и результата всё выглядит нейтрально.</t>
  </si>
  <si>
    <t>Ожидание прошло спокойно, без ощущения спешки или задержки.</t>
  </si>
  <si>
    <t>Заказ готовили в обычном темпе, время не сильно выделилось.</t>
  </si>
  <si>
    <t>По скорости всё было ровно, без заметных плюсов или минусов.</t>
  </si>
  <si>
    <t>Обстановка внутри спокойная, без яркого настроения.</t>
  </si>
  <si>
    <t>Интерьер простой, не отвлекает и особо не запоминается.</t>
  </si>
  <si>
    <t>Атмосфера внутри нейтральная, просто место для обычного перекуса.</t>
  </si>
  <si>
    <t>До заведения можно добраться без особых сложностей, если заранее посмотреть адрес.</t>
  </si>
  <si>
    <t>Расположение не вызывает сильных эмоций, обычная точка на карте.</t>
  </si>
  <si>
    <t>Место не самое заметное, но найти его вполне реально.</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</si>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</sst>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sz val="8"/>
      <name val="Calibri"/>
      <family val="2"/>
      <scheme val="minor"/>
    </font>
    <font>
      <b/>
      <sz val="14"/>
      <color rgb="FFFFFFFF"/>
      <name val="Calibri"/>
    </font>
    <font>
      <b/>
      <sz val="11"/>
      <color rgb="FFFFFFFF"/>
      <name val="Calibri"/>
    </font>
    <font>
      <b/>
      <sz val="11"/>
      <name val="Calibri"/>
    </font>
    <font>
      <b/>
      <sz val="14"/>
      <color rgb="FFFFFFFF"/>
      <name val="Calibri"/>
      <family val="2"/>
      <charset val="204"/>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F4F8FB"/>
      </patternFill>
    </fill>
    <fill>
      <patternFill patternType="solid">
        <fgColor rgb="FFE2F0D9"/>
      </patternFill>
    </fill>
    <fill>
      <patternFill patternType="solid">
        <fgColor rgb="FFFFF2CC"/>
      </patternFill>
    </fill>
    <fill>
      <patternFill patternType="solid">
        <fgColor theme="9" tint="0.79998168889431442"/>
        <bgColor theme="9" tint="0.79998168889431442"/>
      </patternFill>
    </fill>
  </fills>
  <borders count="6">
    <border>
      <left/>
      <right/>
      <top/>
      <bottom/>
      <diagonal/>
    </border>
    <border>
      <left/>
      <right/>
      <top/>
      <bottom style="thin">
        <color rgb="FFD9E2F3"/>
      </bottom>
      <diagonal/>
    </border>
    <border>
      <left style="thin">
        <color rgb="FFB7C9D6"/>
      </left>
      <right style="thin">
        <color rgb="FFB7C9D6"/>
      </right>
      <top style="thin">
        <color rgb="FFB7C9D6"/>
      </top>
      <bottom style="thin">
        <color rgb="FFB7C9D6"/>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28">
    <xf numFmtId="0" fontId="0" fillId="0" borderId="0" xfId="0"/>
    <xf numFmtId="0" fontId="0" fillId="0" borderId="0" xfId="0" applyAlignment="1">
      <alignment vertical="top"/>
    </xf>
    <xf numFmtId="0" fontId="0" fillId="0" borderId="0" xfId="0" applyAlignment="1">
      <alignment vertical="top" wrapText="1"/>
    </xf>
    <xf numFmtId="0" fontId="5" fillId="5" borderId="2" xfId="0" applyFont="1" applyFill="1" applyBorder="1" applyAlignment="1">
      <alignment horizontal="left"/>
    </xf>
    <xf numFmtId="0" fontId="5" fillId="5" borderId="2" xfId="0" applyFont="1" applyFill="1" applyBorder="1" applyAlignment="1">
      <alignment horizontal="center"/>
    </xf>
    <xf numFmtId="0" fontId="0" fillId="0" borderId="0" xfId="0" applyAlignment="1">
      <alignment horizontal="center"/>
    </xf>
    <xf numFmtId="0" fontId="4" fillId="2" borderId="2" xfId="0" applyFont="1" applyFill="1" applyBorder="1"/>
    <xf numFmtId="0" fontId="5" fillId="3" borderId="2" xfId="0" applyFont="1" applyFill="1" applyBorder="1"/>
    <xf numFmtId="0" fontId="5" fillId="3" borderId="2" xfId="0" applyFont="1" applyFill="1" applyBorder="1" applyAlignment="1">
      <alignment horizontal="center"/>
    </xf>
    <xf numFmtId="0" fontId="0" fillId="4" borderId="2" xfId="0" applyFill="1" applyBorder="1" applyAlignment="1">
      <alignment horizontal="left"/>
    </xf>
    <xf numFmtId="0" fontId="0" fillId="4" borderId="2" xfId="0" applyFill="1" applyBorder="1" applyAlignment="1">
      <alignment horizontal="center"/>
    </xf>
    <xf numFmtId="0" fontId="5" fillId="6" borderId="2" xfId="0" applyFont="1" applyFill="1" applyBorder="1" applyAlignment="1">
      <alignment horizontal="left"/>
    </xf>
    <xf numFmtId="0" fontId="5" fillId="6" borderId="2" xfId="0" applyFont="1" applyFill="1" applyBorder="1" applyAlignment="1">
      <alignment horizontal="center"/>
    </xf>
    <xf numFmtId="0" fontId="5" fillId="0" borderId="2" xfId="0" applyFont="1" applyBorder="1" applyAlignment="1">
      <alignment horizontal="left"/>
    </xf>
    <xf numFmtId="0" fontId="0" fillId="0" borderId="2" xfId="0" applyBorder="1" applyAlignment="1">
      <alignment horizontal="left"/>
    </xf>
    <xf numFmtId="0" fontId="5" fillId="0" borderId="2" xfId="0" applyFont="1" applyBorder="1"/>
    <xf numFmtId="0" fontId="0" fillId="0" borderId="2" xfId="0" applyBorder="1"/>
    <xf numFmtId="0" fontId="1" fillId="2" borderId="1" xfId="0" applyFont="1" applyFill="1" applyBorder="1" applyAlignment="1">
      <alignment horizontal="center" vertical="center" wrapText="1"/>
    </xf>
    <xf numFmtId="0" fontId="0" fillId="7" borderId="3" xfId="0" applyFill="1" applyBorder="1"/>
    <xf numFmtId="0" fontId="0" fillId="0" borderId="3" xfId="0" applyBorder="1"/>
    <xf numFmtId="0" fontId="0" fillId="7" borderId="4" xfId="0" applyFill="1" applyBorder="1"/>
    <xf numFmtId="0" fontId="0" fillId="7" borderId="5" xfId="0" applyFill="1" applyBorder="1"/>
    <xf numFmtId="0" fontId="0" fillId="0" borderId="4" xfId="0" applyBorder="1"/>
    <xf numFmtId="0" fontId="0" fillId="0" borderId="5" xfId="0" applyBorder="1"/>
    <xf numFmtId="0" fontId="3" fillId="2" borderId="0" xfId="0" applyFont="1" applyFill="1" applyAlignment="1">
      <alignment horizontal="center"/>
    </xf>
    <xf numFmtId="0" fontId="0" fillId="0" borderId="0" xfId="0"/>
    <xf numFmtId="0" fontId="6" fillId="2" borderId="0" xfId="0" applyFont="1" applyFill="1" applyAlignment="1">
      <alignment horizontal="center"/>
    </xf>
    <xf numFmtId="0" fontId="4" fillId="2" borderId="2" xfId="0" applyFont="1"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opLeftCell="A3" workbookViewId="0">
      <selection activeCell="C21" sqref="C21"/>
    </sheetView>
  </sheetViews>
  <sheetFormatPr defaultRowHeight="14.5" x14ac:dyDescent="0.35"/>
  <cols>
    <col min="1" max="1" width="22" customWidth="1"/>
    <col min="2" max="2" width="12" customWidth="1"/>
    <col min="3" max="3" width="4" customWidth="1"/>
    <col min="4" max="5" width="12" customWidth="1"/>
    <col min="6" max="8" width="10" customWidth="1"/>
    <col min="9" max="9" width="14" customWidth="1"/>
  </cols>
  <sheetData>
    <row r="1" spans="1:9" ht="18.5" x14ac:dyDescent="0.45">
      <c r="A1" s="24" t="s">
        <v>0</v>
      </c>
      <c r="B1" s="25"/>
      <c r="C1" s="25"/>
      <c r="D1" s="25"/>
      <c r="E1" s="25"/>
      <c r="F1" s="25"/>
    </row>
    <row r="3" spans="1:9" x14ac:dyDescent="0.35">
      <c r="A3" s="3" t="s">
        <v>1</v>
      </c>
      <c r="B3" s="4">
        <f>COUNTA(Data!$B:$B)-1</f>
        <v>2377</v>
      </c>
    </row>
    <row r="4" spans="1:9" x14ac:dyDescent="0.35">
      <c r="B4" s="5"/>
    </row>
    <row r="5" spans="1:9" x14ac:dyDescent="0.35">
      <c r="A5" s="6" t="s">
        <v>2</v>
      </c>
      <c r="B5" s="5"/>
      <c r="D5" s="6" t="s">
        <v>3</v>
      </c>
    </row>
    <row r="6" spans="1:9" x14ac:dyDescent="0.35">
      <c r="A6" s="7" t="s">
        <v>4</v>
      </c>
      <c r="B6" s="8" t="s">
        <v>5</v>
      </c>
      <c r="D6" s="7" t="s">
        <v>6</v>
      </c>
      <c r="E6" s="7" t="s">
        <v>7</v>
      </c>
      <c r="F6" s="7" t="s">
        <v>8</v>
      </c>
      <c r="G6" s="7" t="s">
        <v>9</v>
      </c>
      <c r="H6" s="7" t="s">
        <v>10</v>
      </c>
      <c r="I6" s="7" t="s">
        <v>11</v>
      </c>
    </row>
    <row r="7" spans="1:9" x14ac:dyDescent="0.35">
      <c r="A7" s="9" t="s">
        <v>12</v>
      </c>
      <c r="B7" s="10">
        <f>COUNTIF(Data!$B:$B,A7)</f>
        <v>1061</v>
      </c>
      <c r="D7" s="9" t="s">
        <v>13</v>
      </c>
      <c r="E7" s="10">
        <f>COUNTIF(Data!$E:$E,1)</f>
        <v>1129</v>
      </c>
      <c r="F7" s="10">
        <f>COUNTIFS(Data!$E:$E,1,Data!$F:$F,"positive")</f>
        <v>662</v>
      </c>
      <c r="G7" s="10">
        <f>COUNTIFS(Data!$E:$E,1,Data!$F:$F,"neutral")</f>
        <v>146</v>
      </c>
      <c r="H7" s="10">
        <f>COUNTIFS(Data!$E:$E,1,Data!$F:$F,"negative")</f>
        <v>321</v>
      </c>
      <c r="I7" s="10">
        <f>COUNTIF(Data!$E:$E,0)</f>
        <v>1247</v>
      </c>
    </row>
    <row r="8" spans="1:9" x14ac:dyDescent="0.35">
      <c r="A8" s="9" t="s">
        <v>14</v>
      </c>
      <c r="B8" s="10">
        <f>COUNTIF(Data!$B:$B,A8)</f>
        <v>1003</v>
      </c>
      <c r="D8" s="9" t="s">
        <v>15</v>
      </c>
      <c r="E8" s="10">
        <f>COUNTIF(Data!$G:$G,1)</f>
        <v>1096</v>
      </c>
      <c r="F8" s="10">
        <f>COUNTIFS(Data!$G:$G,1,Data!$H:$H,"positive")</f>
        <v>625</v>
      </c>
      <c r="G8" s="10">
        <f>COUNTIFS(Data!$G:$G,1,Data!$H:$H,"neutral")</f>
        <v>70</v>
      </c>
      <c r="H8" s="10">
        <f>COUNTIFS(Data!$G:$G,1,Data!$H:$H,"negative")</f>
        <v>401</v>
      </c>
      <c r="I8" s="10">
        <f>COUNTIF(Data!$G:$G,0)</f>
        <v>1280</v>
      </c>
    </row>
    <row r="9" spans="1:9" x14ac:dyDescent="0.35">
      <c r="A9" s="9" t="s">
        <v>16</v>
      </c>
      <c r="B9" s="10">
        <f>COUNTIF(Data!$B:$B,A9)</f>
        <v>313</v>
      </c>
      <c r="D9" s="9" t="s">
        <v>17</v>
      </c>
      <c r="E9" s="10">
        <f>COUNTIF(Data!$I:$I,1)</f>
        <v>354</v>
      </c>
      <c r="F9" s="10">
        <f>COUNTIFS(Data!$I:$I,1,Data!$J:$J,"positive")</f>
        <v>40</v>
      </c>
      <c r="G9" s="10">
        <f>COUNTIFS(Data!$I:$I,1,Data!$J:$J,"neutral")</f>
        <v>77</v>
      </c>
      <c r="H9" s="10">
        <f>COUNTIFS(Data!$I:$I,1,Data!$J:$J,"negative")</f>
        <v>237</v>
      </c>
      <c r="I9" s="10">
        <f>COUNTIF(Data!$I:$I,0)</f>
        <v>2022</v>
      </c>
    </row>
    <row r="10" spans="1:9" x14ac:dyDescent="0.35">
      <c r="A10" s="11" t="s">
        <v>18</v>
      </c>
      <c r="B10" s="12">
        <f>SUM(B7:B9)</f>
        <v>2377</v>
      </c>
      <c r="D10" s="9" t="s">
        <v>19</v>
      </c>
      <c r="E10" s="10">
        <f>COUNTIF(Data!$K:$K,1)</f>
        <v>398</v>
      </c>
      <c r="F10" s="10">
        <f>COUNTIFS(Data!$K:$K,1,Data!$L:$L,"positive")</f>
        <v>104</v>
      </c>
      <c r="G10" s="10">
        <f>COUNTIFS(Data!$K:$K,1,Data!$L:$L,"neutral")</f>
        <v>91</v>
      </c>
      <c r="H10" s="10">
        <f>COUNTIFS(Data!$K:$K,1,Data!$L:$L,"negative")</f>
        <v>203</v>
      </c>
      <c r="I10" s="10">
        <f>COUNTIF(Data!$K:$K,0)</f>
        <v>1978</v>
      </c>
    </row>
    <row r="11" spans="1:9" x14ac:dyDescent="0.35">
      <c r="D11" s="9" t="s">
        <v>20</v>
      </c>
      <c r="E11" s="10">
        <f>COUNTIF(Data!$M:$M,1)</f>
        <v>299</v>
      </c>
      <c r="F11" s="10">
        <f>COUNTIFS(Data!$M:$M,1,Data!$N:$N,"positive")</f>
        <v>67</v>
      </c>
      <c r="G11" s="10">
        <f>COUNTIFS(Data!$M:$M,1,Data!$N:$N,"neutral")</f>
        <v>54</v>
      </c>
      <c r="H11" s="10">
        <f>COUNTIFS(Data!$M:$M,1,Data!$N:$N,"negative")</f>
        <v>178</v>
      </c>
      <c r="I11" s="10">
        <f>COUNTIF(Data!$M:$M,0)</f>
        <v>2076</v>
      </c>
    </row>
    <row r="12" spans="1:9" x14ac:dyDescent="0.35">
      <c r="A12" s="13" t="s">
        <v>21</v>
      </c>
      <c r="D12" s="9" t="s">
        <v>22</v>
      </c>
      <c r="E12" s="10">
        <f>COUNTIF(Data!$O:$O,1)</f>
        <v>357</v>
      </c>
      <c r="F12" s="10">
        <f>COUNTIFS(Data!$O:$O,1,Data!$P:$P,"positive")</f>
        <v>115</v>
      </c>
      <c r="G12" s="10">
        <f>COUNTIFS(Data!$O:$O,1,Data!$P:$P,"neutral")</f>
        <v>27</v>
      </c>
      <c r="H12" s="10">
        <f>COUNTIFS(Data!$O:$O,1,Data!$P:$P,"negative")</f>
        <v>215</v>
      </c>
      <c r="I12" s="10">
        <f>COUNTIF(Data!$O:$O,0)</f>
        <v>2018</v>
      </c>
    </row>
    <row r="13" spans="1:9" x14ac:dyDescent="0.35">
      <c r="A13" s="14" t="s">
        <v>23</v>
      </c>
      <c r="D13" s="9" t="s">
        <v>24</v>
      </c>
      <c r="E13" s="10">
        <f>COUNTIF(Data!$Q:$Q,1)</f>
        <v>582</v>
      </c>
      <c r="F13" s="10">
        <f>COUNTIFS(Data!$Q:$Q,1,Data!$R:$R,"positive")</f>
        <v>401</v>
      </c>
      <c r="G13" s="10">
        <f>COUNTIFS(Data!$Q:$Q,1,Data!$R:$R,"neutral")</f>
        <v>54</v>
      </c>
      <c r="H13" s="10">
        <f>COUNTIFS(Data!$Q:$Q,1,Data!$R:$R,"negative")</f>
        <v>127</v>
      </c>
      <c r="I13" s="10">
        <f>COUNTIF(Data!$Q:$Q,0)</f>
        <v>1793</v>
      </c>
    </row>
    <row r="14" spans="1:9" x14ac:dyDescent="0.35">
      <c r="A14" s="14" t="s">
        <v>25</v>
      </c>
      <c r="D14" s="9" t="s">
        <v>26</v>
      </c>
      <c r="E14" s="10">
        <f>COUNTIF(Data!$S:$S,1)</f>
        <v>274</v>
      </c>
      <c r="F14" s="10">
        <f>COUNTIFS(Data!$S:$S,1,Data!$T:$T,"positive")</f>
        <v>103</v>
      </c>
      <c r="G14" s="10">
        <f>COUNTIFS(Data!$S:$S,1,Data!$T:$T,"neutral")</f>
        <v>74</v>
      </c>
      <c r="H14" s="10">
        <f>COUNTIFS(Data!$S:$S,1,Data!$T:$T,"negative")</f>
        <v>97</v>
      </c>
      <c r="I14" s="10">
        <f>COUNTIF(Data!$S:$S,0)</f>
        <v>2100</v>
      </c>
    </row>
    <row r="15" spans="1:9" x14ac:dyDescent="0.35">
      <c r="A15" s="15" t="s">
        <v>27</v>
      </c>
    </row>
    <row r="16" spans="1:9" x14ac:dyDescent="0.35">
      <c r="A16" s="16" t="s">
        <v>28</v>
      </c>
    </row>
    <row r="18" spans="1:6" x14ac:dyDescent="0.35">
      <c r="A18" s="14" t="s">
        <v>29</v>
      </c>
      <c r="B18" s="14"/>
      <c r="C18" s="14"/>
      <c r="D18" s="14"/>
      <c r="E18" s="14"/>
      <c r="F18" s="14"/>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378"/>
  <sheetViews>
    <sheetView tabSelected="1" zoomScale="86" zoomScaleNormal="70" workbookViewId="0">
      <pane ySplit="1" topLeftCell="A2349" activePane="bottomLeft" state="frozen"/>
      <selection pane="bottomLeft" activeCell="D2372" sqref="D2372"/>
    </sheetView>
  </sheetViews>
  <sheetFormatPr defaultRowHeight="14.5" x14ac:dyDescent="0.35"/>
  <cols>
    <col min="1" max="1" width="9.453125" customWidth="1"/>
    <col min="2" max="2" width="10.1796875" customWidth="1"/>
    <col min="3" max="3" width="13" customWidth="1"/>
    <col min="4" max="4" width="97.90625" customWidth="1"/>
    <col min="5" max="5" width="6.1796875" customWidth="1"/>
    <col min="6" max="6" width="10" customWidth="1"/>
    <col min="7" max="7" width="6.7265625" customWidth="1"/>
    <col min="8" max="8" width="8.81640625" customWidth="1"/>
    <col min="9" max="9" width="9.7265625" customWidth="1"/>
    <col min="10" max="10" width="10" customWidth="1"/>
    <col min="11" max="11" width="2.7265625" customWidth="1"/>
    <col min="12" max="12" width="10" customWidth="1"/>
    <col min="13" max="13" width="2.08984375" customWidth="1"/>
    <col min="14" max="14" width="10" customWidth="1"/>
    <col min="15" max="15" width="1.81640625" customWidth="1"/>
    <col min="16" max="16" width="10" customWidth="1"/>
    <col min="17" max="17" width="1.81640625" customWidth="1"/>
    <col min="18" max="18" width="13.54296875" customWidth="1"/>
    <col min="19" max="19" width="5.7265625" customWidth="1"/>
    <col min="20" max="20" width="7.6328125" customWidth="1"/>
  </cols>
  <sheetData>
    <row r="1" spans="1:20" ht="43.5" x14ac:dyDescent="0.35">
      <c r="A1" s="17" t="s">
        <v>30</v>
      </c>
      <c r="B1" s="17" t="s">
        <v>31</v>
      </c>
      <c r="C1" s="17" t="s">
        <v>32</v>
      </c>
      <c r="D1" s="17" t="s">
        <v>33</v>
      </c>
      <c r="E1" s="17" t="s">
        <v>13</v>
      </c>
      <c r="F1" s="17" t="s">
        <v>34</v>
      </c>
      <c r="G1" s="17" t="s">
        <v>15</v>
      </c>
      <c r="H1" s="17" t="s">
        <v>35</v>
      </c>
      <c r="I1" s="17" t="s">
        <v>17</v>
      </c>
      <c r="J1" s="17" t="s">
        <v>36</v>
      </c>
      <c r="K1" s="17" t="s">
        <v>19</v>
      </c>
      <c r="L1" s="17" t="s">
        <v>37</v>
      </c>
      <c r="M1" s="17" t="s">
        <v>20</v>
      </c>
      <c r="N1" s="17" t="s">
        <v>38</v>
      </c>
      <c r="O1" s="17" t="s">
        <v>22</v>
      </c>
      <c r="P1" s="17" t="s">
        <v>39</v>
      </c>
      <c r="Q1" s="17" t="s">
        <v>24</v>
      </c>
      <c r="R1" s="17" t="s">
        <v>40</v>
      </c>
      <c r="S1" s="17" t="s">
        <v>26</v>
      </c>
      <c r="T1" s="17" t="s">
        <v>41</v>
      </c>
    </row>
    <row r="2" spans="1:20" x14ac:dyDescent="0.35">
      <c r="A2" s="1" t="s">
        <v>42</v>
      </c>
      <c r="B2" s="1" t="s">
        <v>12</v>
      </c>
      <c r="C2" s="1" t="s">
        <v>43</v>
      </c>
      <c r="D2" s="2" t="s">
        <v>44</v>
      </c>
      <c r="E2" s="1" t="s">
        <v>42</v>
      </c>
      <c r="F2" s="1" t="s">
        <v>45</v>
      </c>
      <c r="G2" s="1" t="s">
        <v>42</v>
      </c>
      <c r="H2" s="1" t="s">
        <v>45</v>
      </c>
      <c r="I2" s="1" t="s">
        <v>46</v>
      </c>
      <c r="J2" s="1" t="s">
        <v>47</v>
      </c>
      <c r="K2" s="1" t="s">
        <v>46</v>
      </c>
      <c r="L2" s="1" t="s">
        <v>47</v>
      </c>
      <c r="M2" s="1" t="s">
        <v>46</v>
      </c>
      <c r="N2" s="1" t="s">
        <v>47</v>
      </c>
      <c r="O2" s="1" t="s">
        <v>42</v>
      </c>
      <c r="P2" s="1" t="s">
        <v>48</v>
      </c>
      <c r="Q2" s="1" t="s">
        <v>46</v>
      </c>
      <c r="R2" s="1" t="s">
        <v>47</v>
      </c>
      <c r="S2" s="1" t="s">
        <v>46</v>
      </c>
      <c r="T2" s="1" t="s">
        <v>47</v>
      </c>
    </row>
    <row r="3" spans="1:20" x14ac:dyDescent="0.35">
      <c r="A3" s="1" t="s">
        <v>49</v>
      </c>
      <c r="B3" s="1" t="s">
        <v>12</v>
      </c>
      <c r="C3" s="1" t="s">
        <v>49</v>
      </c>
      <c r="D3" s="2" t="s">
        <v>50</v>
      </c>
      <c r="E3" s="1" t="s">
        <v>46</v>
      </c>
      <c r="F3" s="1" t="s">
        <v>47</v>
      </c>
      <c r="G3" s="1" t="s">
        <v>46</v>
      </c>
      <c r="H3" s="1" t="s">
        <v>47</v>
      </c>
      <c r="I3" s="1" t="s">
        <v>42</v>
      </c>
      <c r="J3" s="1" t="s">
        <v>48</v>
      </c>
      <c r="K3" s="1" t="s">
        <v>42</v>
      </c>
      <c r="L3" s="1" t="s">
        <v>48</v>
      </c>
      <c r="M3" s="1" t="s">
        <v>42</v>
      </c>
      <c r="N3" s="1" t="s">
        <v>48</v>
      </c>
      <c r="O3" s="1" t="s">
        <v>46</v>
      </c>
      <c r="P3" s="1" t="s">
        <v>47</v>
      </c>
      <c r="Q3" s="1" t="s">
        <v>46</v>
      </c>
      <c r="R3" s="1" t="s">
        <v>47</v>
      </c>
      <c r="S3" s="1" t="s">
        <v>46</v>
      </c>
      <c r="T3" s="1" t="s">
        <v>47</v>
      </c>
    </row>
    <row r="4" spans="1:20" x14ac:dyDescent="0.35">
      <c r="A4" s="1" t="s">
        <v>51</v>
      </c>
      <c r="B4" s="1" t="s">
        <v>12</v>
      </c>
      <c r="C4" s="1" t="s">
        <v>52</v>
      </c>
      <c r="D4" s="2" t="s">
        <v>53</v>
      </c>
      <c r="E4" s="1" t="s">
        <v>42</v>
      </c>
      <c r="F4" s="1" t="s">
        <v>45</v>
      </c>
      <c r="G4" s="1" t="s">
        <v>46</v>
      </c>
      <c r="H4" s="1" t="s">
        <v>47</v>
      </c>
      <c r="I4" s="1" t="s">
        <v>46</v>
      </c>
      <c r="J4" s="1" t="s">
        <v>47</v>
      </c>
      <c r="K4" s="1" t="s">
        <v>46</v>
      </c>
      <c r="L4" s="1" t="s">
        <v>47</v>
      </c>
      <c r="M4" s="1" t="s">
        <v>46</v>
      </c>
      <c r="N4" s="1" t="s">
        <v>47</v>
      </c>
      <c r="O4" s="1" t="s">
        <v>46</v>
      </c>
      <c r="P4" s="1" t="s">
        <v>47</v>
      </c>
      <c r="Q4" s="1" t="s">
        <v>42</v>
      </c>
      <c r="R4" s="1" t="s">
        <v>45</v>
      </c>
      <c r="S4" s="1" t="s">
        <v>42</v>
      </c>
      <c r="T4" s="1" t="s">
        <v>45</v>
      </c>
    </row>
    <row r="5" spans="1:20" x14ac:dyDescent="0.35">
      <c r="A5" s="1" t="s">
        <v>43</v>
      </c>
      <c r="B5" s="1" t="s">
        <v>14</v>
      </c>
      <c r="C5" s="1" t="s">
        <v>51</v>
      </c>
      <c r="D5" s="2" t="s">
        <v>54</v>
      </c>
      <c r="E5" s="1" t="s">
        <v>42</v>
      </c>
      <c r="F5" s="1" t="s">
        <v>55</v>
      </c>
      <c r="G5" s="1" t="s">
        <v>42</v>
      </c>
      <c r="H5" s="1" t="s">
        <v>48</v>
      </c>
      <c r="I5" s="1" t="s">
        <v>46</v>
      </c>
      <c r="J5" s="1" t="s">
        <v>47</v>
      </c>
      <c r="K5" s="1" t="s">
        <v>46</v>
      </c>
      <c r="L5" s="1" t="s">
        <v>47</v>
      </c>
      <c r="M5" s="1" t="s">
        <v>46</v>
      </c>
      <c r="N5" s="1" t="s">
        <v>47</v>
      </c>
      <c r="O5" s="1" t="s">
        <v>42</v>
      </c>
      <c r="P5" s="1" t="s">
        <v>48</v>
      </c>
      <c r="Q5" s="1" t="s">
        <v>46</v>
      </c>
      <c r="R5" s="1" t="s">
        <v>47</v>
      </c>
      <c r="S5" s="1" t="s">
        <v>46</v>
      </c>
      <c r="T5" s="1" t="s">
        <v>47</v>
      </c>
    </row>
    <row r="6" spans="1:20" x14ac:dyDescent="0.35">
      <c r="A6" s="1" t="s">
        <v>52</v>
      </c>
      <c r="B6" t="s">
        <v>12</v>
      </c>
      <c r="C6">
        <v>5</v>
      </c>
      <c r="D6" t="s">
        <v>56</v>
      </c>
      <c r="E6">
        <v>1</v>
      </c>
      <c r="F6" t="s">
        <v>45</v>
      </c>
      <c r="G6">
        <v>0</v>
      </c>
      <c r="H6" t="s">
        <v>47</v>
      </c>
      <c r="I6">
        <v>0</v>
      </c>
      <c r="J6" t="s">
        <v>47</v>
      </c>
      <c r="K6">
        <v>0</v>
      </c>
      <c r="L6" t="s">
        <v>47</v>
      </c>
      <c r="M6">
        <v>0</v>
      </c>
      <c r="N6" t="s">
        <v>47</v>
      </c>
      <c r="O6">
        <v>0</v>
      </c>
      <c r="P6" t="s">
        <v>47</v>
      </c>
      <c r="Q6">
        <v>0</v>
      </c>
      <c r="R6" t="s">
        <v>47</v>
      </c>
      <c r="S6">
        <v>0</v>
      </c>
      <c r="T6" t="s">
        <v>47</v>
      </c>
    </row>
    <row r="7" spans="1:20" x14ac:dyDescent="0.35">
      <c r="A7" s="1" t="s">
        <v>57</v>
      </c>
      <c r="B7" t="s">
        <v>14</v>
      </c>
      <c r="C7">
        <v>5</v>
      </c>
      <c r="D7" t="s">
        <v>58</v>
      </c>
      <c r="E7">
        <v>0</v>
      </c>
      <c r="F7" t="s">
        <v>47</v>
      </c>
      <c r="G7">
        <v>0</v>
      </c>
      <c r="H7" t="s">
        <v>47</v>
      </c>
      <c r="I7">
        <v>0</v>
      </c>
      <c r="J7" t="s">
        <v>47</v>
      </c>
      <c r="K7">
        <v>0</v>
      </c>
      <c r="L7" t="s">
        <v>47</v>
      </c>
      <c r="M7">
        <v>0</v>
      </c>
      <c r="N7" t="s">
        <v>47</v>
      </c>
      <c r="O7">
        <v>0</v>
      </c>
      <c r="P7" t="s">
        <v>47</v>
      </c>
      <c r="Q7">
        <v>1</v>
      </c>
      <c r="R7" t="s">
        <v>45</v>
      </c>
      <c r="S7">
        <v>0</v>
      </c>
      <c r="T7" t="s">
        <v>47</v>
      </c>
    </row>
    <row r="8" spans="1:20" x14ac:dyDescent="0.35">
      <c r="A8" s="1" t="s">
        <v>59</v>
      </c>
      <c r="B8" t="s">
        <v>14</v>
      </c>
      <c r="C8">
        <v>5</v>
      </c>
      <c r="D8" s="2" t="s">
        <v>60</v>
      </c>
      <c r="E8">
        <v>0</v>
      </c>
      <c r="F8" t="s">
        <v>47</v>
      </c>
      <c r="G8">
        <v>0</v>
      </c>
      <c r="H8" t="s">
        <v>47</v>
      </c>
      <c r="I8">
        <v>0</v>
      </c>
      <c r="J8" t="s">
        <v>47</v>
      </c>
      <c r="K8">
        <v>0</v>
      </c>
      <c r="L8" t="s">
        <v>47</v>
      </c>
      <c r="M8">
        <v>0</v>
      </c>
      <c r="N8" t="s">
        <v>47</v>
      </c>
      <c r="O8">
        <v>1</v>
      </c>
      <c r="P8" t="s">
        <v>45</v>
      </c>
      <c r="Q8">
        <v>0</v>
      </c>
      <c r="R8" t="s">
        <v>47</v>
      </c>
      <c r="S8">
        <v>0</v>
      </c>
      <c r="T8" t="s">
        <v>47</v>
      </c>
    </row>
    <row r="9" spans="1:20" ht="29" x14ac:dyDescent="0.35">
      <c r="A9" s="1" t="s">
        <v>61</v>
      </c>
      <c r="B9" t="s">
        <v>16</v>
      </c>
      <c r="C9">
        <v>5</v>
      </c>
      <c r="D9" s="2" t="s">
        <v>62</v>
      </c>
      <c r="E9">
        <v>1</v>
      </c>
      <c r="F9" t="s">
        <v>45</v>
      </c>
      <c r="G9">
        <v>0</v>
      </c>
      <c r="H9" t="s">
        <v>47</v>
      </c>
      <c r="I9">
        <v>0</v>
      </c>
      <c r="J9" t="s">
        <v>47</v>
      </c>
      <c r="K9">
        <v>0</v>
      </c>
      <c r="L9" t="s">
        <v>47</v>
      </c>
      <c r="M9">
        <v>0</v>
      </c>
      <c r="N9" t="s">
        <v>47</v>
      </c>
      <c r="O9">
        <v>0</v>
      </c>
      <c r="P9" t="s">
        <v>47</v>
      </c>
      <c r="Q9">
        <v>0</v>
      </c>
      <c r="R9" t="s">
        <v>47</v>
      </c>
      <c r="S9">
        <v>0</v>
      </c>
      <c r="T9" t="s">
        <v>47</v>
      </c>
    </row>
    <row r="10" spans="1:20" x14ac:dyDescent="0.35">
      <c r="A10" s="1" t="s">
        <v>63</v>
      </c>
      <c r="B10" t="s">
        <v>12</v>
      </c>
      <c r="C10">
        <v>1</v>
      </c>
      <c r="D10" s="2" t="s">
        <v>64</v>
      </c>
      <c r="E10">
        <v>1</v>
      </c>
      <c r="F10" t="s">
        <v>48</v>
      </c>
      <c r="G10">
        <v>0</v>
      </c>
      <c r="H10" t="s">
        <v>47</v>
      </c>
      <c r="I10">
        <v>0</v>
      </c>
      <c r="J10" t="s">
        <v>47</v>
      </c>
      <c r="K10">
        <v>0</v>
      </c>
      <c r="L10" t="s">
        <v>47</v>
      </c>
      <c r="M10">
        <v>0</v>
      </c>
      <c r="N10" t="s">
        <v>47</v>
      </c>
      <c r="O10">
        <v>1</v>
      </c>
      <c r="P10" t="s">
        <v>48</v>
      </c>
      <c r="Q10">
        <v>0</v>
      </c>
      <c r="R10" t="s">
        <v>47</v>
      </c>
      <c r="S10">
        <v>0</v>
      </c>
      <c r="T10" t="s">
        <v>47</v>
      </c>
    </row>
    <row r="11" spans="1:20" x14ac:dyDescent="0.35">
      <c r="A11" s="1" t="s">
        <v>65</v>
      </c>
      <c r="B11" t="s">
        <v>12</v>
      </c>
      <c r="C11">
        <v>4</v>
      </c>
      <c r="D11" t="s">
        <v>66</v>
      </c>
      <c r="E11">
        <v>1</v>
      </c>
      <c r="F11" t="s">
        <v>45</v>
      </c>
      <c r="G11">
        <v>0</v>
      </c>
      <c r="H11" t="s">
        <v>47</v>
      </c>
      <c r="I11">
        <v>0</v>
      </c>
      <c r="J11" t="s">
        <v>47</v>
      </c>
      <c r="K11">
        <v>0</v>
      </c>
      <c r="L11" t="s">
        <v>47</v>
      </c>
      <c r="M11">
        <v>0</v>
      </c>
      <c r="N11" t="s">
        <v>47</v>
      </c>
      <c r="O11">
        <v>0</v>
      </c>
      <c r="P11" t="s">
        <v>47</v>
      </c>
      <c r="Q11">
        <v>0</v>
      </c>
      <c r="R11" t="s">
        <v>47</v>
      </c>
      <c r="S11">
        <v>0</v>
      </c>
      <c r="T11" t="s">
        <v>47</v>
      </c>
    </row>
    <row r="12" spans="1:20" x14ac:dyDescent="0.35">
      <c r="A12" s="1" t="s">
        <v>67</v>
      </c>
      <c r="B12" t="s">
        <v>12</v>
      </c>
      <c r="C12">
        <v>5</v>
      </c>
      <c r="D12" t="s">
        <v>68</v>
      </c>
      <c r="E12">
        <v>1</v>
      </c>
      <c r="F12" t="s">
        <v>45</v>
      </c>
      <c r="G12">
        <v>1</v>
      </c>
      <c r="H12" t="s">
        <v>45</v>
      </c>
      <c r="I12">
        <v>0</v>
      </c>
      <c r="J12" t="s">
        <v>47</v>
      </c>
      <c r="K12">
        <v>0</v>
      </c>
      <c r="L12" t="s">
        <v>47</v>
      </c>
      <c r="M12">
        <v>0</v>
      </c>
      <c r="N12" t="s">
        <v>47</v>
      </c>
      <c r="O12">
        <v>0</v>
      </c>
      <c r="P12" t="s">
        <v>47</v>
      </c>
      <c r="Q12">
        <v>1</v>
      </c>
      <c r="R12" t="s">
        <v>48</v>
      </c>
      <c r="S12">
        <v>0</v>
      </c>
      <c r="T12" t="s">
        <v>47</v>
      </c>
    </row>
    <row r="13" spans="1:20" x14ac:dyDescent="0.35">
      <c r="A13" s="1" t="s">
        <v>69</v>
      </c>
      <c r="B13" t="s">
        <v>12</v>
      </c>
      <c r="C13">
        <v>4</v>
      </c>
      <c r="D13" t="s">
        <v>70</v>
      </c>
      <c r="E13">
        <v>1</v>
      </c>
      <c r="F13" t="s">
        <v>55</v>
      </c>
      <c r="G13">
        <v>0</v>
      </c>
      <c r="H13" t="s">
        <v>47</v>
      </c>
      <c r="I13">
        <v>0</v>
      </c>
      <c r="J13" t="s">
        <v>47</v>
      </c>
      <c r="K13">
        <v>0</v>
      </c>
      <c r="L13" t="s">
        <v>47</v>
      </c>
      <c r="M13">
        <v>0</v>
      </c>
      <c r="N13" t="s">
        <v>47</v>
      </c>
      <c r="O13">
        <v>0</v>
      </c>
      <c r="P13" t="s">
        <v>47</v>
      </c>
      <c r="Q13">
        <v>1</v>
      </c>
      <c r="R13" t="s">
        <v>48</v>
      </c>
      <c r="S13">
        <v>1</v>
      </c>
      <c r="T13" t="s">
        <v>48</v>
      </c>
    </row>
    <row r="14" spans="1:20" x14ac:dyDescent="0.35">
      <c r="A14" s="1" t="s">
        <v>71</v>
      </c>
      <c r="B14" t="s">
        <v>12</v>
      </c>
      <c r="C14">
        <v>4</v>
      </c>
      <c r="D14" t="s">
        <v>72</v>
      </c>
      <c r="E14">
        <v>1</v>
      </c>
      <c r="F14" t="s">
        <v>45</v>
      </c>
      <c r="G14">
        <v>1</v>
      </c>
      <c r="H14" t="s">
        <v>48</v>
      </c>
      <c r="I14">
        <v>0</v>
      </c>
      <c r="J14" t="s">
        <v>47</v>
      </c>
      <c r="K14">
        <v>0</v>
      </c>
      <c r="L14" t="s">
        <v>47</v>
      </c>
      <c r="M14">
        <v>0</v>
      </c>
      <c r="N14" t="s">
        <v>47</v>
      </c>
      <c r="O14">
        <v>0</v>
      </c>
      <c r="P14" t="s">
        <v>47</v>
      </c>
      <c r="Q14">
        <v>0</v>
      </c>
      <c r="R14" t="s">
        <v>47</v>
      </c>
      <c r="S14">
        <v>0</v>
      </c>
      <c r="T14" t="s">
        <v>47</v>
      </c>
    </row>
    <row r="15" spans="1:20" x14ac:dyDescent="0.35">
      <c r="A15" s="1" t="s">
        <v>73</v>
      </c>
      <c r="B15" t="s">
        <v>12</v>
      </c>
      <c r="C15">
        <v>1</v>
      </c>
      <c r="D15" t="s">
        <v>74</v>
      </c>
      <c r="E15">
        <v>1</v>
      </c>
      <c r="F15" t="s">
        <v>48</v>
      </c>
      <c r="G15">
        <v>0</v>
      </c>
      <c r="H15" t="s">
        <v>47</v>
      </c>
      <c r="I15">
        <v>0</v>
      </c>
      <c r="J15" t="s">
        <v>47</v>
      </c>
      <c r="K15">
        <v>1</v>
      </c>
      <c r="L15" t="s">
        <v>48</v>
      </c>
      <c r="M15">
        <v>1</v>
      </c>
      <c r="N15" t="s">
        <v>48</v>
      </c>
      <c r="O15">
        <v>1</v>
      </c>
      <c r="P15" t="s">
        <v>48</v>
      </c>
      <c r="Q15">
        <v>0</v>
      </c>
      <c r="R15" t="s">
        <v>47</v>
      </c>
      <c r="S15">
        <v>0</v>
      </c>
      <c r="T15" t="s">
        <v>47</v>
      </c>
    </row>
    <row r="16" spans="1:20" x14ac:dyDescent="0.35">
      <c r="A16" s="1" t="s">
        <v>75</v>
      </c>
      <c r="B16" t="s">
        <v>12</v>
      </c>
      <c r="C16">
        <v>5</v>
      </c>
      <c r="D16" t="s">
        <v>76</v>
      </c>
      <c r="E16">
        <v>1</v>
      </c>
      <c r="F16" t="s">
        <v>45</v>
      </c>
      <c r="G16">
        <v>1</v>
      </c>
      <c r="H16" t="s">
        <v>45</v>
      </c>
      <c r="I16">
        <v>0</v>
      </c>
      <c r="J16" t="s">
        <v>47</v>
      </c>
      <c r="K16">
        <v>0</v>
      </c>
      <c r="L16" t="s">
        <v>47</v>
      </c>
      <c r="M16">
        <v>0</v>
      </c>
      <c r="N16" t="s">
        <v>47</v>
      </c>
      <c r="O16">
        <v>0</v>
      </c>
      <c r="P16" t="s">
        <v>47</v>
      </c>
      <c r="Q16">
        <v>0</v>
      </c>
      <c r="R16" t="s">
        <v>47</v>
      </c>
      <c r="S16">
        <v>0</v>
      </c>
      <c r="T16" t="s">
        <v>47</v>
      </c>
    </row>
    <row r="17" spans="1:20" x14ac:dyDescent="0.35">
      <c r="A17" s="1" t="s">
        <v>77</v>
      </c>
      <c r="B17" t="s">
        <v>12</v>
      </c>
      <c r="C17">
        <v>5</v>
      </c>
      <c r="D17" t="s">
        <v>78</v>
      </c>
      <c r="E17">
        <v>1</v>
      </c>
      <c r="F17" t="s">
        <v>45</v>
      </c>
      <c r="G17">
        <v>0</v>
      </c>
      <c r="H17" t="s">
        <v>47</v>
      </c>
      <c r="I17">
        <v>0</v>
      </c>
      <c r="J17" t="s">
        <v>47</v>
      </c>
      <c r="K17">
        <v>0</v>
      </c>
      <c r="L17" t="s">
        <v>47</v>
      </c>
      <c r="M17">
        <v>1</v>
      </c>
      <c r="N17" t="s">
        <v>45</v>
      </c>
      <c r="O17">
        <v>0</v>
      </c>
      <c r="P17" t="s">
        <v>47</v>
      </c>
      <c r="Q17">
        <v>0</v>
      </c>
      <c r="R17" t="s">
        <v>47</v>
      </c>
      <c r="S17">
        <v>0</v>
      </c>
      <c r="T17" t="s">
        <v>47</v>
      </c>
    </row>
    <row r="18" spans="1:20" x14ac:dyDescent="0.35">
      <c r="A18" s="1" t="s">
        <v>79</v>
      </c>
      <c r="B18" t="s">
        <v>12</v>
      </c>
      <c r="C18">
        <v>5</v>
      </c>
      <c r="D18" t="s">
        <v>80</v>
      </c>
      <c r="E18">
        <v>1</v>
      </c>
      <c r="F18" t="s">
        <v>45</v>
      </c>
      <c r="G18">
        <v>1</v>
      </c>
      <c r="H18" t="s">
        <v>45</v>
      </c>
      <c r="I18">
        <v>0</v>
      </c>
      <c r="J18" t="s">
        <v>47</v>
      </c>
      <c r="K18">
        <v>0</v>
      </c>
      <c r="L18" t="s">
        <v>47</v>
      </c>
      <c r="M18">
        <v>0</v>
      </c>
      <c r="N18" t="s">
        <v>47</v>
      </c>
      <c r="O18">
        <v>0</v>
      </c>
      <c r="P18" t="s">
        <v>47</v>
      </c>
      <c r="Q18">
        <v>0</v>
      </c>
      <c r="R18" t="s">
        <v>47</v>
      </c>
      <c r="S18">
        <v>1</v>
      </c>
      <c r="T18" t="s">
        <v>45</v>
      </c>
    </row>
    <row r="19" spans="1:20" x14ac:dyDescent="0.35">
      <c r="A19" s="1" t="s">
        <v>81</v>
      </c>
      <c r="B19" t="s">
        <v>12</v>
      </c>
      <c r="C19">
        <v>5</v>
      </c>
      <c r="D19" t="s">
        <v>82</v>
      </c>
      <c r="E19">
        <v>1</v>
      </c>
      <c r="F19" t="s">
        <v>45</v>
      </c>
      <c r="G19">
        <v>1</v>
      </c>
      <c r="H19" t="s">
        <v>45</v>
      </c>
      <c r="I19">
        <v>0</v>
      </c>
      <c r="J19" t="s">
        <v>47</v>
      </c>
      <c r="K19">
        <v>0</v>
      </c>
      <c r="L19" t="s">
        <v>47</v>
      </c>
      <c r="M19">
        <v>0</v>
      </c>
      <c r="N19" t="s">
        <v>47</v>
      </c>
      <c r="O19">
        <v>0</v>
      </c>
      <c r="P19" t="s">
        <v>47</v>
      </c>
      <c r="Q19">
        <v>1</v>
      </c>
      <c r="R19" t="s">
        <v>45</v>
      </c>
      <c r="S19">
        <v>1</v>
      </c>
      <c r="T19" t="s">
        <v>45</v>
      </c>
    </row>
    <row r="20" spans="1:20" x14ac:dyDescent="0.35">
      <c r="A20" s="1" t="s">
        <v>83</v>
      </c>
      <c r="B20" t="s">
        <v>12</v>
      </c>
      <c r="C20">
        <v>5</v>
      </c>
      <c r="D20" t="s">
        <v>84</v>
      </c>
      <c r="E20">
        <v>1</v>
      </c>
      <c r="F20" t="s">
        <v>45</v>
      </c>
      <c r="G20">
        <v>1</v>
      </c>
      <c r="H20" t="s">
        <v>45</v>
      </c>
      <c r="I20">
        <v>0</v>
      </c>
      <c r="J20" t="s">
        <v>47</v>
      </c>
      <c r="K20">
        <v>0</v>
      </c>
      <c r="L20" t="s">
        <v>47</v>
      </c>
      <c r="M20">
        <v>0</v>
      </c>
      <c r="N20" t="s">
        <v>47</v>
      </c>
      <c r="O20">
        <v>0</v>
      </c>
      <c r="P20" t="s">
        <v>47</v>
      </c>
      <c r="Q20">
        <v>1</v>
      </c>
      <c r="R20" t="s">
        <v>45</v>
      </c>
      <c r="S20">
        <v>0</v>
      </c>
      <c r="T20" t="s">
        <v>47</v>
      </c>
    </row>
    <row r="21" spans="1:20" x14ac:dyDescent="0.35">
      <c r="A21" s="1" t="s">
        <v>85</v>
      </c>
      <c r="B21" t="s">
        <v>12</v>
      </c>
      <c r="C21">
        <v>5</v>
      </c>
      <c r="D21" t="s">
        <v>86</v>
      </c>
      <c r="E21">
        <v>1</v>
      </c>
      <c r="F21" t="s">
        <v>45</v>
      </c>
      <c r="G21">
        <v>1</v>
      </c>
      <c r="H21" t="s">
        <v>45</v>
      </c>
      <c r="I21">
        <v>0</v>
      </c>
      <c r="J21" t="s">
        <v>47</v>
      </c>
      <c r="K21">
        <v>0</v>
      </c>
      <c r="L21" t="s">
        <v>47</v>
      </c>
      <c r="M21">
        <v>0</v>
      </c>
      <c r="N21" t="s">
        <v>47</v>
      </c>
      <c r="O21">
        <v>0</v>
      </c>
      <c r="P21" t="s">
        <v>47</v>
      </c>
      <c r="Q21">
        <v>1</v>
      </c>
      <c r="R21" t="s">
        <v>45</v>
      </c>
      <c r="S21">
        <v>0</v>
      </c>
      <c r="T21" t="s">
        <v>47</v>
      </c>
    </row>
    <row r="22" spans="1:20" x14ac:dyDescent="0.35">
      <c r="A22" s="1" t="s">
        <v>87</v>
      </c>
      <c r="B22" t="s">
        <v>12</v>
      </c>
      <c r="C22">
        <v>5</v>
      </c>
      <c r="D22" t="s">
        <v>88</v>
      </c>
      <c r="E22">
        <v>1</v>
      </c>
      <c r="F22" t="s">
        <v>45</v>
      </c>
      <c r="G22">
        <v>1</v>
      </c>
      <c r="H22" t="s">
        <v>45</v>
      </c>
      <c r="I22">
        <v>0</v>
      </c>
      <c r="J22" t="s">
        <v>47</v>
      </c>
      <c r="K22">
        <v>0</v>
      </c>
      <c r="L22" t="s">
        <v>47</v>
      </c>
      <c r="M22">
        <v>0</v>
      </c>
      <c r="N22" t="s">
        <v>47</v>
      </c>
      <c r="O22">
        <v>1</v>
      </c>
      <c r="P22" t="s">
        <v>45</v>
      </c>
      <c r="Q22">
        <v>0</v>
      </c>
      <c r="R22" t="s">
        <v>47</v>
      </c>
      <c r="S22">
        <v>0</v>
      </c>
      <c r="T22" t="s">
        <v>47</v>
      </c>
    </row>
    <row r="23" spans="1:20" x14ac:dyDescent="0.35">
      <c r="A23" s="1" t="s">
        <v>89</v>
      </c>
      <c r="B23" t="s">
        <v>12</v>
      </c>
      <c r="C23">
        <v>5</v>
      </c>
      <c r="D23" t="s">
        <v>90</v>
      </c>
      <c r="E23">
        <v>0</v>
      </c>
      <c r="F23" t="s">
        <v>47</v>
      </c>
      <c r="G23">
        <v>0</v>
      </c>
      <c r="H23" t="s">
        <v>47</v>
      </c>
      <c r="I23">
        <v>0</v>
      </c>
      <c r="J23" t="s">
        <v>47</v>
      </c>
      <c r="K23">
        <v>0</v>
      </c>
      <c r="L23" t="s">
        <v>47</v>
      </c>
      <c r="M23">
        <v>0</v>
      </c>
      <c r="N23" t="s">
        <v>47</v>
      </c>
      <c r="O23">
        <v>0</v>
      </c>
      <c r="P23" t="s">
        <v>47</v>
      </c>
      <c r="Q23">
        <v>1</v>
      </c>
      <c r="R23" t="s">
        <v>45</v>
      </c>
      <c r="S23">
        <v>0</v>
      </c>
      <c r="T23" t="s">
        <v>47</v>
      </c>
    </row>
    <row r="24" spans="1:20" x14ac:dyDescent="0.35">
      <c r="A24" s="1" t="s">
        <v>91</v>
      </c>
      <c r="B24" t="s">
        <v>12</v>
      </c>
      <c r="C24">
        <v>3</v>
      </c>
      <c r="D24" t="s">
        <v>92</v>
      </c>
      <c r="E24">
        <v>1</v>
      </c>
      <c r="F24" t="s">
        <v>45</v>
      </c>
      <c r="G24">
        <v>1</v>
      </c>
      <c r="H24" t="s">
        <v>48</v>
      </c>
      <c r="I24">
        <v>0</v>
      </c>
      <c r="J24" t="s">
        <v>47</v>
      </c>
      <c r="K24">
        <v>1</v>
      </c>
      <c r="L24" t="s">
        <v>48</v>
      </c>
      <c r="M24">
        <v>1</v>
      </c>
      <c r="N24" t="s">
        <v>45</v>
      </c>
      <c r="O24">
        <v>0</v>
      </c>
      <c r="P24" t="s">
        <v>47</v>
      </c>
      <c r="Q24">
        <v>1</v>
      </c>
      <c r="R24" t="s">
        <v>45</v>
      </c>
      <c r="S24">
        <v>0</v>
      </c>
      <c r="T24" t="s">
        <v>47</v>
      </c>
    </row>
    <row r="25" spans="1:20" x14ac:dyDescent="0.35">
      <c r="A25" s="1" t="s">
        <v>93</v>
      </c>
      <c r="B25" t="s">
        <v>12</v>
      </c>
      <c r="C25">
        <v>5</v>
      </c>
      <c r="D25" t="s">
        <v>94</v>
      </c>
      <c r="E25">
        <v>1</v>
      </c>
      <c r="F25" t="s">
        <v>45</v>
      </c>
      <c r="G25">
        <v>0</v>
      </c>
      <c r="H25" t="s">
        <v>47</v>
      </c>
      <c r="I25">
        <v>0</v>
      </c>
      <c r="J25" t="s">
        <v>47</v>
      </c>
      <c r="K25">
        <v>0</v>
      </c>
      <c r="L25" t="s">
        <v>47</v>
      </c>
      <c r="M25">
        <v>0</v>
      </c>
      <c r="N25" t="s">
        <v>47</v>
      </c>
      <c r="O25">
        <v>0</v>
      </c>
      <c r="P25" t="s">
        <v>47</v>
      </c>
      <c r="Q25">
        <v>0</v>
      </c>
      <c r="R25" t="s">
        <v>47</v>
      </c>
      <c r="S25">
        <v>0</v>
      </c>
      <c r="T25" t="s">
        <v>47</v>
      </c>
    </row>
    <row r="26" spans="1:20" x14ac:dyDescent="0.35">
      <c r="A26" s="1" t="s">
        <v>95</v>
      </c>
      <c r="B26" t="s">
        <v>12</v>
      </c>
      <c r="C26">
        <v>5</v>
      </c>
      <c r="D26" t="s">
        <v>96</v>
      </c>
      <c r="E26">
        <v>1</v>
      </c>
      <c r="F26" t="s">
        <v>45</v>
      </c>
      <c r="G26">
        <v>1</v>
      </c>
      <c r="H26" t="s">
        <v>45</v>
      </c>
      <c r="I26">
        <v>0</v>
      </c>
      <c r="J26" t="s">
        <v>47</v>
      </c>
      <c r="K26">
        <v>0</v>
      </c>
      <c r="L26" t="s">
        <v>47</v>
      </c>
      <c r="M26">
        <v>1</v>
      </c>
      <c r="N26" t="s">
        <v>45</v>
      </c>
      <c r="O26">
        <v>0</v>
      </c>
      <c r="P26" t="s">
        <v>47</v>
      </c>
      <c r="Q26">
        <v>0</v>
      </c>
      <c r="R26" t="s">
        <v>47</v>
      </c>
      <c r="S26">
        <v>0</v>
      </c>
      <c r="T26" t="s">
        <v>47</v>
      </c>
    </row>
    <row r="27" spans="1:20" x14ac:dyDescent="0.35">
      <c r="A27" s="1" t="s">
        <v>97</v>
      </c>
      <c r="B27" t="s">
        <v>12</v>
      </c>
      <c r="C27">
        <v>5</v>
      </c>
      <c r="D27" t="s">
        <v>98</v>
      </c>
      <c r="E27">
        <v>1</v>
      </c>
      <c r="F27" t="s">
        <v>45</v>
      </c>
      <c r="G27">
        <v>0</v>
      </c>
      <c r="H27" t="s">
        <v>47</v>
      </c>
      <c r="I27">
        <v>0</v>
      </c>
      <c r="J27" t="s">
        <v>47</v>
      </c>
      <c r="K27">
        <v>0</v>
      </c>
      <c r="L27" t="s">
        <v>47</v>
      </c>
      <c r="M27">
        <v>0</v>
      </c>
      <c r="N27" t="s">
        <v>47</v>
      </c>
      <c r="O27">
        <v>1</v>
      </c>
      <c r="P27" t="s">
        <v>45</v>
      </c>
      <c r="Q27">
        <v>1</v>
      </c>
      <c r="R27" t="s">
        <v>45</v>
      </c>
      <c r="S27">
        <v>0</v>
      </c>
      <c r="T27" t="s">
        <v>47</v>
      </c>
    </row>
    <row r="28" spans="1:20" x14ac:dyDescent="0.35">
      <c r="A28" s="1" t="s">
        <v>99</v>
      </c>
      <c r="B28" t="s">
        <v>12</v>
      </c>
      <c r="C28">
        <v>5</v>
      </c>
      <c r="D28" t="s">
        <v>100</v>
      </c>
      <c r="E28">
        <v>1</v>
      </c>
      <c r="F28" t="s">
        <v>45</v>
      </c>
      <c r="G28">
        <v>1</v>
      </c>
      <c r="H28" t="s">
        <v>45</v>
      </c>
      <c r="I28">
        <v>0</v>
      </c>
      <c r="J28" t="s">
        <v>47</v>
      </c>
      <c r="K28">
        <v>0</v>
      </c>
      <c r="L28" t="s">
        <v>47</v>
      </c>
      <c r="M28">
        <v>1</v>
      </c>
      <c r="N28" t="s">
        <v>45</v>
      </c>
      <c r="O28">
        <v>0</v>
      </c>
      <c r="P28" t="s">
        <v>47</v>
      </c>
      <c r="Q28">
        <v>0</v>
      </c>
      <c r="R28" t="s">
        <v>47</v>
      </c>
      <c r="S28">
        <v>1</v>
      </c>
      <c r="T28" t="s">
        <v>45</v>
      </c>
    </row>
    <row r="29" spans="1:20" x14ac:dyDescent="0.35">
      <c r="A29" s="1" t="s">
        <v>101</v>
      </c>
      <c r="B29" t="s">
        <v>12</v>
      </c>
      <c r="C29">
        <v>3</v>
      </c>
      <c r="D29" t="s">
        <v>102</v>
      </c>
      <c r="E29">
        <v>1</v>
      </c>
      <c r="F29" t="s">
        <v>48</v>
      </c>
      <c r="G29">
        <v>1</v>
      </c>
      <c r="H29" t="s">
        <v>45</v>
      </c>
      <c r="I29">
        <v>0</v>
      </c>
      <c r="J29" t="s">
        <v>47</v>
      </c>
      <c r="K29">
        <v>0</v>
      </c>
      <c r="L29" t="s">
        <v>47</v>
      </c>
      <c r="M29">
        <v>1</v>
      </c>
      <c r="N29" t="s">
        <v>48</v>
      </c>
      <c r="O29">
        <v>0</v>
      </c>
      <c r="P29" t="s">
        <v>47</v>
      </c>
      <c r="Q29">
        <v>0</v>
      </c>
      <c r="R29" t="s">
        <v>47</v>
      </c>
      <c r="S29">
        <v>1</v>
      </c>
      <c r="T29" t="s">
        <v>45</v>
      </c>
    </row>
    <row r="30" spans="1:20" x14ac:dyDescent="0.35">
      <c r="A30" s="1" t="s">
        <v>103</v>
      </c>
      <c r="B30" t="s">
        <v>12</v>
      </c>
      <c r="C30">
        <v>4</v>
      </c>
      <c r="D30" t="s">
        <v>104</v>
      </c>
      <c r="E30">
        <v>1</v>
      </c>
      <c r="F30" t="s">
        <v>55</v>
      </c>
      <c r="G30">
        <v>1</v>
      </c>
      <c r="H30" t="s">
        <v>45</v>
      </c>
      <c r="I30">
        <v>0</v>
      </c>
      <c r="J30" t="s">
        <v>47</v>
      </c>
      <c r="K30">
        <v>0</v>
      </c>
      <c r="L30" t="s">
        <v>47</v>
      </c>
      <c r="M30">
        <v>0</v>
      </c>
      <c r="N30" t="s">
        <v>47</v>
      </c>
      <c r="O30">
        <v>0</v>
      </c>
      <c r="P30" t="s">
        <v>47</v>
      </c>
      <c r="Q30">
        <v>1</v>
      </c>
      <c r="R30" t="s">
        <v>45</v>
      </c>
      <c r="S30">
        <v>0</v>
      </c>
      <c r="T30" t="s">
        <v>47</v>
      </c>
    </row>
    <row r="31" spans="1:20" x14ac:dyDescent="0.35">
      <c r="A31" s="1" t="s">
        <v>105</v>
      </c>
      <c r="B31" t="s">
        <v>12</v>
      </c>
      <c r="C31">
        <v>5</v>
      </c>
      <c r="D31" t="s">
        <v>106</v>
      </c>
      <c r="E31">
        <v>1</v>
      </c>
      <c r="F31" t="s">
        <v>45</v>
      </c>
      <c r="G31">
        <v>0</v>
      </c>
      <c r="H31" t="s">
        <v>47</v>
      </c>
      <c r="I31">
        <v>0</v>
      </c>
      <c r="J31" t="s">
        <v>47</v>
      </c>
      <c r="K31">
        <v>1</v>
      </c>
      <c r="L31" t="s">
        <v>45</v>
      </c>
      <c r="M31">
        <v>0</v>
      </c>
      <c r="N31" t="s">
        <v>47</v>
      </c>
      <c r="O31">
        <v>0</v>
      </c>
      <c r="P31" t="s">
        <v>47</v>
      </c>
      <c r="Q31">
        <v>1</v>
      </c>
      <c r="R31" t="s">
        <v>45</v>
      </c>
      <c r="S31">
        <v>0</v>
      </c>
      <c r="T31" t="s">
        <v>47</v>
      </c>
    </row>
    <row r="32" spans="1:20" x14ac:dyDescent="0.35">
      <c r="A32" s="1" t="s">
        <v>107</v>
      </c>
      <c r="B32" t="s">
        <v>12</v>
      </c>
      <c r="C32">
        <v>5</v>
      </c>
      <c r="D32" t="s">
        <v>108</v>
      </c>
      <c r="E32">
        <v>1</v>
      </c>
      <c r="F32" t="s">
        <v>45</v>
      </c>
      <c r="G32">
        <v>1</v>
      </c>
      <c r="H32" t="s">
        <v>45</v>
      </c>
      <c r="I32">
        <v>0</v>
      </c>
      <c r="J32" t="s">
        <v>47</v>
      </c>
      <c r="K32">
        <v>0</v>
      </c>
      <c r="L32" t="s">
        <v>47</v>
      </c>
      <c r="M32">
        <v>0</v>
      </c>
      <c r="N32" t="s">
        <v>47</v>
      </c>
      <c r="O32">
        <v>0</v>
      </c>
      <c r="P32" t="s">
        <v>47</v>
      </c>
      <c r="Q32">
        <v>1</v>
      </c>
      <c r="R32" t="s">
        <v>45</v>
      </c>
      <c r="S32">
        <v>0</v>
      </c>
      <c r="T32" t="s">
        <v>47</v>
      </c>
    </row>
    <row r="33" spans="1:20" x14ac:dyDescent="0.35">
      <c r="A33" s="1" t="s">
        <v>109</v>
      </c>
      <c r="B33" t="s">
        <v>12</v>
      </c>
      <c r="C33">
        <v>5</v>
      </c>
      <c r="D33" t="s">
        <v>110</v>
      </c>
      <c r="E33">
        <v>1</v>
      </c>
      <c r="F33" t="s">
        <v>45</v>
      </c>
      <c r="G33">
        <v>0</v>
      </c>
      <c r="H33" t="s">
        <v>47</v>
      </c>
      <c r="I33">
        <v>0</v>
      </c>
      <c r="J33" t="s">
        <v>47</v>
      </c>
      <c r="K33">
        <v>0</v>
      </c>
      <c r="L33" t="s">
        <v>47</v>
      </c>
      <c r="M33">
        <v>0</v>
      </c>
      <c r="N33" t="s">
        <v>47</v>
      </c>
      <c r="O33">
        <v>0</v>
      </c>
      <c r="P33" t="s">
        <v>47</v>
      </c>
      <c r="Q33">
        <v>1</v>
      </c>
      <c r="R33" t="s">
        <v>45</v>
      </c>
      <c r="S33">
        <v>0</v>
      </c>
      <c r="T33" t="s">
        <v>47</v>
      </c>
    </row>
    <row r="34" spans="1:20" x14ac:dyDescent="0.35">
      <c r="A34" s="1" t="s">
        <v>111</v>
      </c>
      <c r="B34" t="s">
        <v>12</v>
      </c>
      <c r="C34">
        <v>3</v>
      </c>
      <c r="D34" t="s">
        <v>112</v>
      </c>
      <c r="E34">
        <v>1</v>
      </c>
      <c r="F34" t="s">
        <v>48</v>
      </c>
      <c r="G34">
        <v>0</v>
      </c>
      <c r="H34" t="s">
        <v>47</v>
      </c>
      <c r="I34">
        <v>0</v>
      </c>
      <c r="J34" t="s">
        <v>47</v>
      </c>
      <c r="K34">
        <v>0</v>
      </c>
      <c r="L34" t="s">
        <v>47</v>
      </c>
      <c r="M34">
        <v>1</v>
      </c>
      <c r="N34" t="s">
        <v>48</v>
      </c>
      <c r="O34">
        <v>0</v>
      </c>
      <c r="P34" t="s">
        <v>47</v>
      </c>
      <c r="Q34">
        <v>1</v>
      </c>
      <c r="R34" t="s">
        <v>55</v>
      </c>
      <c r="S34">
        <v>0</v>
      </c>
      <c r="T34" t="s">
        <v>47</v>
      </c>
    </row>
    <row r="35" spans="1:20" x14ac:dyDescent="0.35">
      <c r="A35" s="1" t="s">
        <v>113</v>
      </c>
      <c r="B35" t="s">
        <v>12</v>
      </c>
      <c r="C35">
        <v>5</v>
      </c>
      <c r="D35" t="s">
        <v>114</v>
      </c>
      <c r="E35">
        <v>1</v>
      </c>
      <c r="F35" t="s">
        <v>45</v>
      </c>
      <c r="G35">
        <v>1</v>
      </c>
      <c r="H35" t="s">
        <v>45</v>
      </c>
      <c r="I35">
        <v>0</v>
      </c>
      <c r="J35" t="s">
        <v>47</v>
      </c>
      <c r="K35">
        <v>0</v>
      </c>
      <c r="L35" t="s">
        <v>47</v>
      </c>
      <c r="M35">
        <v>0</v>
      </c>
      <c r="N35" t="s">
        <v>47</v>
      </c>
      <c r="O35">
        <v>0</v>
      </c>
      <c r="P35" t="s">
        <v>47</v>
      </c>
      <c r="Q35">
        <v>1</v>
      </c>
      <c r="R35" t="s">
        <v>45</v>
      </c>
      <c r="S35">
        <v>0</v>
      </c>
      <c r="T35" t="s">
        <v>47</v>
      </c>
    </row>
    <row r="36" spans="1:20" x14ac:dyDescent="0.35">
      <c r="A36" s="1" t="s">
        <v>115</v>
      </c>
      <c r="B36" t="s">
        <v>12</v>
      </c>
      <c r="C36">
        <v>5</v>
      </c>
      <c r="D36" t="s">
        <v>116</v>
      </c>
      <c r="E36">
        <v>1</v>
      </c>
      <c r="F36" t="s">
        <v>45</v>
      </c>
      <c r="G36">
        <v>1</v>
      </c>
      <c r="H36" t="s">
        <v>45</v>
      </c>
      <c r="I36">
        <v>0</v>
      </c>
      <c r="J36" t="s">
        <v>47</v>
      </c>
      <c r="K36">
        <v>0</v>
      </c>
      <c r="L36" t="s">
        <v>47</v>
      </c>
      <c r="M36">
        <v>0</v>
      </c>
      <c r="N36" t="s">
        <v>47</v>
      </c>
      <c r="O36">
        <v>0</v>
      </c>
      <c r="P36" t="s">
        <v>47</v>
      </c>
      <c r="Q36">
        <v>1</v>
      </c>
      <c r="R36" t="s">
        <v>45</v>
      </c>
      <c r="S36">
        <v>0</v>
      </c>
      <c r="T36" t="s">
        <v>47</v>
      </c>
    </row>
    <row r="37" spans="1:20" x14ac:dyDescent="0.35">
      <c r="A37" s="1" t="s">
        <v>117</v>
      </c>
      <c r="B37" t="s">
        <v>12</v>
      </c>
      <c r="C37">
        <v>5</v>
      </c>
      <c r="D37" t="s">
        <v>118</v>
      </c>
      <c r="E37">
        <v>1</v>
      </c>
      <c r="F37" t="s">
        <v>45</v>
      </c>
      <c r="G37">
        <v>1</v>
      </c>
      <c r="H37" t="s">
        <v>45</v>
      </c>
      <c r="I37">
        <v>0</v>
      </c>
      <c r="J37" t="s">
        <v>47</v>
      </c>
      <c r="K37">
        <v>0</v>
      </c>
      <c r="L37" t="s">
        <v>47</v>
      </c>
      <c r="M37">
        <v>0</v>
      </c>
      <c r="N37" t="s">
        <v>47</v>
      </c>
      <c r="O37">
        <v>0</v>
      </c>
      <c r="P37" t="s">
        <v>47</v>
      </c>
      <c r="Q37">
        <v>1</v>
      </c>
      <c r="R37" t="s">
        <v>45</v>
      </c>
      <c r="S37">
        <v>0</v>
      </c>
      <c r="T37" t="s">
        <v>47</v>
      </c>
    </row>
    <row r="38" spans="1:20" x14ac:dyDescent="0.35">
      <c r="A38" s="1" t="s">
        <v>119</v>
      </c>
      <c r="B38" t="s">
        <v>14</v>
      </c>
      <c r="C38">
        <v>5</v>
      </c>
      <c r="D38" t="s">
        <v>120</v>
      </c>
      <c r="E38">
        <v>1</v>
      </c>
      <c r="F38" t="s">
        <v>45</v>
      </c>
      <c r="G38">
        <v>1</v>
      </c>
      <c r="H38" t="s">
        <v>45</v>
      </c>
      <c r="I38">
        <v>0</v>
      </c>
      <c r="J38" t="s">
        <v>47</v>
      </c>
      <c r="K38">
        <v>0</v>
      </c>
      <c r="L38" t="s">
        <v>47</v>
      </c>
      <c r="M38">
        <v>0</v>
      </c>
      <c r="N38" t="s">
        <v>47</v>
      </c>
      <c r="O38">
        <v>0</v>
      </c>
      <c r="P38" t="s">
        <v>47</v>
      </c>
      <c r="Q38">
        <v>0</v>
      </c>
      <c r="R38" t="s">
        <v>47</v>
      </c>
      <c r="S38">
        <v>0</v>
      </c>
      <c r="T38" t="s">
        <v>47</v>
      </c>
    </row>
    <row r="39" spans="1:20" x14ac:dyDescent="0.35">
      <c r="A39" s="1" t="s">
        <v>121</v>
      </c>
      <c r="B39" t="s">
        <v>14</v>
      </c>
      <c r="C39">
        <v>5</v>
      </c>
      <c r="D39" t="s">
        <v>122</v>
      </c>
      <c r="E39">
        <v>1</v>
      </c>
      <c r="F39" t="s">
        <v>45</v>
      </c>
      <c r="G39">
        <v>1</v>
      </c>
      <c r="H39" t="s">
        <v>45</v>
      </c>
      <c r="I39">
        <v>0</v>
      </c>
      <c r="J39" t="s">
        <v>47</v>
      </c>
      <c r="K39">
        <v>1</v>
      </c>
      <c r="L39" t="s">
        <v>45</v>
      </c>
      <c r="M39">
        <v>0</v>
      </c>
      <c r="N39" t="s">
        <v>47</v>
      </c>
      <c r="O39">
        <v>0</v>
      </c>
      <c r="P39" t="s">
        <v>47</v>
      </c>
      <c r="Q39">
        <v>0</v>
      </c>
      <c r="R39" t="s">
        <v>47</v>
      </c>
      <c r="S39">
        <v>0</v>
      </c>
      <c r="T39" t="s">
        <v>47</v>
      </c>
    </row>
    <row r="40" spans="1:20" x14ac:dyDescent="0.35">
      <c r="A40" s="1" t="s">
        <v>123</v>
      </c>
      <c r="B40" t="s">
        <v>12</v>
      </c>
      <c r="C40">
        <v>1</v>
      </c>
      <c r="D40" t="s">
        <v>124</v>
      </c>
      <c r="E40">
        <v>1</v>
      </c>
      <c r="F40" t="s">
        <v>48</v>
      </c>
      <c r="G40">
        <v>0</v>
      </c>
      <c r="H40" t="s">
        <v>47</v>
      </c>
      <c r="I40">
        <v>0</v>
      </c>
      <c r="J40" t="s">
        <v>47</v>
      </c>
      <c r="K40">
        <v>0</v>
      </c>
      <c r="L40" t="s">
        <v>47</v>
      </c>
      <c r="M40">
        <v>1</v>
      </c>
      <c r="N40" t="s">
        <v>48</v>
      </c>
      <c r="O40">
        <v>0</v>
      </c>
      <c r="P40" t="s">
        <v>47</v>
      </c>
      <c r="Q40">
        <v>0</v>
      </c>
      <c r="R40" t="s">
        <v>47</v>
      </c>
      <c r="S40">
        <v>0</v>
      </c>
      <c r="T40" t="s">
        <v>47</v>
      </c>
    </row>
    <row r="41" spans="1:20" x14ac:dyDescent="0.35">
      <c r="A41" s="1" t="s">
        <v>125</v>
      </c>
      <c r="B41" t="s">
        <v>12</v>
      </c>
      <c r="C41">
        <v>5</v>
      </c>
      <c r="D41" t="s">
        <v>126</v>
      </c>
      <c r="E41">
        <v>0</v>
      </c>
      <c r="F41" t="s">
        <v>47</v>
      </c>
      <c r="G41">
        <v>1</v>
      </c>
      <c r="H41" t="s">
        <v>45</v>
      </c>
      <c r="I41">
        <v>0</v>
      </c>
      <c r="J41" t="s">
        <v>47</v>
      </c>
      <c r="K41">
        <v>0</v>
      </c>
      <c r="L41" t="s">
        <v>47</v>
      </c>
      <c r="M41">
        <v>0</v>
      </c>
      <c r="N41" t="s">
        <v>47</v>
      </c>
      <c r="O41">
        <v>0</v>
      </c>
      <c r="P41" t="s">
        <v>47</v>
      </c>
      <c r="Q41">
        <v>0</v>
      </c>
      <c r="R41" t="s">
        <v>47</v>
      </c>
      <c r="S41">
        <v>0</v>
      </c>
      <c r="T41" t="s">
        <v>47</v>
      </c>
    </row>
    <row r="42" spans="1:20" x14ac:dyDescent="0.35">
      <c r="A42" s="1" t="s">
        <v>127</v>
      </c>
      <c r="B42" t="s">
        <v>14</v>
      </c>
      <c r="C42">
        <v>5</v>
      </c>
      <c r="D42" t="s">
        <v>128</v>
      </c>
      <c r="E42">
        <v>1</v>
      </c>
      <c r="F42" t="s">
        <v>45</v>
      </c>
      <c r="G42">
        <v>0</v>
      </c>
      <c r="H42" t="s">
        <v>47</v>
      </c>
      <c r="I42">
        <v>0</v>
      </c>
      <c r="J42" t="s">
        <v>47</v>
      </c>
      <c r="K42">
        <v>0</v>
      </c>
      <c r="L42" t="s">
        <v>47</v>
      </c>
      <c r="M42">
        <v>0</v>
      </c>
      <c r="N42" t="s">
        <v>47</v>
      </c>
      <c r="O42">
        <v>1</v>
      </c>
      <c r="P42" t="s">
        <v>45</v>
      </c>
      <c r="Q42">
        <v>0</v>
      </c>
      <c r="R42" t="s">
        <v>47</v>
      </c>
      <c r="S42">
        <v>0</v>
      </c>
      <c r="T42" t="s">
        <v>47</v>
      </c>
    </row>
    <row r="43" spans="1:20" x14ac:dyDescent="0.35">
      <c r="A43" s="1" t="s">
        <v>129</v>
      </c>
      <c r="B43" t="s">
        <v>12</v>
      </c>
      <c r="C43">
        <v>5</v>
      </c>
      <c r="D43" t="s">
        <v>130</v>
      </c>
      <c r="E43">
        <v>1</v>
      </c>
      <c r="F43" t="s">
        <v>45</v>
      </c>
      <c r="G43">
        <v>0</v>
      </c>
      <c r="H43" t="s">
        <v>47</v>
      </c>
      <c r="I43">
        <v>0</v>
      </c>
      <c r="J43" t="s">
        <v>47</v>
      </c>
      <c r="K43">
        <v>0</v>
      </c>
      <c r="L43" t="s">
        <v>47</v>
      </c>
      <c r="M43">
        <v>0</v>
      </c>
      <c r="N43" t="s">
        <v>47</v>
      </c>
      <c r="O43">
        <v>1</v>
      </c>
      <c r="P43" t="s">
        <v>45</v>
      </c>
      <c r="Q43">
        <v>0</v>
      </c>
      <c r="R43" t="s">
        <v>47</v>
      </c>
      <c r="S43">
        <v>0</v>
      </c>
      <c r="T43" t="s">
        <v>47</v>
      </c>
    </row>
    <row r="44" spans="1:20" x14ac:dyDescent="0.35">
      <c r="A44" s="1" t="s">
        <v>131</v>
      </c>
      <c r="B44" t="s">
        <v>12</v>
      </c>
      <c r="C44">
        <v>5</v>
      </c>
      <c r="D44" t="s">
        <v>132</v>
      </c>
      <c r="E44">
        <v>1</v>
      </c>
      <c r="F44" t="s">
        <v>45</v>
      </c>
      <c r="G44">
        <v>1</v>
      </c>
      <c r="H44" t="s">
        <v>45</v>
      </c>
      <c r="I44">
        <v>0</v>
      </c>
      <c r="J44" t="s">
        <v>47</v>
      </c>
      <c r="K44">
        <v>0</v>
      </c>
      <c r="L44" t="s">
        <v>47</v>
      </c>
      <c r="M44">
        <v>0</v>
      </c>
      <c r="N44" t="s">
        <v>47</v>
      </c>
      <c r="O44">
        <v>0</v>
      </c>
      <c r="P44" t="s">
        <v>47</v>
      </c>
      <c r="Q44">
        <v>1</v>
      </c>
      <c r="R44" t="s">
        <v>45</v>
      </c>
      <c r="S44">
        <v>0</v>
      </c>
      <c r="T44" t="s">
        <v>47</v>
      </c>
    </row>
    <row r="45" spans="1:20" x14ac:dyDescent="0.35">
      <c r="A45" s="1" t="s">
        <v>133</v>
      </c>
      <c r="B45" t="s">
        <v>14</v>
      </c>
      <c r="C45">
        <v>5</v>
      </c>
      <c r="D45" t="s">
        <v>134</v>
      </c>
      <c r="E45">
        <v>1</v>
      </c>
      <c r="F45" t="s">
        <v>45</v>
      </c>
      <c r="G45">
        <v>1</v>
      </c>
      <c r="H45" t="s">
        <v>45</v>
      </c>
      <c r="I45">
        <v>0</v>
      </c>
      <c r="J45" t="s">
        <v>47</v>
      </c>
      <c r="K45">
        <v>0</v>
      </c>
      <c r="L45" t="s">
        <v>47</v>
      </c>
      <c r="M45">
        <v>0</v>
      </c>
      <c r="N45" t="s">
        <v>47</v>
      </c>
      <c r="O45">
        <v>0</v>
      </c>
      <c r="P45" t="s">
        <v>47</v>
      </c>
      <c r="Q45">
        <v>0</v>
      </c>
      <c r="R45" t="s">
        <v>47</v>
      </c>
      <c r="S45">
        <v>0</v>
      </c>
      <c r="T45" t="s">
        <v>47</v>
      </c>
    </row>
    <row r="46" spans="1:20" x14ac:dyDescent="0.35">
      <c r="A46" s="1" t="s">
        <v>135</v>
      </c>
      <c r="B46" t="s">
        <v>14</v>
      </c>
      <c r="C46">
        <v>5</v>
      </c>
      <c r="D46" t="s">
        <v>136</v>
      </c>
      <c r="E46">
        <v>1</v>
      </c>
      <c r="F46" t="s">
        <v>45</v>
      </c>
      <c r="G46">
        <v>0</v>
      </c>
      <c r="H46" t="s">
        <v>47</v>
      </c>
      <c r="I46">
        <v>0</v>
      </c>
      <c r="J46" t="s">
        <v>47</v>
      </c>
      <c r="K46">
        <v>0</v>
      </c>
      <c r="L46" t="s">
        <v>47</v>
      </c>
      <c r="M46">
        <v>0</v>
      </c>
      <c r="N46" t="s">
        <v>47</v>
      </c>
      <c r="O46">
        <v>0</v>
      </c>
      <c r="P46" t="s">
        <v>47</v>
      </c>
      <c r="Q46">
        <v>0</v>
      </c>
      <c r="R46" t="s">
        <v>47</v>
      </c>
      <c r="S46">
        <v>0</v>
      </c>
      <c r="T46" t="s">
        <v>47</v>
      </c>
    </row>
    <row r="47" spans="1:20" x14ac:dyDescent="0.35">
      <c r="A47" s="1" t="s">
        <v>137</v>
      </c>
      <c r="B47" t="s">
        <v>14</v>
      </c>
      <c r="C47">
        <v>5</v>
      </c>
      <c r="D47" t="s">
        <v>138</v>
      </c>
      <c r="E47">
        <v>1</v>
      </c>
      <c r="F47" t="s">
        <v>45</v>
      </c>
      <c r="G47">
        <v>0</v>
      </c>
      <c r="H47" t="s">
        <v>47</v>
      </c>
      <c r="I47">
        <v>0</v>
      </c>
      <c r="J47" t="s">
        <v>47</v>
      </c>
      <c r="K47">
        <v>0</v>
      </c>
      <c r="L47" t="s">
        <v>47</v>
      </c>
      <c r="M47">
        <v>0</v>
      </c>
      <c r="N47" t="s">
        <v>47</v>
      </c>
      <c r="O47">
        <v>0</v>
      </c>
      <c r="P47" t="s">
        <v>47</v>
      </c>
      <c r="Q47">
        <v>0</v>
      </c>
      <c r="R47" t="s">
        <v>47</v>
      </c>
      <c r="S47">
        <v>0</v>
      </c>
      <c r="T47" t="s">
        <v>47</v>
      </c>
    </row>
    <row r="48" spans="1:20" x14ac:dyDescent="0.35">
      <c r="A48" s="1" t="s">
        <v>139</v>
      </c>
      <c r="B48" t="s">
        <v>14</v>
      </c>
      <c r="C48">
        <v>5</v>
      </c>
      <c r="D48" t="s">
        <v>140</v>
      </c>
      <c r="E48">
        <v>1</v>
      </c>
      <c r="F48" t="s">
        <v>45</v>
      </c>
      <c r="G48">
        <v>1</v>
      </c>
      <c r="H48" t="s">
        <v>45</v>
      </c>
      <c r="I48">
        <v>0</v>
      </c>
      <c r="J48" t="s">
        <v>47</v>
      </c>
      <c r="K48">
        <v>0</v>
      </c>
      <c r="L48" t="s">
        <v>47</v>
      </c>
      <c r="M48">
        <v>0</v>
      </c>
      <c r="N48" t="s">
        <v>47</v>
      </c>
      <c r="O48">
        <v>1</v>
      </c>
      <c r="P48" t="s">
        <v>45</v>
      </c>
      <c r="Q48">
        <v>0</v>
      </c>
      <c r="R48" t="s">
        <v>47</v>
      </c>
      <c r="S48">
        <v>0</v>
      </c>
      <c r="T48" t="s">
        <v>47</v>
      </c>
    </row>
    <row r="49" spans="1:20" x14ac:dyDescent="0.35">
      <c r="A49" s="1" t="s">
        <v>141</v>
      </c>
      <c r="B49" t="s">
        <v>12</v>
      </c>
      <c r="C49">
        <v>5</v>
      </c>
      <c r="D49" t="s">
        <v>142</v>
      </c>
      <c r="E49">
        <v>1</v>
      </c>
      <c r="F49" t="s">
        <v>45</v>
      </c>
      <c r="G49">
        <v>1</v>
      </c>
      <c r="H49" t="s">
        <v>45</v>
      </c>
      <c r="I49">
        <v>0</v>
      </c>
      <c r="J49" t="s">
        <v>47</v>
      </c>
      <c r="K49">
        <v>0</v>
      </c>
      <c r="L49" t="s">
        <v>47</v>
      </c>
      <c r="M49">
        <v>1</v>
      </c>
      <c r="N49" t="s">
        <v>45</v>
      </c>
      <c r="O49">
        <v>0</v>
      </c>
      <c r="P49" t="s">
        <v>47</v>
      </c>
      <c r="Q49">
        <v>0</v>
      </c>
      <c r="R49" t="s">
        <v>47</v>
      </c>
      <c r="S49">
        <v>0</v>
      </c>
      <c r="T49" t="s">
        <v>47</v>
      </c>
    </row>
    <row r="50" spans="1:20" x14ac:dyDescent="0.35">
      <c r="A50" s="1" t="s">
        <v>143</v>
      </c>
      <c r="B50" t="s">
        <v>14</v>
      </c>
      <c r="C50">
        <v>5</v>
      </c>
      <c r="D50" t="s">
        <v>144</v>
      </c>
      <c r="E50">
        <v>1</v>
      </c>
      <c r="F50" t="s">
        <v>45</v>
      </c>
      <c r="G50">
        <v>0</v>
      </c>
      <c r="H50" t="s">
        <v>47</v>
      </c>
      <c r="I50">
        <v>0</v>
      </c>
      <c r="J50" t="s">
        <v>47</v>
      </c>
      <c r="K50">
        <v>0</v>
      </c>
      <c r="L50" t="s">
        <v>47</v>
      </c>
      <c r="M50">
        <v>0</v>
      </c>
      <c r="N50" t="s">
        <v>47</v>
      </c>
      <c r="O50">
        <v>0</v>
      </c>
      <c r="P50" t="s">
        <v>47</v>
      </c>
      <c r="Q50">
        <v>0</v>
      </c>
      <c r="R50" t="s">
        <v>47</v>
      </c>
      <c r="S50">
        <v>0</v>
      </c>
      <c r="T50" t="s">
        <v>47</v>
      </c>
    </row>
    <row r="51" spans="1:20" x14ac:dyDescent="0.35">
      <c r="A51" s="1" t="s">
        <v>145</v>
      </c>
      <c r="B51" t="s">
        <v>12</v>
      </c>
      <c r="C51">
        <v>5</v>
      </c>
      <c r="D51" t="s">
        <v>146</v>
      </c>
      <c r="E51">
        <v>0</v>
      </c>
      <c r="F51" t="s">
        <v>47</v>
      </c>
      <c r="G51">
        <v>0</v>
      </c>
      <c r="H51" t="s">
        <v>47</v>
      </c>
      <c r="I51">
        <v>0</v>
      </c>
      <c r="J51" t="s">
        <v>47</v>
      </c>
      <c r="K51">
        <v>0</v>
      </c>
      <c r="L51" t="s">
        <v>47</v>
      </c>
      <c r="M51">
        <v>0</v>
      </c>
      <c r="N51" t="s">
        <v>47</v>
      </c>
      <c r="O51">
        <v>0</v>
      </c>
      <c r="P51" t="s">
        <v>47</v>
      </c>
      <c r="Q51">
        <v>1</v>
      </c>
      <c r="R51" t="s">
        <v>45</v>
      </c>
      <c r="S51">
        <v>0</v>
      </c>
      <c r="T51" t="s">
        <v>47</v>
      </c>
    </row>
    <row r="52" spans="1:20" x14ac:dyDescent="0.35">
      <c r="A52" s="1" t="s">
        <v>147</v>
      </c>
      <c r="B52" t="s">
        <v>12</v>
      </c>
      <c r="C52">
        <v>5</v>
      </c>
      <c r="D52" t="s">
        <v>148</v>
      </c>
      <c r="E52">
        <v>1</v>
      </c>
      <c r="F52" t="s">
        <v>45</v>
      </c>
      <c r="G52">
        <v>0</v>
      </c>
      <c r="H52" t="s">
        <v>47</v>
      </c>
      <c r="I52">
        <v>0</v>
      </c>
      <c r="J52" t="s">
        <v>47</v>
      </c>
      <c r="K52">
        <v>0</v>
      </c>
      <c r="L52" t="s">
        <v>47</v>
      </c>
      <c r="M52">
        <v>0</v>
      </c>
      <c r="N52" t="s">
        <v>47</v>
      </c>
      <c r="O52">
        <v>0</v>
      </c>
      <c r="P52" t="s">
        <v>47</v>
      </c>
      <c r="Q52">
        <v>1</v>
      </c>
      <c r="R52" t="s">
        <v>45</v>
      </c>
      <c r="S52">
        <v>0</v>
      </c>
      <c r="T52" t="s">
        <v>47</v>
      </c>
    </row>
    <row r="53" spans="1:20" x14ac:dyDescent="0.35">
      <c r="A53" s="1" t="s">
        <v>149</v>
      </c>
      <c r="B53" t="s">
        <v>12</v>
      </c>
      <c r="C53">
        <v>3</v>
      </c>
      <c r="D53" t="s">
        <v>150</v>
      </c>
      <c r="E53">
        <v>1</v>
      </c>
      <c r="F53" t="s">
        <v>48</v>
      </c>
      <c r="G53">
        <v>0</v>
      </c>
      <c r="H53" t="s">
        <v>47</v>
      </c>
      <c r="I53">
        <v>0</v>
      </c>
      <c r="J53" t="s">
        <v>47</v>
      </c>
      <c r="K53">
        <v>0</v>
      </c>
      <c r="L53" t="s">
        <v>47</v>
      </c>
      <c r="M53">
        <v>0</v>
      </c>
      <c r="N53" t="s">
        <v>47</v>
      </c>
      <c r="O53">
        <v>0</v>
      </c>
      <c r="P53" t="s">
        <v>47</v>
      </c>
      <c r="Q53">
        <v>0</v>
      </c>
      <c r="R53" t="s">
        <v>47</v>
      </c>
      <c r="S53">
        <v>0</v>
      </c>
      <c r="T53" t="s">
        <v>47</v>
      </c>
    </row>
    <row r="54" spans="1:20" x14ac:dyDescent="0.35">
      <c r="A54" s="1" t="s">
        <v>151</v>
      </c>
      <c r="B54" t="s">
        <v>12</v>
      </c>
      <c r="C54">
        <v>4</v>
      </c>
      <c r="D54" t="s">
        <v>152</v>
      </c>
      <c r="E54">
        <v>1</v>
      </c>
      <c r="F54" t="s">
        <v>48</v>
      </c>
      <c r="G54">
        <v>1</v>
      </c>
      <c r="H54" t="s">
        <v>48</v>
      </c>
      <c r="I54">
        <v>0</v>
      </c>
      <c r="J54" t="s">
        <v>47</v>
      </c>
      <c r="K54">
        <v>0</v>
      </c>
      <c r="L54" t="s">
        <v>47</v>
      </c>
      <c r="M54">
        <v>1</v>
      </c>
      <c r="N54" t="s">
        <v>55</v>
      </c>
      <c r="O54">
        <v>0</v>
      </c>
      <c r="P54" t="s">
        <v>47</v>
      </c>
      <c r="Q54">
        <v>0</v>
      </c>
      <c r="R54" t="s">
        <v>47</v>
      </c>
      <c r="S54">
        <v>0</v>
      </c>
      <c r="T54" t="s">
        <v>47</v>
      </c>
    </row>
    <row r="55" spans="1:20" x14ac:dyDescent="0.35">
      <c r="A55" s="1" t="s">
        <v>153</v>
      </c>
      <c r="B55" t="s">
        <v>12</v>
      </c>
      <c r="C55">
        <v>5</v>
      </c>
      <c r="D55" t="s">
        <v>154</v>
      </c>
      <c r="E55">
        <v>1</v>
      </c>
      <c r="F55" t="s">
        <v>45</v>
      </c>
      <c r="G55">
        <v>1</v>
      </c>
      <c r="H55" t="s">
        <v>45</v>
      </c>
      <c r="I55">
        <v>0</v>
      </c>
      <c r="J55" t="s">
        <v>47</v>
      </c>
      <c r="K55">
        <v>0</v>
      </c>
      <c r="L55" t="s">
        <v>47</v>
      </c>
      <c r="M55">
        <v>0</v>
      </c>
      <c r="N55" t="s">
        <v>47</v>
      </c>
      <c r="O55">
        <v>0</v>
      </c>
      <c r="P55" t="s">
        <v>47</v>
      </c>
      <c r="Q55">
        <v>1</v>
      </c>
      <c r="R55" t="s">
        <v>45</v>
      </c>
      <c r="S55">
        <v>0</v>
      </c>
      <c r="T55" t="s">
        <v>47</v>
      </c>
    </row>
    <row r="56" spans="1:20" x14ac:dyDescent="0.35">
      <c r="A56" s="1" t="s">
        <v>155</v>
      </c>
      <c r="B56" t="s">
        <v>12</v>
      </c>
      <c r="C56">
        <v>5</v>
      </c>
      <c r="D56" t="s">
        <v>156</v>
      </c>
      <c r="E56">
        <v>1</v>
      </c>
      <c r="F56" t="s">
        <v>45</v>
      </c>
      <c r="G56">
        <v>1</v>
      </c>
      <c r="H56" t="s">
        <v>45</v>
      </c>
      <c r="I56">
        <v>0</v>
      </c>
      <c r="J56" t="s">
        <v>47</v>
      </c>
      <c r="K56">
        <v>0</v>
      </c>
      <c r="L56" t="s">
        <v>47</v>
      </c>
      <c r="M56">
        <v>0</v>
      </c>
      <c r="N56" t="s">
        <v>47</v>
      </c>
      <c r="O56">
        <v>0</v>
      </c>
      <c r="P56" t="s">
        <v>47</v>
      </c>
      <c r="Q56">
        <v>1</v>
      </c>
      <c r="R56" t="s">
        <v>45</v>
      </c>
      <c r="S56">
        <v>0</v>
      </c>
      <c r="T56" t="s">
        <v>47</v>
      </c>
    </row>
    <row r="57" spans="1:20" x14ac:dyDescent="0.35">
      <c r="A57" s="1" t="s">
        <v>157</v>
      </c>
      <c r="B57" t="s">
        <v>12</v>
      </c>
      <c r="C57">
        <v>5</v>
      </c>
      <c r="D57" t="s">
        <v>158</v>
      </c>
      <c r="E57">
        <v>1</v>
      </c>
      <c r="F57" t="s">
        <v>45</v>
      </c>
      <c r="G57">
        <v>1</v>
      </c>
      <c r="H57" t="s">
        <v>45</v>
      </c>
      <c r="I57">
        <v>0</v>
      </c>
      <c r="J57" t="s">
        <v>47</v>
      </c>
      <c r="K57">
        <v>0</v>
      </c>
      <c r="L57" t="s">
        <v>47</v>
      </c>
      <c r="M57">
        <v>0</v>
      </c>
      <c r="N57" t="s">
        <v>47</v>
      </c>
      <c r="O57">
        <v>0</v>
      </c>
      <c r="P57" t="s">
        <v>47</v>
      </c>
      <c r="Q57">
        <v>1</v>
      </c>
      <c r="R57" t="s">
        <v>45</v>
      </c>
      <c r="S57">
        <v>0</v>
      </c>
      <c r="T57" t="s">
        <v>47</v>
      </c>
    </row>
    <row r="58" spans="1:20" x14ac:dyDescent="0.35">
      <c r="A58" s="1" t="s">
        <v>159</v>
      </c>
      <c r="B58" t="s">
        <v>12</v>
      </c>
      <c r="C58">
        <v>5</v>
      </c>
      <c r="D58" t="s">
        <v>160</v>
      </c>
      <c r="E58">
        <v>1</v>
      </c>
      <c r="F58" t="s">
        <v>45</v>
      </c>
      <c r="G58">
        <v>1</v>
      </c>
      <c r="H58" t="s">
        <v>45</v>
      </c>
      <c r="I58">
        <v>0</v>
      </c>
      <c r="J58" t="s">
        <v>47</v>
      </c>
      <c r="K58">
        <v>0</v>
      </c>
      <c r="L58" t="s">
        <v>47</v>
      </c>
      <c r="M58">
        <v>0</v>
      </c>
      <c r="N58" t="s">
        <v>47</v>
      </c>
      <c r="O58">
        <v>0</v>
      </c>
      <c r="P58" t="s">
        <v>47</v>
      </c>
      <c r="Q58">
        <v>0</v>
      </c>
      <c r="R58" t="s">
        <v>47</v>
      </c>
      <c r="S58">
        <v>0</v>
      </c>
      <c r="T58" t="s">
        <v>47</v>
      </c>
    </row>
    <row r="59" spans="1:20" x14ac:dyDescent="0.35">
      <c r="A59" s="1" t="s">
        <v>161</v>
      </c>
      <c r="B59" t="s">
        <v>12</v>
      </c>
      <c r="C59">
        <v>5</v>
      </c>
      <c r="D59" t="s">
        <v>162</v>
      </c>
      <c r="E59">
        <v>1</v>
      </c>
      <c r="F59" t="s">
        <v>45</v>
      </c>
      <c r="G59">
        <v>1</v>
      </c>
      <c r="H59" t="s">
        <v>45</v>
      </c>
      <c r="I59">
        <v>0</v>
      </c>
      <c r="J59" t="s">
        <v>47</v>
      </c>
      <c r="K59">
        <v>0</v>
      </c>
      <c r="L59" t="s">
        <v>47</v>
      </c>
      <c r="M59">
        <v>0</v>
      </c>
      <c r="N59" t="s">
        <v>47</v>
      </c>
      <c r="O59">
        <v>0</v>
      </c>
      <c r="P59" t="s">
        <v>47</v>
      </c>
      <c r="Q59">
        <v>1</v>
      </c>
      <c r="R59" t="s">
        <v>45</v>
      </c>
      <c r="S59">
        <v>1</v>
      </c>
      <c r="T59" t="s">
        <v>45</v>
      </c>
    </row>
    <row r="60" spans="1:20" x14ac:dyDescent="0.35">
      <c r="A60" s="1" t="s">
        <v>163</v>
      </c>
      <c r="B60" t="s">
        <v>12</v>
      </c>
      <c r="C60">
        <v>5</v>
      </c>
      <c r="D60" t="s">
        <v>164</v>
      </c>
      <c r="E60">
        <v>0</v>
      </c>
      <c r="F60" t="s">
        <v>47</v>
      </c>
      <c r="G60">
        <v>1</v>
      </c>
      <c r="H60" t="s">
        <v>45</v>
      </c>
      <c r="I60">
        <v>0</v>
      </c>
      <c r="J60" t="s">
        <v>47</v>
      </c>
      <c r="K60">
        <v>0</v>
      </c>
      <c r="L60" t="s">
        <v>47</v>
      </c>
      <c r="M60">
        <v>0</v>
      </c>
      <c r="N60" t="s">
        <v>47</v>
      </c>
      <c r="O60">
        <v>0</v>
      </c>
      <c r="P60" t="s">
        <v>47</v>
      </c>
      <c r="Q60">
        <v>0</v>
      </c>
      <c r="R60" t="s">
        <v>47</v>
      </c>
      <c r="S60">
        <v>0</v>
      </c>
      <c r="T60" t="s">
        <v>47</v>
      </c>
    </row>
    <row r="61" spans="1:20" x14ac:dyDescent="0.35">
      <c r="A61" s="1" t="s">
        <v>165</v>
      </c>
      <c r="B61" t="s">
        <v>16</v>
      </c>
      <c r="C61">
        <v>1</v>
      </c>
      <c r="D61" t="s">
        <v>166</v>
      </c>
      <c r="E61">
        <v>1</v>
      </c>
      <c r="F61" t="s">
        <v>48</v>
      </c>
      <c r="G61">
        <v>1</v>
      </c>
      <c r="H61" t="s">
        <v>48</v>
      </c>
      <c r="I61">
        <v>0</v>
      </c>
      <c r="J61" t="s">
        <v>47</v>
      </c>
      <c r="K61">
        <v>0</v>
      </c>
      <c r="L61" t="s">
        <v>47</v>
      </c>
      <c r="M61">
        <v>0</v>
      </c>
      <c r="N61" t="s">
        <v>47</v>
      </c>
      <c r="O61">
        <v>0</v>
      </c>
      <c r="P61" t="s">
        <v>47</v>
      </c>
      <c r="Q61">
        <v>0</v>
      </c>
      <c r="R61" t="s">
        <v>47</v>
      </c>
      <c r="S61">
        <v>0</v>
      </c>
      <c r="T61" t="s">
        <v>47</v>
      </c>
    </row>
    <row r="62" spans="1:20" x14ac:dyDescent="0.35">
      <c r="A62" s="1" t="s">
        <v>167</v>
      </c>
      <c r="B62" t="s">
        <v>14</v>
      </c>
      <c r="C62">
        <v>5</v>
      </c>
      <c r="D62" t="s">
        <v>168</v>
      </c>
      <c r="E62">
        <v>0</v>
      </c>
      <c r="F62" t="s">
        <v>47</v>
      </c>
      <c r="G62">
        <v>1</v>
      </c>
      <c r="H62" t="s">
        <v>45</v>
      </c>
      <c r="I62">
        <v>0</v>
      </c>
      <c r="J62" t="s">
        <v>47</v>
      </c>
      <c r="K62">
        <v>0</v>
      </c>
      <c r="L62" t="s">
        <v>47</v>
      </c>
      <c r="M62">
        <v>0</v>
      </c>
      <c r="N62" t="s">
        <v>47</v>
      </c>
      <c r="O62">
        <v>1</v>
      </c>
      <c r="P62" t="s">
        <v>45</v>
      </c>
      <c r="Q62">
        <v>0</v>
      </c>
      <c r="R62" t="s">
        <v>47</v>
      </c>
      <c r="S62">
        <v>0</v>
      </c>
      <c r="T62" t="s">
        <v>47</v>
      </c>
    </row>
    <row r="63" spans="1:20" x14ac:dyDescent="0.35">
      <c r="A63" s="1" t="s">
        <v>169</v>
      </c>
      <c r="B63" t="s">
        <v>14</v>
      </c>
      <c r="C63">
        <v>5</v>
      </c>
      <c r="D63" t="s">
        <v>170</v>
      </c>
      <c r="E63">
        <v>1</v>
      </c>
      <c r="F63" t="s">
        <v>45</v>
      </c>
      <c r="G63">
        <v>0</v>
      </c>
      <c r="H63" t="s">
        <v>47</v>
      </c>
      <c r="I63">
        <v>0</v>
      </c>
      <c r="J63" t="s">
        <v>47</v>
      </c>
      <c r="K63">
        <v>0</v>
      </c>
      <c r="L63" t="s">
        <v>47</v>
      </c>
      <c r="M63">
        <v>0</v>
      </c>
      <c r="N63" t="s">
        <v>47</v>
      </c>
      <c r="O63">
        <v>0</v>
      </c>
      <c r="P63" t="s">
        <v>47</v>
      </c>
      <c r="Q63">
        <v>1</v>
      </c>
      <c r="R63" t="s">
        <v>45</v>
      </c>
      <c r="S63">
        <v>0</v>
      </c>
      <c r="T63" t="s">
        <v>47</v>
      </c>
    </row>
    <row r="64" spans="1:20" x14ac:dyDescent="0.35">
      <c r="A64" s="1" t="s">
        <v>171</v>
      </c>
      <c r="B64" t="s">
        <v>14</v>
      </c>
      <c r="C64">
        <v>5</v>
      </c>
      <c r="D64" t="s">
        <v>172</v>
      </c>
      <c r="E64">
        <v>1</v>
      </c>
      <c r="F64" t="s">
        <v>45</v>
      </c>
      <c r="G64">
        <v>1</v>
      </c>
      <c r="H64" t="s">
        <v>45</v>
      </c>
      <c r="I64">
        <v>0</v>
      </c>
      <c r="J64" t="s">
        <v>47</v>
      </c>
      <c r="K64">
        <v>0</v>
      </c>
      <c r="L64" t="s">
        <v>47</v>
      </c>
      <c r="M64">
        <v>0</v>
      </c>
      <c r="N64" t="s">
        <v>47</v>
      </c>
      <c r="O64">
        <v>1</v>
      </c>
      <c r="P64" t="s">
        <v>45</v>
      </c>
      <c r="Q64">
        <v>0</v>
      </c>
      <c r="R64" t="s">
        <v>47</v>
      </c>
      <c r="S64">
        <v>0</v>
      </c>
      <c r="T64" t="s">
        <v>47</v>
      </c>
    </row>
    <row r="65" spans="1:20" x14ac:dyDescent="0.35">
      <c r="A65" s="1" t="s">
        <v>173</v>
      </c>
      <c r="B65" t="s">
        <v>14</v>
      </c>
      <c r="C65">
        <v>5</v>
      </c>
      <c r="D65" t="s">
        <v>174</v>
      </c>
      <c r="E65">
        <v>0</v>
      </c>
      <c r="F65" t="s">
        <v>47</v>
      </c>
      <c r="G65">
        <v>1</v>
      </c>
      <c r="H65" t="s">
        <v>45</v>
      </c>
      <c r="I65">
        <v>0</v>
      </c>
      <c r="J65" t="s">
        <v>47</v>
      </c>
      <c r="K65">
        <v>0</v>
      </c>
      <c r="L65" t="s">
        <v>47</v>
      </c>
      <c r="M65">
        <v>0</v>
      </c>
      <c r="N65" t="s">
        <v>47</v>
      </c>
      <c r="O65">
        <v>0</v>
      </c>
      <c r="P65" t="s">
        <v>47</v>
      </c>
      <c r="Q65">
        <v>1</v>
      </c>
      <c r="R65" t="s">
        <v>45</v>
      </c>
      <c r="S65">
        <v>0</v>
      </c>
      <c r="T65" t="s">
        <v>47</v>
      </c>
    </row>
    <row r="66" spans="1:20" x14ac:dyDescent="0.35">
      <c r="A66" s="1" t="s">
        <v>175</v>
      </c>
      <c r="B66" t="s">
        <v>16</v>
      </c>
      <c r="C66">
        <v>5</v>
      </c>
      <c r="D66" t="s">
        <v>176</v>
      </c>
      <c r="E66">
        <v>1</v>
      </c>
      <c r="F66" t="s">
        <v>45</v>
      </c>
      <c r="G66">
        <v>1</v>
      </c>
      <c r="H66" t="s">
        <v>45</v>
      </c>
      <c r="I66">
        <v>0</v>
      </c>
      <c r="J66" t="s">
        <v>47</v>
      </c>
      <c r="K66">
        <v>0</v>
      </c>
      <c r="L66" t="s">
        <v>47</v>
      </c>
      <c r="M66">
        <v>0</v>
      </c>
      <c r="N66" t="s">
        <v>47</v>
      </c>
      <c r="O66">
        <v>0</v>
      </c>
      <c r="P66" t="s">
        <v>47</v>
      </c>
      <c r="Q66">
        <v>0</v>
      </c>
      <c r="R66" t="s">
        <v>47</v>
      </c>
      <c r="S66">
        <v>0</v>
      </c>
      <c r="T66" t="s">
        <v>47</v>
      </c>
    </row>
    <row r="67" spans="1:20" x14ac:dyDescent="0.35">
      <c r="A67" s="1" t="s">
        <v>177</v>
      </c>
      <c r="B67" t="s">
        <v>12</v>
      </c>
      <c r="C67">
        <v>1</v>
      </c>
      <c r="D67" t="s">
        <v>178</v>
      </c>
      <c r="E67">
        <v>1</v>
      </c>
      <c r="F67" t="s">
        <v>48</v>
      </c>
      <c r="G67">
        <v>1</v>
      </c>
      <c r="H67" t="s">
        <v>48</v>
      </c>
      <c r="I67">
        <v>0</v>
      </c>
      <c r="J67" t="s">
        <v>47</v>
      </c>
      <c r="K67">
        <v>0</v>
      </c>
      <c r="L67" t="s">
        <v>47</v>
      </c>
      <c r="M67">
        <v>1</v>
      </c>
      <c r="N67" t="s">
        <v>48</v>
      </c>
      <c r="O67">
        <v>1</v>
      </c>
      <c r="P67" t="s">
        <v>48</v>
      </c>
      <c r="Q67">
        <v>0</v>
      </c>
      <c r="R67" t="s">
        <v>47</v>
      </c>
      <c r="S67">
        <v>0</v>
      </c>
      <c r="T67" t="s">
        <v>47</v>
      </c>
    </row>
    <row r="68" spans="1:20" x14ac:dyDescent="0.35">
      <c r="A68" s="1" t="s">
        <v>179</v>
      </c>
      <c r="B68" t="s">
        <v>14</v>
      </c>
      <c r="C68">
        <v>5</v>
      </c>
      <c r="D68" t="s">
        <v>180</v>
      </c>
      <c r="E68">
        <v>1</v>
      </c>
      <c r="F68" t="s">
        <v>45</v>
      </c>
      <c r="G68">
        <v>1</v>
      </c>
      <c r="H68" t="s">
        <v>45</v>
      </c>
      <c r="I68">
        <v>0</v>
      </c>
      <c r="J68" t="s">
        <v>47</v>
      </c>
      <c r="K68">
        <v>0</v>
      </c>
      <c r="L68" t="s">
        <v>47</v>
      </c>
      <c r="M68">
        <v>0</v>
      </c>
      <c r="N68" t="s">
        <v>47</v>
      </c>
      <c r="O68">
        <v>1</v>
      </c>
      <c r="P68" t="s">
        <v>45</v>
      </c>
      <c r="Q68">
        <v>0</v>
      </c>
      <c r="R68" t="s">
        <v>47</v>
      </c>
      <c r="S68">
        <v>0</v>
      </c>
      <c r="T68" t="s">
        <v>47</v>
      </c>
    </row>
    <row r="69" spans="1:20" x14ac:dyDescent="0.35">
      <c r="A69" s="1" t="s">
        <v>181</v>
      </c>
      <c r="B69" t="s">
        <v>12</v>
      </c>
      <c r="C69">
        <v>5</v>
      </c>
      <c r="D69" t="s">
        <v>182</v>
      </c>
      <c r="E69">
        <v>1</v>
      </c>
      <c r="F69" t="s">
        <v>45</v>
      </c>
      <c r="G69">
        <v>0</v>
      </c>
      <c r="H69" t="s">
        <v>47</v>
      </c>
      <c r="I69">
        <v>0</v>
      </c>
      <c r="J69" t="s">
        <v>47</v>
      </c>
      <c r="K69">
        <v>0</v>
      </c>
      <c r="L69" t="s">
        <v>47</v>
      </c>
      <c r="M69">
        <v>0</v>
      </c>
      <c r="N69" t="s">
        <v>47</v>
      </c>
      <c r="O69">
        <v>0</v>
      </c>
      <c r="P69" t="s">
        <v>47</v>
      </c>
      <c r="Q69">
        <v>0</v>
      </c>
      <c r="R69" t="s">
        <v>47</v>
      </c>
      <c r="S69">
        <v>0</v>
      </c>
      <c r="T69" t="s">
        <v>47</v>
      </c>
    </row>
    <row r="70" spans="1:20" x14ac:dyDescent="0.35">
      <c r="A70" s="1" t="s">
        <v>183</v>
      </c>
      <c r="B70" t="s">
        <v>12</v>
      </c>
      <c r="C70">
        <v>2</v>
      </c>
      <c r="D70" t="s">
        <v>184</v>
      </c>
      <c r="E70">
        <v>1</v>
      </c>
      <c r="F70" t="s">
        <v>48</v>
      </c>
      <c r="G70">
        <v>0</v>
      </c>
      <c r="H70" t="s">
        <v>47</v>
      </c>
      <c r="I70">
        <v>0</v>
      </c>
      <c r="J70" t="s">
        <v>47</v>
      </c>
      <c r="K70">
        <v>0</v>
      </c>
      <c r="L70" t="s">
        <v>47</v>
      </c>
      <c r="M70">
        <v>0</v>
      </c>
      <c r="N70" t="s">
        <v>47</v>
      </c>
      <c r="O70">
        <v>0</v>
      </c>
      <c r="P70" t="s">
        <v>47</v>
      </c>
      <c r="Q70">
        <v>0</v>
      </c>
      <c r="R70" t="s">
        <v>47</v>
      </c>
      <c r="S70">
        <v>0</v>
      </c>
      <c r="T70" t="s">
        <v>47</v>
      </c>
    </row>
    <row r="71" spans="1:20" x14ac:dyDescent="0.35">
      <c r="A71" s="1" t="s">
        <v>185</v>
      </c>
      <c r="B71" t="s">
        <v>12</v>
      </c>
      <c r="C71">
        <v>5</v>
      </c>
      <c r="D71" t="s">
        <v>186</v>
      </c>
      <c r="E71">
        <v>1</v>
      </c>
      <c r="F71" t="s">
        <v>45</v>
      </c>
      <c r="G71">
        <v>1</v>
      </c>
      <c r="H71" t="s">
        <v>45</v>
      </c>
      <c r="I71">
        <v>0</v>
      </c>
      <c r="J71" t="s">
        <v>47</v>
      </c>
      <c r="K71">
        <v>0</v>
      </c>
      <c r="L71" t="s">
        <v>47</v>
      </c>
      <c r="M71">
        <v>0</v>
      </c>
      <c r="N71" t="s">
        <v>47</v>
      </c>
      <c r="O71">
        <v>0</v>
      </c>
      <c r="P71" t="s">
        <v>47</v>
      </c>
      <c r="Q71">
        <v>1</v>
      </c>
      <c r="R71" t="s">
        <v>45</v>
      </c>
      <c r="S71">
        <v>0</v>
      </c>
      <c r="T71" t="s">
        <v>47</v>
      </c>
    </row>
    <row r="72" spans="1:20" x14ac:dyDescent="0.35">
      <c r="A72" s="1" t="s">
        <v>187</v>
      </c>
      <c r="B72" t="s">
        <v>16</v>
      </c>
      <c r="C72">
        <v>5</v>
      </c>
      <c r="D72" t="s">
        <v>188</v>
      </c>
      <c r="E72">
        <v>1</v>
      </c>
      <c r="F72" t="s">
        <v>45</v>
      </c>
      <c r="G72">
        <v>1</v>
      </c>
      <c r="H72" t="s">
        <v>45</v>
      </c>
      <c r="I72">
        <v>0</v>
      </c>
      <c r="J72" t="s">
        <v>47</v>
      </c>
      <c r="K72">
        <v>0</v>
      </c>
      <c r="L72" t="s">
        <v>47</v>
      </c>
      <c r="M72">
        <v>0</v>
      </c>
      <c r="N72" t="s">
        <v>47</v>
      </c>
      <c r="O72">
        <v>0</v>
      </c>
      <c r="P72" t="s">
        <v>47</v>
      </c>
      <c r="Q72">
        <v>0</v>
      </c>
      <c r="R72" t="s">
        <v>47</v>
      </c>
      <c r="S72">
        <v>0</v>
      </c>
      <c r="T72" t="s">
        <v>47</v>
      </c>
    </row>
    <row r="73" spans="1:20" x14ac:dyDescent="0.35">
      <c r="A73" s="1" t="s">
        <v>189</v>
      </c>
      <c r="B73" t="s">
        <v>14</v>
      </c>
      <c r="C73">
        <v>5</v>
      </c>
      <c r="D73" t="s">
        <v>190</v>
      </c>
      <c r="E73">
        <v>1</v>
      </c>
      <c r="F73" t="s">
        <v>45</v>
      </c>
      <c r="G73">
        <v>1</v>
      </c>
      <c r="H73" t="s">
        <v>45</v>
      </c>
      <c r="I73">
        <v>0</v>
      </c>
      <c r="J73" t="s">
        <v>47</v>
      </c>
      <c r="K73">
        <v>0</v>
      </c>
      <c r="L73" t="s">
        <v>47</v>
      </c>
      <c r="M73">
        <v>0</v>
      </c>
      <c r="N73" t="s">
        <v>47</v>
      </c>
      <c r="O73">
        <v>1</v>
      </c>
      <c r="P73" t="s">
        <v>45</v>
      </c>
      <c r="Q73">
        <v>0</v>
      </c>
      <c r="R73" t="s">
        <v>47</v>
      </c>
      <c r="S73">
        <v>0</v>
      </c>
      <c r="T73" t="s">
        <v>47</v>
      </c>
    </row>
    <row r="74" spans="1:20" x14ac:dyDescent="0.35">
      <c r="A74" s="1" t="s">
        <v>191</v>
      </c>
      <c r="B74" t="s">
        <v>16</v>
      </c>
      <c r="C74">
        <v>5</v>
      </c>
      <c r="D74" t="s">
        <v>192</v>
      </c>
      <c r="E74">
        <v>1</v>
      </c>
      <c r="F74" t="s">
        <v>45</v>
      </c>
      <c r="G74">
        <v>1</v>
      </c>
      <c r="H74" t="s">
        <v>45</v>
      </c>
      <c r="I74">
        <v>0</v>
      </c>
      <c r="J74" t="s">
        <v>47</v>
      </c>
      <c r="K74">
        <v>0</v>
      </c>
      <c r="L74" t="s">
        <v>47</v>
      </c>
      <c r="M74">
        <v>1</v>
      </c>
      <c r="N74" t="s">
        <v>45</v>
      </c>
      <c r="O74">
        <v>0</v>
      </c>
      <c r="P74" t="s">
        <v>47</v>
      </c>
      <c r="Q74">
        <v>0</v>
      </c>
      <c r="R74" t="s">
        <v>47</v>
      </c>
      <c r="S74">
        <v>0</v>
      </c>
      <c r="T74" t="s">
        <v>47</v>
      </c>
    </row>
    <row r="75" spans="1:20" x14ac:dyDescent="0.35">
      <c r="A75" s="1" t="s">
        <v>193</v>
      </c>
      <c r="B75" t="s">
        <v>16</v>
      </c>
      <c r="C75">
        <v>5</v>
      </c>
      <c r="D75" t="s">
        <v>194</v>
      </c>
      <c r="E75">
        <v>1</v>
      </c>
      <c r="F75" t="s">
        <v>45</v>
      </c>
      <c r="G75">
        <v>0</v>
      </c>
      <c r="H75" t="s">
        <v>47</v>
      </c>
      <c r="I75">
        <v>0</v>
      </c>
      <c r="J75" t="s">
        <v>47</v>
      </c>
      <c r="K75">
        <v>0</v>
      </c>
      <c r="L75" t="s">
        <v>47</v>
      </c>
      <c r="M75">
        <v>0</v>
      </c>
      <c r="N75" t="s">
        <v>47</v>
      </c>
      <c r="O75">
        <v>0</v>
      </c>
      <c r="P75" t="s">
        <v>47</v>
      </c>
      <c r="Q75">
        <v>0</v>
      </c>
      <c r="R75" t="s">
        <v>47</v>
      </c>
      <c r="S75">
        <v>0</v>
      </c>
      <c r="T75" t="s">
        <v>47</v>
      </c>
    </row>
    <row r="76" spans="1:20" x14ac:dyDescent="0.35">
      <c r="A76" s="1" t="s">
        <v>195</v>
      </c>
      <c r="B76" t="s">
        <v>14</v>
      </c>
      <c r="C76">
        <v>5</v>
      </c>
      <c r="D76" t="s">
        <v>196</v>
      </c>
      <c r="E76">
        <v>0</v>
      </c>
      <c r="F76" t="s">
        <v>47</v>
      </c>
      <c r="G76">
        <v>1</v>
      </c>
      <c r="H76" t="s">
        <v>45</v>
      </c>
      <c r="I76">
        <v>0</v>
      </c>
      <c r="J76" t="s">
        <v>47</v>
      </c>
      <c r="K76">
        <v>0</v>
      </c>
      <c r="L76" t="s">
        <v>47</v>
      </c>
      <c r="M76">
        <v>0</v>
      </c>
      <c r="N76" t="s">
        <v>47</v>
      </c>
      <c r="O76">
        <v>1</v>
      </c>
      <c r="P76" t="s">
        <v>45</v>
      </c>
      <c r="Q76">
        <v>0</v>
      </c>
      <c r="R76" t="s">
        <v>47</v>
      </c>
      <c r="S76">
        <v>0</v>
      </c>
      <c r="T76" t="s">
        <v>47</v>
      </c>
    </row>
    <row r="77" spans="1:20" x14ac:dyDescent="0.35">
      <c r="A77" s="1" t="s">
        <v>197</v>
      </c>
      <c r="B77" t="s">
        <v>14</v>
      </c>
      <c r="C77">
        <v>5</v>
      </c>
      <c r="D77" t="s">
        <v>198</v>
      </c>
      <c r="E77">
        <v>0</v>
      </c>
      <c r="F77" t="s">
        <v>47</v>
      </c>
      <c r="G77">
        <v>1</v>
      </c>
      <c r="H77" t="s">
        <v>45</v>
      </c>
      <c r="I77">
        <v>0</v>
      </c>
      <c r="J77" t="s">
        <v>47</v>
      </c>
      <c r="K77">
        <v>0</v>
      </c>
      <c r="L77" t="s">
        <v>47</v>
      </c>
      <c r="M77">
        <v>0</v>
      </c>
      <c r="N77" t="s">
        <v>47</v>
      </c>
      <c r="O77">
        <v>0</v>
      </c>
      <c r="P77" t="s">
        <v>47</v>
      </c>
      <c r="Q77">
        <v>0</v>
      </c>
      <c r="R77" t="s">
        <v>47</v>
      </c>
      <c r="S77">
        <v>0</v>
      </c>
      <c r="T77" t="s">
        <v>47</v>
      </c>
    </row>
    <row r="78" spans="1:20" x14ac:dyDescent="0.35">
      <c r="A78" s="1" t="s">
        <v>199</v>
      </c>
      <c r="B78" t="s">
        <v>12</v>
      </c>
      <c r="C78">
        <v>2</v>
      </c>
      <c r="D78" t="s">
        <v>200</v>
      </c>
      <c r="E78">
        <v>1</v>
      </c>
      <c r="F78" t="s">
        <v>48</v>
      </c>
      <c r="G78">
        <v>1</v>
      </c>
      <c r="H78" t="s">
        <v>55</v>
      </c>
      <c r="I78">
        <v>0</v>
      </c>
      <c r="J78" t="s">
        <v>47</v>
      </c>
      <c r="K78">
        <v>0</v>
      </c>
      <c r="L78" t="s">
        <v>47</v>
      </c>
      <c r="M78">
        <v>1</v>
      </c>
      <c r="N78" t="s">
        <v>48</v>
      </c>
      <c r="O78">
        <v>0</v>
      </c>
      <c r="P78" t="s">
        <v>47</v>
      </c>
      <c r="Q78">
        <v>0</v>
      </c>
      <c r="R78" t="s">
        <v>47</v>
      </c>
      <c r="S78">
        <v>0</v>
      </c>
      <c r="T78" t="s">
        <v>47</v>
      </c>
    </row>
    <row r="79" spans="1:20" x14ac:dyDescent="0.35">
      <c r="A79" s="1" t="s">
        <v>201</v>
      </c>
      <c r="B79" t="s">
        <v>12</v>
      </c>
      <c r="C79">
        <v>2</v>
      </c>
      <c r="D79" t="s">
        <v>202</v>
      </c>
      <c r="E79">
        <v>1</v>
      </c>
      <c r="F79" t="s">
        <v>48</v>
      </c>
      <c r="G79">
        <v>1</v>
      </c>
      <c r="H79" t="s">
        <v>55</v>
      </c>
      <c r="I79">
        <v>0</v>
      </c>
      <c r="J79" t="s">
        <v>47</v>
      </c>
      <c r="K79">
        <v>0</v>
      </c>
      <c r="L79" t="s">
        <v>47</v>
      </c>
      <c r="M79">
        <v>0</v>
      </c>
      <c r="N79" t="s">
        <v>47</v>
      </c>
      <c r="O79">
        <v>0</v>
      </c>
      <c r="P79" t="s">
        <v>47</v>
      </c>
      <c r="Q79">
        <v>0</v>
      </c>
      <c r="R79" t="s">
        <v>47</v>
      </c>
      <c r="S79">
        <v>0</v>
      </c>
      <c r="T79" t="s">
        <v>47</v>
      </c>
    </row>
    <row r="80" spans="1:20" x14ac:dyDescent="0.35">
      <c r="A80" s="1" t="s">
        <v>203</v>
      </c>
      <c r="B80" t="s">
        <v>12</v>
      </c>
      <c r="C80">
        <v>1</v>
      </c>
      <c r="D80" t="s">
        <v>204</v>
      </c>
      <c r="E80">
        <v>1</v>
      </c>
      <c r="F80" t="s">
        <v>48</v>
      </c>
      <c r="G80">
        <v>1</v>
      </c>
      <c r="H80" t="s">
        <v>55</v>
      </c>
      <c r="I80">
        <v>0</v>
      </c>
      <c r="J80" t="s">
        <v>47</v>
      </c>
      <c r="K80">
        <v>0</v>
      </c>
      <c r="L80" t="s">
        <v>47</v>
      </c>
      <c r="M80">
        <v>0</v>
      </c>
      <c r="N80" t="s">
        <v>47</v>
      </c>
      <c r="O80">
        <v>0</v>
      </c>
      <c r="P80" t="s">
        <v>47</v>
      </c>
      <c r="Q80">
        <v>0</v>
      </c>
      <c r="R80" t="s">
        <v>47</v>
      </c>
      <c r="S80">
        <v>0</v>
      </c>
      <c r="T80" t="s">
        <v>47</v>
      </c>
    </row>
    <row r="81" spans="1:20" x14ac:dyDescent="0.35">
      <c r="A81" s="1" t="s">
        <v>205</v>
      </c>
      <c r="B81" t="s">
        <v>14</v>
      </c>
      <c r="C81">
        <v>2</v>
      </c>
      <c r="D81" t="s">
        <v>206</v>
      </c>
      <c r="E81">
        <v>1</v>
      </c>
      <c r="F81" t="s">
        <v>48</v>
      </c>
      <c r="G81">
        <v>1</v>
      </c>
      <c r="H81" t="s">
        <v>55</v>
      </c>
      <c r="I81">
        <v>0</v>
      </c>
      <c r="J81" t="s">
        <v>47</v>
      </c>
      <c r="K81">
        <v>0</v>
      </c>
      <c r="L81" t="s">
        <v>47</v>
      </c>
      <c r="M81">
        <v>0</v>
      </c>
      <c r="N81" t="s">
        <v>47</v>
      </c>
      <c r="O81">
        <v>1</v>
      </c>
      <c r="P81" t="s">
        <v>45</v>
      </c>
      <c r="Q81">
        <v>0</v>
      </c>
      <c r="R81" t="s">
        <v>47</v>
      </c>
      <c r="S81">
        <v>0</v>
      </c>
      <c r="T81" t="s">
        <v>47</v>
      </c>
    </row>
    <row r="82" spans="1:20" x14ac:dyDescent="0.35">
      <c r="A82" s="1" t="s">
        <v>207</v>
      </c>
      <c r="B82" t="s">
        <v>14</v>
      </c>
      <c r="C82">
        <v>2</v>
      </c>
      <c r="D82" t="s">
        <v>208</v>
      </c>
      <c r="E82">
        <v>1</v>
      </c>
      <c r="F82" t="s">
        <v>48</v>
      </c>
      <c r="G82">
        <v>1</v>
      </c>
      <c r="H82" t="s">
        <v>55</v>
      </c>
      <c r="I82">
        <v>0</v>
      </c>
      <c r="J82" t="s">
        <v>47</v>
      </c>
      <c r="K82">
        <v>0</v>
      </c>
      <c r="L82" t="s">
        <v>47</v>
      </c>
      <c r="M82">
        <v>0</v>
      </c>
      <c r="N82" t="s">
        <v>47</v>
      </c>
      <c r="O82">
        <v>0</v>
      </c>
      <c r="P82" t="s">
        <v>47</v>
      </c>
      <c r="Q82">
        <v>0</v>
      </c>
      <c r="R82" t="s">
        <v>47</v>
      </c>
      <c r="S82">
        <v>0</v>
      </c>
      <c r="T82" t="s">
        <v>47</v>
      </c>
    </row>
    <row r="83" spans="1:20" x14ac:dyDescent="0.35">
      <c r="A83" s="1" t="s">
        <v>209</v>
      </c>
      <c r="B83" t="s">
        <v>14</v>
      </c>
      <c r="C83">
        <v>1</v>
      </c>
      <c r="D83" t="s">
        <v>210</v>
      </c>
      <c r="E83">
        <v>1</v>
      </c>
      <c r="F83" t="s">
        <v>48</v>
      </c>
      <c r="G83">
        <v>1</v>
      </c>
      <c r="H83" t="s">
        <v>55</v>
      </c>
      <c r="I83">
        <v>0</v>
      </c>
      <c r="J83" t="s">
        <v>47</v>
      </c>
      <c r="K83">
        <v>0</v>
      </c>
      <c r="L83" t="s">
        <v>47</v>
      </c>
      <c r="M83">
        <v>0</v>
      </c>
      <c r="N83" t="s">
        <v>47</v>
      </c>
      <c r="O83">
        <v>0</v>
      </c>
      <c r="P83" t="s">
        <v>47</v>
      </c>
      <c r="Q83">
        <v>0</v>
      </c>
      <c r="R83" t="s">
        <v>47</v>
      </c>
      <c r="S83">
        <v>0</v>
      </c>
      <c r="T83" t="s">
        <v>47</v>
      </c>
    </row>
    <row r="84" spans="1:20" x14ac:dyDescent="0.35">
      <c r="A84" s="1" t="s">
        <v>299</v>
      </c>
      <c r="B84" t="s">
        <v>14</v>
      </c>
      <c r="C84">
        <v>5</v>
      </c>
      <c r="D84" t="s">
        <v>211</v>
      </c>
      <c r="E84">
        <v>0</v>
      </c>
      <c r="F84" t="s">
        <v>47</v>
      </c>
      <c r="G84">
        <v>0</v>
      </c>
      <c r="H84" t="s">
        <v>47</v>
      </c>
      <c r="I84">
        <v>1</v>
      </c>
      <c r="J84" t="s">
        <v>45</v>
      </c>
      <c r="K84">
        <v>0</v>
      </c>
      <c r="L84" t="s">
        <v>47</v>
      </c>
      <c r="M84">
        <v>0</v>
      </c>
      <c r="N84" t="s">
        <v>47</v>
      </c>
      <c r="O84">
        <v>0</v>
      </c>
      <c r="P84" t="s">
        <v>47</v>
      </c>
      <c r="Q84">
        <v>0</v>
      </c>
      <c r="R84" t="s">
        <v>47</v>
      </c>
      <c r="S84">
        <v>0</v>
      </c>
      <c r="T84" t="s">
        <v>47</v>
      </c>
    </row>
    <row r="85" spans="1:20" x14ac:dyDescent="0.35">
      <c r="A85" s="1" t="s">
        <v>300</v>
      </c>
      <c r="B85" t="s">
        <v>14</v>
      </c>
      <c r="C85">
        <v>4</v>
      </c>
      <c r="D85" t="s">
        <v>212</v>
      </c>
      <c r="E85">
        <v>0</v>
      </c>
      <c r="F85" t="s">
        <v>47</v>
      </c>
      <c r="G85">
        <v>0</v>
      </c>
      <c r="H85" t="s">
        <v>47</v>
      </c>
      <c r="I85">
        <v>1</v>
      </c>
      <c r="J85" t="s">
        <v>45</v>
      </c>
      <c r="K85">
        <v>0</v>
      </c>
      <c r="L85" t="s">
        <v>47</v>
      </c>
      <c r="M85">
        <v>0</v>
      </c>
      <c r="N85" t="s">
        <v>47</v>
      </c>
      <c r="O85">
        <v>0</v>
      </c>
      <c r="P85" t="s">
        <v>47</v>
      </c>
      <c r="Q85">
        <v>0</v>
      </c>
      <c r="R85" t="s">
        <v>47</v>
      </c>
      <c r="S85">
        <v>0</v>
      </c>
      <c r="T85" t="s">
        <v>47</v>
      </c>
    </row>
    <row r="86" spans="1:20" x14ac:dyDescent="0.35">
      <c r="A86" s="1" t="s">
        <v>301</v>
      </c>
      <c r="B86" t="s">
        <v>14</v>
      </c>
      <c r="C86">
        <v>5</v>
      </c>
      <c r="D86" t="s">
        <v>213</v>
      </c>
      <c r="E86">
        <v>0</v>
      </c>
      <c r="F86" t="s">
        <v>47</v>
      </c>
      <c r="G86">
        <v>0</v>
      </c>
      <c r="H86" t="s">
        <v>47</v>
      </c>
      <c r="I86">
        <v>1</v>
      </c>
      <c r="J86" t="s">
        <v>45</v>
      </c>
      <c r="K86">
        <v>0</v>
      </c>
      <c r="L86" t="s">
        <v>47</v>
      </c>
      <c r="M86">
        <v>0</v>
      </c>
      <c r="N86" t="s">
        <v>47</v>
      </c>
      <c r="O86">
        <v>0</v>
      </c>
      <c r="P86" t="s">
        <v>47</v>
      </c>
      <c r="Q86">
        <v>0</v>
      </c>
      <c r="R86" t="s">
        <v>47</v>
      </c>
      <c r="S86">
        <v>0</v>
      </c>
      <c r="T86" t="s">
        <v>47</v>
      </c>
    </row>
    <row r="87" spans="1:20" x14ac:dyDescent="0.35">
      <c r="A87" s="1" t="s">
        <v>302</v>
      </c>
      <c r="B87" t="s">
        <v>14</v>
      </c>
      <c r="C87">
        <v>5</v>
      </c>
      <c r="D87" t="s">
        <v>214</v>
      </c>
      <c r="E87">
        <v>0</v>
      </c>
      <c r="F87" t="s">
        <v>47</v>
      </c>
      <c r="G87">
        <v>0</v>
      </c>
      <c r="H87" t="s">
        <v>47</v>
      </c>
      <c r="I87">
        <v>1</v>
      </c>
      <c r="J87" t="s">
        <v>45</v>
      </c>
      <c r="K87">
        <v>0</v>
      </c>
      <c r="L87" t="s">
        <v>47</v>
      </c>
      <c r="M87">
        <v>0</v>
      </c>
      <c r="N87" t="s">
        <v>47</v>
      </c>
      <c r="O87">
        <v>0</v>
      </c>
      <c r="P87" t="s">
        <v>47</v>
      </c>
      <c r="Q87">
        <v>0</v>
      </c>
      <c r="R87" t="s">
        <v>47</v>
      </c>
      <c r="S87">
        <v>0</v>
      </c>
      <c r="T87" t="s">
        <v>47</v>
      </c>
    </row>
    <row r="88" spans="1:20" x14ac:dyDescent="0.35">
      <c r="A88" s="1" t="s">
        <v>303</v>
      </c>
      <c r="B88" t="s">
        <v>14</v>
      </c>
      <c r="C88">
        <v>4</v>
      </c>
      <c r="D88" t="s">
        <v>215</v>
      </c>
      <c r="E88">
        <v>0</v>
      </c>
      <c r="F88" t="s">
        <v>47</v>
      </c>
      <c r="G88">
        <v>0</v>
      </c>
      <c r="H88" t="s">
        <v>47</v>
      </c>
      <c r="I88">
        <v>1</v>
      </c>
      <c r="J88" t="s">
        <v>45</v>
      </c>
      <c r="K88">
        <v>0</v>
      </c>
      <c r="L88" t="s">
        <v>47</v>
      </c>
      <c r="M88">
        <v>0</v>
      </c>
      <c r="N88" t="s">
        <v>47</v>
      </c>
      <c r="O88">
        <v>0</v>
      </c>
      <c r="P88" t="s">
        <v>47</v>
      </c>
      <c r="Q88">
        <v>0</v>
      </c>
      <c r="R88" t="s">
        <v>47</v>
      </c>
      <c r="S88">
        <v>0</v>
      </c>
      <c r="T88" t="s">
        <v>47</v>
      </c>
    </row>
    <row r="89" spans="1:20" x14ac:dyDescent="0.35">
      <c r="A89" s="1" t="s">
        <v>304</v>
      </c>
      <c r="B89" t="s">
        <v>14</v>
      </c>
      <c r="C89">
        <v>3</v>
      </c>
      <c r="D89" t="s">
        <v>216</v>
      </c>
      <c r="E89">
        <v>0</v>
      </c>
      <c r="F89" t="s">
        <v>47</v>
      </c>
      <c r="G89">
        <v>0</v>
      </c>
      <c r="H89" t="s">
        <v>47</v>
      </c>
      <c r="I89">
        <v>1</v>
      </c>
      <c r="J89" t="s">
        <v>55</v>
      </c>
      <c r="K89">
        <v>0</v>
      </c>
      <c r="L89" t="s">
        <v>47</v>
      </c>
      <c r="M89">
        <v>0</v>
      </c>
      <c r="N89" t="s">
        <v>47</v>
      </c>
      <c r="O89">
        <v>0</v>
      </c>
      <c r="P89" t="s">
        <v>47</v>
      </c>
      <c r="Q89">
        <v>0</v>
      </c>
      <c r="R89" t="s">
        <v>47</v>
      </c>
      <c r="S89">
        <v>0</v>
      </c>
      <c r="T89" t="s">
        <v>47</v>
      </c>
    </row>
    <row r="90" spans="1:20" x14ac:dyDescent="0.35">
      <c r="A90" s="1" t="s">
        <v>305</v>
      </c>
      <c r="B90" t="s">
        <v>14</v>
      </c>
      <c r="C90">
        <v>2</v>
      </c>
      <c r="D90" t="s">
        <v>217</v>
      </c>
      <c r="E90">
        <v>0</v>
      </c>
      <c r="F90" t="s">
        <v>47</v>
      </c>
      <c r="G90">
        <v>0</v>
      </c>
      <c r="H90" t="s">
        <v>47</v>
      </c>
      <c r="I90">
        <v>1</v>
      </c>
      <c r="J90" t="s">
        <v>55</v>
      </c>
      <c r="K90">
        <v>0</v>
      </c>
      <c r="L90" t="s">
        <v>47</v>
      </c>
      <c r="M90">
        <v>0</v>
      </c>
      <c r="N90" t="s">
        <v>47</v>
      </c>
      <c r="O90">
        <v>0</v>
      </c>
      <c r="P90" t="s">
        <v>47</v>
      </c>
      <c r="Q90">
        <v>0</v>
      </c>
      <c r="R90" t="s">
        <v>47</v>
      </c>
      <c r="S90">
        <v>0</v>
      </c>
      <c r="T90" t="s">
        <v>47</v>
      </c>
    </row>
    <row r="91" spans="1:20" x14ac:dyDescent="0.35">
      <c r="A91" s="1" t="s">
        <v>306</v>
      </c>
      <c r="B91" t="s">
        <v>14</v>
      </c>
      <c r="C91">
        <v>3</v>
      </c>
      <c r="D91" t="s">
        <v>218</v>
      </c>
      <c r="E91">
        <v>0</v>
      </c>
      <c r="F91" t="s">
        <v>47</v>
      </c>
      <c r="G91">
        <v>0</v>
      </c>
      <c r="H91" t="s">
        <v>47</v>
      </c>
      <c r="I91">
        <v>1</v>
      </c>
      <c r="J91" t="s">
        <v>55</v>
      </c>
      <c r="K91">
        <v>0</v>
      </c>
      <c r="L91" t="s">
        <v>47</v>
      </c>
      <c r="M91">
        <v>0</v>
      </c>
      <c r="N91" t="s">
        <v>47</v>
      </c>
      <c r="O91">
        <v>0</v>
      </c>
      <c r="P91" t="s">
        <v>47</v>
      </c>
      <c r="Q91">
        <v>0</v>
      </c>
      <c r="R91" t="s">
        <v>47</v>
      </c>
      <c r="S91">
        <v>0</v>
      </c>
      <c r="T91" t="s">
        <v>47</v>
      </c>
    </row>
    <row r="92" spans="1:20" x14ac:dyDescent="0.35">
      <c r="A92" s="1" t="s">
        <v>307</v>
      </c>
      <c r="B92" t="s">
        <v>14</v>
      </c>
      <c r="C92">
        <v>2</v>
      </c>
      <c r="D92" t="s">
        <v>219</v>
      </c>
      <c r="E92">
        <v>0</v>
      </c>
      <c r="F92" t="s">
        <v>47</v>
      </c>
      <c r="G92">
        <v>0</v>
      </c>
      <c r="H92" t="s">
        <v>47</v>
      </c>
      <c r="I92">
        <v>1</v>
      </c>
      <c r="J92" t="s">
        <v>55</v>
      </c>
      <c r="K92">
        <v>0</v>
      </c>
      <c r="L92" t="s">
        <v>47</v>
      </c>
      <c r="M92">
        <v>0</v>
      </c>
      <c r="N92" t="s">
        <v>47</v>
      </c>
      <c r="O92">
        <v>0</v>
      </c>
      <c r="P92" t="s">
        <v>47</v>
      </c>
      <c r="Q92">
        <v>0</v>
      </c>
      <c r="R92" t="s">
        <v>47</v>
      </c>
      <c r="S92">
        <v>0</v>
      </c>
      <c r="T92" t="s">
        <v>47</v>
      </c>
    </row>
    <row r="93" spans="1:20" x14ac:dyDescent="0.35">
      <c r="A93" s="1" t="s">
        <v>308</v>
      </c>
      <c r="B93" t="s">
        <v>14</v>
      </c>
      <c r="C93">
        <v>3</v>
      </c>
      <c r="D93" t="s">
        <v>220</v>
      </c>
      <c r="E93">
        <v>0</v>
      </c>
      <c r="F93" t="s">
        <v>47</v>
      </c>
      <c r="G93">
        <v>0</v>
      </c>
      <c r="H93" t="s">
        <v>47</v>
      </c>
      <c r="I93">
        <v>1</v>
      </c>
      <c r="J93" t="s">
        <v>55</v>
      </c>
      <c r="K93">
        <v>0</v>
      </c>
      <c r="L93" t="s">
        <v>47</v>
      </c>
      <c r="M93">
        <v>0</v>
      </c>
      <c r="N93" t="s">
        <v>47</v>
      </c>
      <c r="O93">
        <v>0</v>
      </c>
      <c r="P93" t="s">
        <v>47</v>
      </c>
      <c r="Q93">
        <v>0</v>
      </c>
      <c r="R93" t="s">
        <v>47</v>
      </c>
      <c r="S93">
        <v>0</v>
      </c>
      <c r="T93" t="s">
        <v>47</v>
      </c>
    </row>
    <row r="94" spans="1:20" x14ac:dyDescent="0.35">
      <c r="A94" s="1" t="s">
        <v>309</v>
      </c>
      <c r="B94" t="s">
        <v>14</v>
      </c>
      <c r="C94">
        <v>1</v>
      </c>
      <c r="D94" t="s">
        <v>221</v>
      </c>
      <c r="E94">
        <v>0</v>
      </c>
      <c r="F94" t="s">
        <v>47</v>
      </c>
      <c r="G94">
        <v>1</v>
      </c>
      <c r="H94" t="s">
        <v>48</v>
      </c>
      <c r="I94">
        <v>1</v>
      </c>
      <c r="J94" t="s">
        <v>48</v>
      </c>
      <c r="K94">
        <v>0</v>
      </c>
      <c r="L94" t="s">
        <v>47</v>
      </c>
      <c r="M94">
        <v>0</v>
      </c>
      <c r="N94" t="s">
        <v>47</v>
      </c>
      <c r="O94">
        <v>1</v>
      </c>
      <c r="P94" t="s">
        <v>48</v>
      </c>
      <c r="Q94">
        <v>0</v>
      </c>
      <c r="R94" t="s">
        <v>47</v>
      </c>
      <c r="S94">
        <v>0</v>
      </c>
      <c r="T94" t="s">
        <v>47</v>
      </c>
    </row>
    <row r="95" spans="1:20" x14ac:dyDescent="0.35">
      <c r="A95" s="1" t="s">
        <v>310</v>
      </c>
      <c r="B95" t="s">
        <v>14</v>
      </c>
      <c r="C95">
        <v>1</v>
      </c>
      <c r="D95" t="s">
        <v>222</v>
      </c>
      <c r="E95">
        <v>0</v>
      </c>
      <c r="F95" t="s">
        <v>47</v>
      </c>
      <c r="G95">
        <v>0</v>
      </c>
      <c r="H95" t="s">
        <v>47</v>
      </c>
      <c r="I95">
        <v>1</v>
      </c>
      <c r="J95" t="s">
        <v>48</v>
      </c>
      <c r="K95">
        <v>0</v>
      </c>
      <c r="L95" t="s">
        <v>47</v>
      </c>
      <c r="M95">
        <v>0</v>
      </c>
      <c r="N95" t="s">
        <v>47</v>
      </c>
      <c r="O95">
        <v>0</v>
      </c>
      <c r="P95" t="s">
        <v>47</v>
      </c>
      <c r="Q95">
        <v>0</v>
      </c>
      <c r="R95" t="s">
        <v>47</v>
      </c>
      <c r="S95">
        <v>0</v>
      </c>
      <c r="T95" t="s">
        <v>47</v>
      </c>
    </row>
    <row r="96" spans="1:20" x14ac:dyDescent="0.35">
      <c r="A96" s="1" t="s">
        <v>311</v>
      </c>
      <c r="B96" t="s">
        <v>14</v>
      </c>
      <c r="C96">
        <v>1</v>
      </c>
      <c r="D96" t="s">
        <v>223</v>
      </c>
      <c r="E96">
        <v>0</v>
      </c>
      <c r="F96" t="s">
        <v>47</v>
      </c>
      <c r="G96">
        <v>0</v>
      </c>
      <c r="H96" t="s">
        <v>47</v>
      </c>
      <c r="I96">
        <v>1</v>
      </c>
      <c r="J96" t="s">
        <v>48</v>
      </c>
      <c r="K96">
        <v>0</v>
      </c>
      <c r="L96" t="s">
        <v>47</v>
      </c>
      <c r="M96">
        <v>0</v>
      </c>
      <c r="N96" t="s">
        <v>47</v>
      </c>
      <c r="O96">
        <v>0</v>
      </c>
      <c r="P96" t="s">
        <v>47</v>
      </c>
      <c r="Q96">
        <v>0</v>
      </c>
      <c r="R96" t="s">
        <v>47</v>
      </c>
      <c r="S96">
        <v>0</v>
      </c>
      <c r="T96" t="s">
        <v>47</v>
      </c>
    </row>
    <row r="97" spans="1:20" x14ac:dyDescent="0.35">
      <c r="A97" s="1" t="s">
        <v>312</v>
      </c>
      <c r="B97" t="s">
        <v>14</v>
      </c>
      <c r="C97">
        <v>2</v>
      </c>
      <c r="D97" t="s">
        <v>224</v>
      </c>
      <c r="E97">
        <v>0</v>
      </c>
      <c r="F97" t="s">
        <v>47</v>
      </c>
      <c r="G97">
        <v>0</v>
      </c>
      <c r="H97" t="s">
        <v>47</v>
      </c>
      <c r="I97">
        <v>1</v>
      </c>
      <c r="J97" t="s">
        <v>48</v>
      </c>
      <c r="K97">
        <v>0</v>
      </c>
      <c r="L97" t="s">
        <v>47</v>
      </c>
      <c r="M97">
        <v>0</v>
      </c>
      <c r="N97" t="s">
        <v>47</v>
      </c>
      <c r="O97">
        <v>0</v>
      </c>
      <c r="P97" t="s">
        <v>47</v>
      </c>
      <c r="Q97">
        <v>0</v>
      </c>
      <c r="R97" t="s">
        <v>47</v>
      </c>
      <c r="S97">
        <v>0</v>
      </c>
      <c r="T97" t="s">
        <v>47</v>
      </c>
    </row>
    <row r="98" spans="1:20" x14ac:dyDescent="0.35">
      <c r="A98" s="1" t="s">
        <v>313</v>
      </c>
      <c r="B98" t="s">
        <v>14</v>
      </c>
      <c r="C98">
        <v>1</v>
      </c>
      <c r="D98" t="s">
        <v>225</v>
      </c>
      <c r="E98">
        <v>0</v>
      </c>
      <c r="F98" t="s">
        <v>47</v>
      </c>
      <c r="G98">
        <v>0</v>
      </c>
      <c r="H98" t="s">
        <v>47</v>
      </c>
      <c r="I98">
        <v>1</v>
      </c>
      <c r="J98" t="s">
        <v>48</v>
      </c>
      <c r="K98">
        <v>0</v>
      </c>
      <c r="L98" t="s">
        <v>47</v>
      </c>
      <c r="M98">
        <v>0</v>
      </c>
      <c r="N98" t="s">
        <v>47</v>
      </c>
      <c r="O98">
        <v>1</v>
      </c>
      <c r="P98" t="s">
        <v>48</v>
      </c>
      <c r="Q98">
        <v>0</v>
      </c>
      <c r="R98" t="s">
        <v>47</v>
      </c>
      <c r="S98">
        <v>0</v>
      </c>
      <c r="T98" t="s">
        <v>47</v>
      </c>
    </row>
    <row r="99" spans="1:20" x14ac:dyDescent="0.35">
      <c r="A99" s="1" t="s">
        <v>314</v>
      </c>
      <c r="B99" t="s">
        <v>12</v>
      </c>
      <c r="C99">
        <v>5</v>
      </c>
      <c r="D99" t="s">
        <v>226</v>
      </c>
      <c r="E99">
        <v>0</v>
      </c>
      <c r="F99" t="s">
        <v>47</v>
      </c>
      <c r="G99">
        <v>0</v>
      </c>
      <c r="H99" t="s">
        <v>47</v>
      </c>
      <c r="I99">
        <v>1</v>
      </c>
      <c r="J99" t="s">
        <v>45</v>
      </c>
      <c r="K99">
        <v>0</v>
      </c>
      <c r="L99" t="s">
        <v>47</v>
      </c>
      <c r="M99">
        <v>0</v>
      </c>
      <c r="N99" t="s">
        <v>47</v>
      </c>
      <c r="O99">
        <v>0</v>
      </c>
      <c r="P99" t="s">
        <v>47</v>
      </c>
      <c r="Q99">
        <v>0</v>
      </c>
      <c r="R99" t="s">
        <v>47</v>
      </c>
      <c r="S99">
        <v>0</v>
      </c>
      <c r="T99" t="s">
        <v>47</v>
      </c>
    </row>
    <row r="100" spans="1:20" x14ac:dyDescent="0.35">
      <c r="A100" s="1" t="s">
        <v>315</v>
      </c>
      <c r="B100" t="s">
        <v>12</v>
      </c>
      <c r="C100">
        <v>5</v>
      </c>
      <c r="D100" t="s">
        <v>227</v>
      </c>
      <c r="E100">
        <v>0</v>
      </c>
      <c r="F100" t="s">
        <v>47</v>
      </c>
      <c r="G100">
        <v>0</v>
      </c>
      <c r="H100" t="s">
        <v>47</v>
      </c>
      <c r="I100">
        <v>1</v>
      </c>
      <c r="J100" t="s">
        <v>45</v>
      </c>
      <c r="K100">
        <v>0</v>
      </c>
      <c r="L100" t="s">
        <v>47</v>
      </c>
      <c r="M100">
        <v>0</v>
      </c>
      <c r="N100" t="s">
        <v>47</v>
      </c>
      <c r="O100">
        <v>0</v>
      </c>
      <c r="P100" t="s">
        <v>47</v>
      </c>
      <c r="Q100">
        <v>0</v>
      </c>
      <c r="R100" t="s">
        <v>47</v>
      </c>
      <c r="S100">
        <v>0</v>
      </c>
      <c r="T100" t="s">
        <v>47</v>
      </c>
    </row>
    <row r="101" spans="1:20" x14ac:dyDescent="0.35">
      <c r="A101" s="1" t="s">
        <v>316</v>
      </c>
      <c r="B101" t="s">
        <v>12</v>
      </c>
      <c r="C101">
        <v>5</v>
      </c>
      <c r="D101" t="s">
        <v>228</v>
      </c>
      <c r="E101">
        <v>0</v>
      </c>
      <c r="F101" t="s">
        <v>47</v>
      </c>
      <c r="G101">
        <v>0</v>
      </c>
      <c r="H101" t="s">
        <v>47</v>
      </c>
      <c r="I101">
        <v>1</v>
      </c>
      <c r="J101" t="s">
        <v>45</v>
      </c>
      <c r="K101">
        <v>0</v>
      </c>
      <c r="L101" t="s">
        <v>47</v>
      </c>
      <c r="M101">
        <v>0</v>
      </c>
      <c r="N101" t="s">
        <v>47</v>
      </c>
      <c r="O101">
        <v>0</v>
      </c>
      <c r="P101" t="s">
        <v>47</v>
      </c>
      <c r="Q101">
        <v>0</v>
      </c>
      <c r="R101" t="s">
        <v>47</v>
      </c>
      <c r="S101">
        <v>0</v>
      </c>
      <c r="T101" t="s">
        <v>47</v>
      </c>
    </row>
    <row r="102" spans="1:20" x14ac:dyDescent="0.35">
      <c r="A102" s="1" t="s">
        <v>317</v>
      </c>
      <c r="B102" t="s">
        <v>12</v>
      </c>
      <c r="C102">
        <v>4</v>
      </c>
      <c r="D102" t="s">
        <v>229</v>
      </c>
      <c r="E102">
        <v>0</v>
      </c>
      <c r="F102" t="s">
        <v>47</v>
      </c>
      <c r="G102">
        <v>0</v>
      </c>
      <c r="H102" t="s">
        <v>47</v>
      </c>
      <c r="I102">
        <v>1</v>
      </c>
      <c r="J102" t="s">
        <v>45</v>
      </c>
      <c r="K102">
        <v>0</v>
      </c>
      <c r="L102" t="s">
        <v>47</v>
      </c>
      <c r="M102">
        <v>0</v>
      </c>
      <c r="N102" t="s">
        <v>47</v>
      </c>
      <c r="O102">
        <v>0</v>
      </c>
      <c r="P102" t="s">
        <v>47</v>
      </c>
      <c r="Q102">
        <v>0</v>
      </c>
      <c r="R102" t="s">
        <v>47</v>
      </c>
      <c r="S102">
        <v>0</v>
      </c>
      <c r="T102" t="s">
        <v>47</v>
      </c>
    </row>
    <row r="103" spans="1:20" x14ac:dyDescent="0.35">
      <c r="A103" s="1" t="s">
        <v>318</v>
      </c>
      <c r="B103" t="s">
        <v>12</v>
      </c>
      <c r="C103">
        <v>5</v>
      </c>
      <c r="D103" t="s">
        <v>230</v>
      </c>
      <c r="E103">
        <v>0</v>
      </c>
      <c r="F103" t="s">
        <v>47</v>
      </c>
      <c r="G103">
        <v>0</v>
      </c>
      <c r="H103" t="s">
        <v>47</v>
      </c>
      <c r="I103">
        <v>1</v>
      </c>
      <c r="J103" t="s">
        <v>45</v>
      </c>
      <c r="K103">
        <v>0</v>
      </c>
      <c r="L103" t="s">
        <v>47</v>
      </c>
      <c r="M103">
        <v>0</v>
      </c>
      <c r="N103" t="s">
        <v>47</v>
      </c>
      <c r="O103">
        <v>0</v>
      </c>
      <c r="P103" t="s">
        <v>47</v>
      </c>
      <c r="Q103">
        <v>0</v>
      </c>
      <c r="R103" t="s">
        <v>47</v>
      </c>
      <c r="S103">
        <v>0</v>
      </c>
      <c r="T103" t="s">
        <v>47</v>
      </c>
    </row>
    <row r="104" spans="1:20" x14ac:dyDescent="0.35">
      <c r="A104" s="1" t="s">
        <v>319</v>
      </c>
      <c r="B104" t="s">
        <v>12</v>
      </c>
      <c r="C104">
        <v>3</v>
      </c>
      <c r="D104" t="s">
        <v>231</v>
      </c>
      <c r="E104">
        <v>0</v>
      </c>
      <c r="F104" t="s">
        <v>47</v>
      </c>
      <c r="G104">
        <v>0</v>
      </c>
      <c r="H104" t="s">
        <v>47</v>
      </c>
      <c r="I104">
        <v>1</v>
      </c>
      <c r="J104" t="s">
        <v>55</v>
      </c>
      <c r="K104">
        <v>0</v>
      </c>
      <c r="L104" t="s">
        <v>47</v>
      </c>
      <c r="M104">
        <v>0</v>
      </c>
      <c r="N104" t="s">
        <v>47</v>
      </c>
      <c r="O104">
        <v>0</v>
      </c>
      <c r="P104" t="s">
        <v>47</v>
      </c>
      <c r="Q104">
        <v>0</v>
      </c>
      <c r="R104" t="s">
        <v>47</v>
      </c>
      <c r="S104">
        <v>0</v>
      </c>
      <c r="T104" t="s">
        <v>47</v>
      </c>
    </row>
    <row r="105" spans="1:20" x14ac:dyDescent="0.35">
      <c r="A105" s="1" t="s">
        <v>320</v>
      </c>
      <c r="B105" t="s">
        <v>12</v>
      </c>
      <c r="C105">
        <v>4</v>
      </c>
      <c r="D105" t="s">
        <v>232</v>
      </c>
      <c r="E105">
        <v>0</v>
      </c>
      <c r="F105" t="s">
        <v>47</v>
      </c>
      <c r="G105">
        <v>0</v>
      </c>
      <c r="H105" t="s">
        <v>47</v>
      </c>
      <c r="I105">
        <v>1</v>
      </c>
      <c r="J105" t="s">
        <v>55</v>
      </c>
      <c r="K105">
        <v>0</v>
      </c>
      <c r="L105" t="s">
        <v>47</v>
      </c>
      <c r="M105">
        <v>0</v>
      </c>
      <c r="N105" t="s">
        <v>47</v>
      </c>
      <c r="O105">
        <v>0</v>
      </c>
      <c r="P105" t="s">
        <v>47</v>
      </c>
      <c r="Q105">
        <v>0</v>
      </c>
      <c r="R105" t="s">
        <v>47</v>
      </c>
      <c r="S105">
        <v>0</v>
      </c>
      <c r="T105" t="s">
        <v>47</v>
      </c>
    </row>
    <row r="106" spans="1:20" x14ac:dyDescent="0.35">
      <c r="A106" s="1" t="s">
        <v>321</v>
      </c>
      <c r="B106" t="s">
        <v>12</v>
      </c>
      <c r="C106">
        <v>3</v>
      </c>
      <c r="D106" t="s">
        <v>233</v>
      </c>
      <c r="E106">
        <v>0</v>
      </c>
      <c r="F106" t="s">
        <v>47</v>
      </c>
      <c r="G106">
        <v>0</v>
      </c>
      <c r="H106" t="s">
        <v>47</v>
      </c>
      <c r="I106">
        <v>1</v>
      </c>
      <c r="J106" t="s">
        <v>55</v>
      </c>
      <c r="K106">
        <v>0</v>
      </c>
      <c r="L106" t="s">
        <v>47</v>
      </c>
      <c r="M106">
        <v>0</v>
      </c>
      <c r="N106" t="s">
        <v>47</v>
      </c>
      <c r="O106">
        <v>0</v>
      </c>
      <c r="P106" t="s">
        <v>47</v>
      </c>
      <c r="Q106">
        <v>0</v>
      </c>
      <c r="R106" t="s">
        <v>47</v>
      </c>
      <c r="S106">
        <v>0</v>
      </c>
      <c r="T106" t="s">
        <v>47</v>
      </c>
    </row>
    <row r="107" spans="1:20" x14ac:dyDescent="0.35">
      <c r="A107" s="1" t="s">
        <v>322</v>
      </c>
      <c r="B107" t="s">
        <v>12</v>
      </c>
      <c r="C107">
        <v>3</v>
      </c>
      <c r="D107" t="s">
        <v>234</v>
      </c>
      <c r="E107">
        <v>0</v>
      </c>
      <c r="F107" t="s">
        <v>47</v>
      </c>
      <c r="G107">
        <v>0</v>
      </c>
      <c r="H107" t="s">
        <v>47</v>
      </c>
      <c r="I107">
        <v>1</v>
      </c>
      <c r="J107" t="s">
        <v>55</v>
      </c>
      <c r="K107">
        <v>0</v>
      </c>
      <c r="L107" t="s">
        <v>47</v>
      </c>
      <c r="M107">
        <v>0</v>
      </c>
      <c r="N107" t="s">
        <v>47</v>
      </c>
      <c r="O107">
        <v>0</v>
      </c>
      <c r="P107" t="s">
        <v>47</v>
      </c>
      <c r="Q107">
        <v>0</v>
      </c>
      <c r="R107" t="s">
        <v>47</v>
      </c>
      <c r="S107">
        <v>0</v>
      </c>
      <c r="T107" t="s">
        <v>47</v>
      </c>
    </row>
    <row r="108" spans="1:20" x14ac:dyDescent="0.35">
      <c r="A108" s="1" t="s">
        <v>323</v>
      </c>
      <c r="B108" t="s">
        <v>12</v>
      </c>
      <c r="C108">
        <v>3</v>
      </c>
      <c r="D108" t="s">
        <v>235</v>
      </c>
      <c r="E108">
        <v>0</v>
      </c>
      <c r="F108" t="s">
        <v>47</v>
      </c>
      <c r="G108">
        <v>0</v>
      </c>
      <c r="H108" t="s">
        <v>47</v>
      </c>
      <c r="I108">
        <v>1</v>
      </c>
      <c r="J108" t="s">
        <v>55</v>
      </c>
      <c r="K108">
        <v>0</v>
      </c>
      <c r="L108" t="s">
        <v>47</v>
      </c>
      <c r="M108">
        <v>0</v>
      </c>
      <c r="N108" t="s">
        <v>47</v>
      </c>
      <c r="O108">
        <v>0</v>
      </c>
      <c r="P108" t="s">
        <v>47</v>
      </c>
      <c r="Q108">
        <v>0</v>
      </c>
      <c r="R108" t="s">
        <v>47</v>
      </c>
      <c r="S108">
        <v>0</v>
      </c>
      <c r="T108" t="s">
        <v>47</v>
      </c>
    </row>
    <row r="109" spans="1:20" x14ac:dyDescent="0.35">
      <c r="A109" s="1" t="s">
        <v>324</v>
      </c>
      <c r="B109" t="s">
        <v>12</v>
      </c>
      <c r="C109">
        <v>1</v>
      </c>
      <c r="D109" t="s">
        <v>236</v>
      </c>
      <c r="E109">
        <v>0</v>
      </c>
      <c r="F109" t="s">
        <v>47</v>
      </c>
      <c r="G109">
        <v>0</v>
      </c>
      <c r="H109" t="s">
        <v>47</v>
      </c>
      <c r="I109">
        <v>1</v>
      </c>
      <c r="J109" t="s">
        <v>48</v>
      </c>
      <c r="K109">
        <v>0</v>
      </c>
      <c r="L109" t="s">
        <v>47</v>
      </c>
      <c r="M109">
        <v>0</v>
      </c>
      <c r="N109" t="s">
        <v>47</v>
      </c>
      <c r="O109">
        <v>0</v>
      </c>
      <c r="P109" t="s">
        <v>47</v>
      </c>
      <c r="Q109">
        <v>0</v>
      </c>
      <c r="R109" t="s">
        <v>47</v>
      </c>
      <c r="S109">
        <v>0</v>
      </c>
      <c r="T109" t="s">
        <v>47</v>
      </c>
    </row>
    <row r="110" spans="1:20" x14ac:dyDescent="0.35">
      <c r="A110" s="1" t="s">
        <v>325</v>
      </c>
      <c r="B110" t="s">
        <v>12</v>
      </c>
      <c r="C110">
        <v>2</v>
      </c>
      <c r="D110" t="s">
        <v>237</v>
      </c>
      <c r="E110">
        <v>0</v>
      </c>
      <c r="F110" t="s">
        <v>47</v>
      </c>
      <c r="G110">
        <v>0</v>
      </c>
      <c r="H110" t="s">
        <v>47</v>
      </c>
      <c r="I110">
        <v>1</v>
      </c>
      <c r="J110" t="s">
        <v>48</v>
      </c>
      <c r="K110">
        <v>0</v>
      </c>
      <c r="L110" t="s">
        <v>47</v>
      </c>
      <c r="M110">
        <v>0</v>
      </c>
      <c r="N110" t="s">
        <v>47</v>
      </c>
      <c r="O110">
        <v>0</v>
      </c>
      <c r="P110" t="s">
        <v>47</v>
      </c>
      <c r="Q110">
        <v>0</v>
      </c>
      <c r="R110" t="s">
        <v>47</v>
      </c>
      <c r="S110">
        <v>0</v>
      </c>
      <c r="T110" t="s">
        <v>47</v>
      </c>
    </row>
    <row r="111" spans="1:20" x14ac:dyDescent="0.35">
      <c r="A111" s="1" t="s">
        <v>326</v>
      </c>
      <c r="B111" t="s">
        <v>12</v>
      </c>
      <c r="C111">
        <v>1</v>
      </c>
      <c r="D111" t="s">
        <v>238</v>
      </c>
      <c r="E111">
        <v>0</v>
      </c>
      <c r="F111" t="s">
        <v>47</v>
      </c>
      <c r="G111">
        <v>0</v>
      </c>
      <c r="H111" t="s">
        <v>47</v>
      </c>
      <c r="I111">
        <v>1</v>
      </c>
      <c r="J111" t="s">
        <v>48</v>
      </c>
      <c r="K111">
        <v>0</v>
      </c>
      <c r="L111" t="s">
        <v>47</v>
      </c>
      <c r="M111">
        <v>0</v>
      </c>
      <c r="N111" t="s">
        <v>47</v>
      </c>
      <c r="O111">
        <v>0</v>
      </c>
      <c r="P111" t="s">
        <v>47</v>
      </c>
      <c r="Q111">
        <v>0</v>
      </c>
      <c r="R111" t="s">
        <v>47</v>
      </c>
      <c r="S111">
        <v>0</v>
      </c>
      <c r="T111" t="s">
        <v>47</v>
      </c>
    </row>
    <row r="112" spans="1:20" x14ac:dyDescent="0.35">
      <c r="A112" s="1" t="s">
        <v>327</v>
      </c>
      <c r="B112" t="s">
        <v>12</v>
      </c>
      <c r="C112">
        <v>2</v>
      </c>
      <c r="D112" t="s">
        <v>239</v>
      </c>
      <c r="E112">
        <v>0</v>
      </c>
      <c r="F112" t="s">
        <v>47</v>
      </c>
      <c r="G112">
        <v>0</v>
      </c>
      <c r="H112" t="s">
        <v>47</v>
      </c>
      <c r="I112">
        <v>1</v>
      </c>
      <c r="J112" t="s">
        <v>48</v>
      </c>
      <c r="K112">
        <v>0</v>
      </c>
      <c r="L112" t="s">
        <v>47</v>
      </c>
      <c r="M112">
        <v>0</v>
      </c>
      <c r="N112" t="s">
        <v>47</v>
      </c>
      <c r="O112">
        <v>1</v>
      </c>
      <c r="P112" t="s">
        <v>48</v>
      </c>
      <c r="Q112">
        <v>0</v>
      </c>
      <c r="R112" t="s">
        <v>47</v>
      </c>
      <c r="S112">
        <v>0</v>
      </c>
      <c r="T112" t="s">
        <v>47</v>
      </c>
    </row>
    <row r="113" spans="1:20" x14ac:dyDescent="0.35">
      <c r="A113" s="1" t="s">
        <v>328</v>
      </c>
      <c r="B113" t="s">
        <v>12</v>
      </c>
      <c r="C113">
        <v>1</v>
      </c>
      <c r="D113" t="s">
        <v>240</v>
      </c>
      <c r="E113">
        <v>0</v>
      </c>
      <c r="F113" t="s">
        <v>47</v>
      </c>
      <c r="G113">
        <v>0</v>
      </c>
      <c r="H113" t="s">
        <v>47</v>
      </c>
      <c r="I113">
        <v>1</v>
      </c>
      <c r="J113" t="s">
        <v>48</v>
      </c>
      <c r="K113">
        <v>0</v>
      </c>
      <c r="L113" t="s">
        <v>47</v>
      </c>
      <c r="M113">
        <v>0</v>
      </c>
      <c r="N113" t="s">
        <v>47</v>
      </c>
      <c r="O113">
        <v>0</v>
      </c>
      <c r="P113" t="s">
        <v>47</v>
      </c>
      <c r="Q113">
        <v>0</v>
      </c>
      <c r="R113" t="s">
        <v>47</v>
      </c>
      <c r="S113">
        <v>0</v>
      </c>
      <c r="T113" t="s">
        <v>47</v>
      </c>
    </row>
    <row r="114" spans="1:20" x14ac:dyDescent="0.35">
      <c r="A114" s="1" t="s">
        <v>329</v>
      </c>
      <c r="B114" t="s">
        <v>16</v>
      </c>
      <c r="C114">
        <v>1</v>
      </c>
      <c r="D114" t="s">
        <v>241</v>
      </c>
      <c r="E114">
        <v>0</v>
      </c>
      <c r="F114" t="s">
        <v>47</v>
      </c>
      <c r="G114">
        <v>0</v>
      </c>
      <c r="H114" t="s">
        <v>47</v>
      </c>
      <c r="I114">
        <v>1</v>
      </c>
      <c r="J114" t="s">
        <v>48</v>
      </c>
      <c r="K114">
        <v>0</v>
      </c>
      <c r="L114" t="s">
        <v>47</v>
      </c>
      <c r="M114">
        <v>0</v>
      </c>
      <c r="N114" t="s">
        <v>47</v>
      </c>
      <c r="O114">
        <v>0</v>
      </c>
      <c r="P114" t="s">
        <v>47</v>
      </c>
      <c r="Q114">
        <v>0</v>
      </c>
      <c r="R114" t="s">
        <v>47</v>
      </c>
      <c r="S114">
        <v>0</v>
      </c>
      <c r="T114" t="s">
        <v>47</v>
      </c>
    </row>
    <row r="115" spans="1:20" x14ac:dyDescent="0.35">
      <c r="A115" s="1" t="s">
        <v>330</v>
      </c>
      <c r="B115" t="s">
        <v>16</v>
      </c>
      <c r="C115">
        <v>2</v>
      </c>
      <c r="D115" t="s">
        <v>242</v>
      </c>
      <c r="E115">
        <v>0</v>
      </c>
      <c r="F115" t="s">
        <v>47</v>
      </c>
      <c r="G115">
        <v>0</v>
      </c>
      <c r="H115" t="s">
        <v>47</v>
      </c>
      <c r="I115">
        <v>1</v>
      </c>
      <c r="J115" t="s">
        <v>48</v>
      </c>
      <c r="K115">
        <v>0</v>
      </c>
      <c r="L115" t="s">
        <v>47</v>
      </c>
      <c r="M115">
        <v>0</v>
      </c>
      <c r="N115" t="s">
        <v>47</v>
      </c>
      <c r="O115">
        <v>0</v>
      </c>
      <c r="P115" t="s">
        <v>47</v>
      </c>
      <c r="Q115">
        <v>0</v>
      </c>
      <c r="R115" t="s">
        <v>47</v>
      </c>
      <c r="S115">
        <v>0</v>
      </c>
      <c r="T115" t="s">
        <v>47</v>
      </c>
    </row>
    <row r="116" spans="1:20" x14ac:dyDescent="0.35">
      <c r="A116" s="1" t="s">
        <v>331</v>
      </c>
      <c r="B116" t="s">
        <v>16</v>
      </c>
      <c r="C116">
        <v>1</v>
      </c>
      <c r="D116" t="s">
        <v>243</v>
      </c>
      <c r="E116">
        <v>0</v>
      </c>
      <c r="F116" t="s">
        <v>47</v>
      </c>
      <c r="G116">
        <v>0</v>
      </c>
      <c r="H116" t="s">
        <v>47</v>
      </c>
      <c r="I116">
        <v>1</v>
      </c>
      <c r="J116" t="s">
        <v>48</v>
      </c>
      <c r="K116">
        <v>0</v>
      </c>
      <c r="L116" t="s">
        <v>47</v>
      </c>
      <c r="M116">
        <v>0</v>
      </c>
      <c r="N116" t="s">
        <v>47</v>
      </c>
      <c r="O116">
        <v>0</v>
      </c>
      <c r="P116" t="s">
        <v>47</v>
      </c>
      <c r="Q116">
        <v>0</v>
      </c>
      <c r="R116" t="s">
        <v>47</v>
      </c>
      <c r="S116">
        <v>0</v>
      </c>
      <c r="T116" t="s">
        <v>47</v>
      </c>
    </row>
    <row r="117" spans="1:20" x14ac:dyDescent="0.35">
      <c r="A117" s="1" t="s">
        <v>332</v>
      </c>
      <c r="B117" t="s">
        <v>16</v>
      </c>
      <c r="C117">
        <v>2</v>
      </c>
      <c r="D117" t="s">
        <v>244</v>
      </c>
      <c r="E117">
        <v>0</v>
      </c>
      <c r="F117" t="s">
        <v>47</v>
      </c>
      <c r="G117">
        <v>0</v>
      </c>
      <c r="H117" t="s">
        <v>47</v>
      </c>
      <c r="I117">
        <v>1</v>
      </c>
      <c r="J117" t="s">
        <v>48</v>
      </c>
      <c r="K117">
        <v>0</v>
      </c>
      <c r="L117" t="s">
        <v>47</v>
      </c>
      <c r="M117">
        <v>0</v>
      </c>
      <c r="N117" t="s">
        <v>47</v>
      </c>
      <c r="O117">
        <v>0</v>
      </c>
      <c r="P117" t="s">
        <v>47</v>
      </c>
      <c r="Q117">
        <v>0</v>
      </c>
      <c r="R117" t="s">
        <v>47</v>
      </c>
      <c r="S117">
        <v>0</v>
      </c>
      <c r="T117" t="s">
        <v>47</v>
      </c>
    </row>
    <row r="118" spans="1:20" x14ac:dyDescent="0.35">
      <c r="A118" s="1" t="s">
        <v>333</v>
      </c>
      <c r="B118" t="s">
        <v>16</v>
      </c>
      <c r="C118">
        <v>1</v>
      </c>
      <c r="D118" t="s">
        <v>245</v>
      </c>
      <c r="E118">
        <v>0</v>
      </c>
      <c r="F118" t="s">
        <v>47</v>
      </c>
      <c r="G118">
        <v>0</v>
      </c>
      <c r="H118" t="s">
        <v>47</v>
      </c>
      <c r="I118">
        <v>1</v>
      </c>
      <c r="J118" t="s">
        <v>48</v>
      </c>
      <c r="K118">
        <v>0</v>
      </c>
      <c r="L118" t="s">
        <v>47</v>
      </c>
      <c r="M118">
        <v>0</v>
      </c>
      <c r="N118" t="s">
        <v>47</v>
      </c>
      <c r="O118">
        <v>0</v>
      </c>
      <c r="P118" t="s">
        <v>47</v>
      </c>
      <c r="Q118">
        <v>0</v>
      </c>
      <c r="R118" t="s">
        <v>47</v>
      </c>
      <c r="S118">
        <v>0</v>
      </c>
      <c r="T118" t="s">
        <v>47</v>
      </c>
    </row>
    <row r="119" spans="1:20" x14ac:dyDescent="0.35">
      <c r="A119" s="1" t="s">
        <v>262</v>
      </c>
      <c r="B119" t="s">
        <v>12</v>
      </c>
      <c r="C119">
        <v>1</v>
      </c>
      <c r="D119" t="s">
        <v>246</v>
      </c>
      <c r="E119">
        <v>1</v>
      </c>
      <c r="F119" t="s">
        <v>48</v>
      </c>
      <c r="G119">
        <v>0</v>
      </c>
      <c r="H119" t="s">
        <v>47</v>
      </c>
      <c r="I119">
        <v>0</v>
      </c>
      <c r="J119" t="s">
        <v>47</v>
      </c>
      <c r="K119">
        <v>0</v>
      </c>
      <c r="L119" t="s">
        <v>47</v>
      </c>
      <c r="M119">
        <v>0</v>
      </c>
      <c r="N119" t="s">
        <v>47</v>
      </c>
      <c r="O119">
        <v>0</v>
      </c>
      <c r="P119" t="s">
        <v>47</v>
      </c>
      <c r="Q119">
        <v>0</v>
      </c>
      <c r="R119" t="s">
        <v>47</v>
      </c>
      <c r="S119">
        <v>0</v>
      </c>
      <c r="T119" t="s">
        <v>47</v>
      </c>
    </row>
    <row r="120" spans="1:20" x14ac:dyDescent="0.35">
      <c r="A120" s="1" t="s">
        <v>334</v>
      </c>
      <c r="B120" t="s">
        <v>12</v>
      </c>
      <c r="C120">
        <v>2</v>
      </c>
      <c r="D120" t="s">
        <v>247</v>
      </c>
      <c r="E120">
        <v>0</v>
      </c>
      <c r="F120" t="s">
        <v>47</v>
      </c>
      <c r="G120">
        <v>0</v>
      </c>
      <c r="H120" t="s">
        <v>47</v>
      </c>
      <c r="I120">
        <v>0</v>
      </c>
      <c r="J120" t="s">
        <v>47</v>
      </c>
      <c r="K120">
        <v>0</v>
      </c>
      <c r="L120" t="s">
        <v>47</v>
      </c>
      <c r="M120">
        <v>0</v>
      </c>
      <c r="N120" t="s">
        <v>47</v>
      </c>
      <c r="O120">
        <v>1</v>
      </c>
      <c r="P120" t="s">
        <v>48</v>
      </c>
      <c r="Q120">
        <v>0</v>
      </c>
      <c r="R120" t="s">
        <v>47</v>
      </c>
      <c r="S120">
        <v>0</v>
      </c>
      <c r="T120" t="s">
        <v>47</v>
      </c>
    </row>
    <row r="121" spans="1:20" x14ac:dyDescent="0.35">
      <c r="A121" s="1" t="s">
        <v>335</v>
      </c>
      <c r="B121" t="s">
        <v>12</v>
      </c>
      <c r="C121">
        <v>1</v>
      </c>
      <c r="D121" t="s">
        <v>248</v>
      </c>
      <c r="E121">
        <v>0</v>
      </c>
      <c r="F121" t="s">
        <v>47</v>
      </c>
      <c r="G121">
        <v>1</v>
      </c>
      <c r="H121" t="s">
        <v>48</v>
      </c>
      <c r="I121">
        <v>0</v>
      </c>
      <c r="J121" t="s">
        <v>47</v>
      </c>
      <c r="K121">
        <v>0</v>
      </c>
      <c r="L121" t="s">
        <v>47</v>
      </c>
      <c r="M121">
        <v>0</v>
      </c>
      <c r="N121" t="s">
        <v>47</v>
      </c>
      <c r="O121">
        <v>1</v>
      </c>
      <c r="P121" t="s">
        <v>48</v>
      </c>
      <c r="Q121">
        <v>0</v>
      </c>
      <c r="R121" t="s">
        <v>47</v>
      </c>
      <c r="S121">
        <v>0</v>
      </c>
      <c r="T121" t="s">
        <v>47</v>
      </c>
    </row>
    <row r="122" spans="1:20" x14ac:dyDescent="0.35">
      <c r="A122" s="1" t="s">
        <v>336</v>
      </c>
      <c r="B122" t="s">
        <v>12</v>
      </c>
      <c r="C122">
        <v>1</v>
      </c>
      <c r="D122" t="s">
        <v>249</v>
      </c>
      <c r="E122">
        <v>0</v>
      </c>
      <c r="F122" t="s">
        <v>47</v>
      </c>
      <c r="G122">
        <v>1</v>
      </c>
      <c r="H122" t="s">
        <v>48</v>
      </c>
      <c r="I122">
        <v>0</v>
      </c>
      <c r="J122" t="s">
        <v>47</v>
      </c>
      <c r="K122">
        <v>0</v>
      </c>
      <c r="L122" t="s">
        <v>47</v>
      </c>
      <c r="M122">
        <v>0</v>
      </c>
      <c r="N122" t="s">
        <v>47</v>
      </c>
      <c r="O122">
        <v>1</v>
      </c>
      <c r="P122" t="s">
        <v>48</v>
      </c>
      <c r="Q122">
        <v>0</v>
      </c>
      <c r="R122" t="s">
        <v>47</v>
      </c>
      <c r="S122">
        <v>0</v>
      </c>
      <c r="T122" t="s">
        <v>47</v>
      </c>
    </row>
    <row r="123" spans="1:20" x14ac:dyDescent="0.35">
      <c r="A123" s="1" t="s">
        <v>263</v>
      </c>
      <c r="B123" t="s">
        <v>12</v>
      </c>
      <c r="C123">
        <v>2</v>
      </c>
      <c r="D123" t="s">
        <v>250</v>
      </c>
      <c r="E123">
        <v>1</v>
      </c>
      <c r="F123" t="s">
        <v>45</v>
      </c>
      <c r="G123">
        <v>0</v>
      </c>
      <c r="H123" t="s">
        <v>47</v>
      </c>
      <c r="I123">
        <v>0</v>
      </c>
      <c r="J123" t="s">
        <v>47</v>
      </c>
      <c r="K123">
        <v>0</v>
      </c>
      <c r="L123" t="s">
        <v>47</v>
      </c>
      <c r="M123">
        <v>0</v>
      </c>
      <c r="N123" t="s">
        <v>47</v>
      </c>
      <c r="O123">
        <v>1</v>
      </c>
      <c r="P123" t="s">
        <v>45</v>
      </c>
      <c r="Q123">
        <v>1</v>
      </c>
      <c r="R123" t="s">
        <v>48</v>
      </c>
      <c r="S123">
        <v>0</v>
      </c>
      <c r="T123" t="s">
        <v>47</v>
      </c>
    </row>
    <row r="124" spans="1:20" x14ac:dyDescent="0.35">
      <c r="A124" s="1" t="s">
        <v>337</v>
      </c>
      <c r="B124" t="s">
        <v>12</v>
      </c>
      <c r="C124">
        <v>1</v>
      </c>
      <c r="D124" t="s">
        <v>251</v>
      </c>
      <c r="E124">
        <v>0</v>
      </c>
      <c r="F124" t="s">
        <v>47</v>
      </c>
      <c r="G124">
        <v>1</v>
      </c>
      <c r="H124" t="s">
        <v>48</v>
      </c>
      <c r="I124">
        <v>0</v>
      </c>
      <c r="J124" t="s">
        <v>47</v>
      </c>
      <c r="K124">
        <v>0</v>
      </c>
      <c r="L124" t="s">
        <v>47</v>
      </c>
      <c r="M124">
        <v>0</v>
      </c>
      <c r="N124" t="s">
        <v>47</v>
      </c>
      <c r="O124">
        <v>1</v>
      </c>
      <c r="P124" t="s">
        <v>48</v>
      </c>
      <c r="Q124">
        <v>0</v>
      </c>
      <c r="R124" t="s">
        <v>47</v>
      </c>
      <c r="S124">
        <v>0</v>
      </c>
      <c r="T124" t="s">
        <v>47</v>
      </c>
    </row>
    <row r="125" spans="1:20" x14ac:dyDescent="0.35">
      <c r="A125" s="1" t="s">
        <v>264</v>
      </c>
      <c r="B125" t="s">
        <v>14</v>
      </c>
      <c r="C125">
        <v>5</v>
      </c>
      <c r="D125" t="s">
        <v>252</v>
      </c>
      <c r="E125">
        <v>1</v>
      </c>
      <c r="F125" t="s">
        <v>45</v>
      </c>
      <c r="G125">
        <v>1</v>
      </c>
      <c r="H125" t="s">
        <v>45</v>
      </c>
      <c r="I125">
        <v>0</v>
      </c>
      <c r="J125" t="s">
        <v>47</v>
      </c>
      <c r="K125">
        <v>1</v>
      </c>
      <c r="L125" t="s">
        <v>45</v>
      </c>
      <c r="M125">
        <v>0</v>
      </c>
      <c r="N125" t="s">
        <v>47</v>
      </c>
      <c r="O125">
        <v>0</v>
      </c>
      <c r="P125" t="s">
        <v>47</v>
      </c>
      <c r="Q125">
        <v>1</v>
      </c>
      <c r="R125" t="s">
        <v>45</v>
      </c>
      <c r="S125">
        <v>0</v>
      </c>
      <c r="T125" t="s">
        <v>47</v>
      </c>
    </row>
    <row r="126" spans="1:20" x14ac:dyDescent="0.35">
      <c r="A126" s="1" t="s">
        <v>265</v>
      </c>
      <c r="B126" t="s">
        <v>16</v>
      </c>
      <c r="C126">
        <v>3</v>
      </c>
      <c r="D126" t="s">
        <v>253</v>
      </c>
      <c r="E126">
        <v>1</v>
      </c>
      <c r="F126" t="s">
        <v>45</v>
      </c>
      <c r="G126">
        <v>0</v>
      </c>
      <c r="H126" t="s">
        <v>47</v>
      </c>
      <c r="I126">
        <v>0</v>
      </c>
      <c r="J126" t="s">
        <v>47</v>
      </c>
      <c r="K126">
        <v>1</v>
      </c>
      <c r="L126" t="s">
        <v>48</v>
      </c>
      <c r="M126">
        <v>0</v>
      </c>
      <c r="N126" t="s">
        <v>47</v>
      </c>
      <c r="O126">
        <v>0</v>
      </c>
      <c r="P126" t="s">
        <v>47</v>
      </c>
      <c r="Q126">
        <v>0</v>
      </c>
      <c r="R126" t="s">
        <v>47</v>
      </c>
      <c r="S126">
        <v>0</v>
      </c>
      <c r="T126" t="s">
        <v>47</v>
      </c>
    </row>
    <row r="127" spans="1:20" x14ac:dyDescent="0.35">
      <c r="A127" s="1" t="s">
        <v>338</v>
      </c>
      <c r="B127" t="s">
        <v>14</v>
      </c>
      <c r="C127">
        <v>5</v>
      </c>
      <c r="D127" t="s">
        <v>254</v>
      </c>
      <c r="E127">
        <v>0</v>
      </c>
      <c r="F127" t="s">
        <v>47</v>
      </c>
      <c r="G127">
        <v>1</v>
      </c>
      <c r="H127" t="s">
        <v>45</v>
      </c>
      <c r="I127">
        <v>0</v>
      </c>
      <c r="J127" t="s">
        <v>47</v>
      </c>
      <c r="K127">
        <v>0</v>
      </c>
      <c r="L127" t="s">
        <v>47</v>
      </c>
      <c r="M127">
        <v>0</v>
      </c>
      <c r="N127" t="s">
        <v>47</v>
      </c>
      <c r="O127">
        <v>0</v>
      </c>
      <c r="P127" t="s">
        <v>47</v>
      </c>
      <c r="Q127">
        <v>1</v>
      </c>
      <c r="R127" t="s">
        <v>45</v>
      </c>
      <c r="S127">
        <v>0</v>
      </c>
      <c r="T127" t="s">
        <v>47</v>
      </c>
    </row>
    <row r="128" spans="1:20" x14ac:dyDescent="0.35">
      <c r="A128" s="1" t="s">
        <v>266</v>
      </c>
      <c r="B128" t="s">
        <v>16</v>
      </c>
      <c r="C128">
        <v>5</v>
      </c>
      <c r="D128" t="s">
        <v>255</v>
      </c>
      <c r="E128">
        <v>1</v>
      </c>
      <c r="F128" t="s">
        <v>45</v>
      </c>
      <c r="G128">
        <v>1</v>
      </c>
      <c r="H128" t="s">
        <v>45</v>
      </c>
      <c r="I128">
        <v>0</v>
      </c>
      <c r="J128" t="s">
        <v>47</v>
      </c>
      <c r="K128">
        <v>0</v>
      </c>
      <c r="L128" t="s">
        <v>47</v>
      </c>
      <c r="M128">
        <v>0</v>
      </c>
      <c r="N128" t="s">
        <v>47</v>
      </c>
      <c r="O128">
        <v>0</v>
      </c>
      <c r="P128" t="s">
        <v>47</v>
      </c>
      <c r="Q128">
        <v>1</v>
      </c>
      <c r="R128" t="s">
        <v>45</v>
      </c>
      <c r="S128">
        <v>0</v>
      </c>
      <c r="T128" t="s">
        <v>47</v>
      </c>
    </row>
    <row r="129" spans="1:20" x14ac:dyDescent="0.35">
      <c r="A129" s="1" t="s">
        <v>339</v>
      </c>
      <c r="B129" t="s">
        <v>16</v>
      </c>
      <c r="C129">
        <v>1</v>
      </c>
      <c r="D129" t="s">
        <v>256</v>
      </c>
      <c r="E129">
        <v>0</v>
      </c>
      <c r="F129" t="s">
        <v>47</v>
      </c>
      <c r="G129">
        <v>1</v>
      </c>
      <c r="H129" t="s">
        <v>48</v>
      </c>
      <c r="I129">
        <v>0</v>
      </c>
      <c r="J129" t="s">
        <v>47</v>
      </c>
      <c r="K129">
        <v>0</v>
      </c>
      <c r="L129" t="s">
        <v>47</v>
      </c>
      <c r="M129">
        <v>0</v>
      </c>
      <c r="N129" t="s">
        <v>47</v>
      </c>
      <c r="O129">
        <v>0</v>
      </c>
      <c r="P129" t="s">
        <v>47</v>
      </c>
      <c r="Q129">
        <v>0</v>
      </c>
      <c r="R129" t="s">
        <v>47</v>
      </c>
      <c r="S129">
        <v>0</v>
      </c>
      <c r="T129" t="s">
        <v>47</v>
      </c>
    </row>
    <row r="130" spans="1:20" x14ac:dyDescent="0.35">
      <c r="A130" s="1" t="s">
        <v>340</v>
      </c>
      <c r="B130" t="s">
        <v>12</v>
      </c>
      <c r="C130">
        <v>2</v>
      </c>
      <c r="D130" t="s">
        <v>257</v>
      </c>
      <c r="E130">
        <v>0</v>
      </c>
      <c r="F130" t="s">
        <v>47</v>
      </c>
      <c r="G130">
        <v>0</v>
      </c>
      <c r="H130" t="s">
        <v>47</v>
      </c>
      <c r="I130">
        <v>0</v>
      </c>
      <c r="J130" t="s">
        <v>47</v>
      </c>
      <c r="K130">
        <v>1</v>
      </c>
      <c r="L130" t="s">
        <v>48</v>
      </c>
      <c r="M130">
        <v>0</v>
      </c>
      <c r="N130" t="s">
        <v>47</v>
      </c>
      <c r="O130">
        <v>0</v>
      </c>
      <c r="P130" t="s">
        <v>47</v>
      </c>
      <c r="Q130">
        <v>1</v>
      </c>
      <c r="R130" t="s">
        <v>48</v>
      </c>
      <c r="S130">
        <v>0</v>
      </c>
      <c r="T130" t="s">
        <v>47</v>
      </c>
    </row>
    <row r="131" spans="1:20" x14ac:dyDescent="0.35">
      <c r="A131" s="1" t="s">
        <v>267</v>
      </c>
      <c r="B131" t="s">
        <v>16</v>
      </c>
      <c r="C131">
        <v>1</v>
      </c>
      <c r="D131" t="s">
        <v>268</v>
      </c>
      <c r="E131">
        <v>1</v>
      </c>
      <c r="F131" t="s">
        <v>48</v>
      </c>
      <c r="G131">
        <v>0</v>
      </c>
      <c r="H131" t="s">
        <v>47</v>
      </c>
      <c r="I131">
        <v>0</v>
      </c>
      <c r="J131" t="s">
        <v>47</v>
      </c>
      <c r="K131">
        <v>0</v>
      </c>
      <c r="L131" t="s">
        <v>47</v>
      </c>
      <c r="M131">
        <v>0</v>
      </c>
      <c r="N131" t="s">
        <v>47</v>
      </c>
      <c r="O131">
        <v>0</v>
      </c>
      <c r="P131" t="s">
        <v>47</v>
      </c>
      <c r="Q131">
        <v>0</v>
      </c>
      <c r="R131" t="s">
        <v>47</v>
      </c>
      <c r="S131">
        <v>0</v>
      </c>
      <c r="T131" t="s">
        <v>47</v>
      </c>
    </row>
    <row r="132" spans="1:20" x14ac:dyDescent="0.35">
      <c r="A132" s="1" t="s">
        <v>269</v>
      </c>
      <c r="B132" t="s">
        <v>14</v>
      </c>
      <c r="C132">
        <v>3</v>
      </c>
      <c r="D132" t="s">
        <v>270</v>
      </c>
      <c r="E132">
        <v>1</v>
      </c>
      <c r="F132" t="s">
        <v>45</v>
      </c>
      <c r="G132">
        <v>1</v>
      </c>
      <c r="H132" t="s">
        <v>48</v>
      </c>
      <c r="I132">
        <v>0</v>
      </c>
      <c r="J132" t="s">
        <v>47</v>
      </c>
      <c r="K132">
        <v>0</v>
      </c>
      <c r="L132" t="s">
        <v>47</v>
      </c>
      <c r="M132">
        <v>0</v>
      </c>
      <c r="N132" t="s">
        <v>47</v>
      </c>
      <c r="O132">
        <v>0</v>
      </c>
      <c r="P132" t="s">
        <v>47</v>
      </c>
      <c r="Q132">
        <v>0</v>
      </c>
      <c r="R132" t="s">
        <v>47</v>
      </c>
      <c r="S132">
        <v>0</v>
      </c>
      <c r="T132" t="s">
        <v>47</v>
      </c>
    </row>
    <row r="133" spans="1:20" x14ac:dyDescent="0.35">
      <c r="A133" s="1" t="s">
        <v>271</v>
      </c>
      <c r="B133" t="s">
        <v>12</v>
      </c>
      <c r="C133">
        <v>5</v>
      </c>
      <c r="D133" t="s">
        <v>272</v>
      </c>
      <c r="E133">
        <v>1</v>
      </c>
      <c r="F133" t="s">
        <v>45</v>
      </c>
      <c r="G133">
        <v>1</v>
      </c>
      <c r="H133" t="s">
        <v>45</v>
      </c>
      <c r="I133">
        <v>0</v>
      </c>
      <c r="J133" t="s">
        <v>47</v>
      </c>
      <c r="K133">
        <v>0</v>
      </c>
      <c r="L133" t="s">
        <v>47</v>
      </c>
      <c r="M133">
        <v>0</v>
      </c>
      <c r="N133" t="s">
        <v>47</v>
      </c>
      <c r="O133">
        <v>1</v>
      </c>
      <c r="P133" t="s">
        <v>45</v>
      </c>
      <c r="Q133">
        <v>0</v>
      </c>
      <c r="R133" t="s">
        <v>47</v>
      </c>
      <c r="S133">
        <v>0</v>
      </c>
      <c r="T133" t="s">
        <v>47</v>
      </c>
    </row>
    <row r="134" spans="1:20" x14ac:dyDescent="0.35">
      <c r="A134" s="1" t="s">
        <v>273</v>
      </c>
      <c r="B134" t="s">
        <v>12</v>
      </c>
      <c r="C134">
        <v>5</v>
      </c>
      <c r="D134" t="s">
        <v>274</v>
      </c>
      <c r="E134">
        <v>1</v>
      </c>
      <c r="F134" t="s">
        <v>45</v>
      </c>
      <c r="G134">
        <v>0</v>
      </c>
      <c r="H134" t="s">
        <v>47</v>
      </c>
      <c r="I134">
        <v>0</v>
      </c>
      <c r="J134" t="s">
        <v>47</v>
      </c>
      <c r="K134">
        <v>0</v>
      </c>
      <c r="L134" t="s">
        <v>47</v>
      </c>
      <c r="M134">
        <v>0</v>
      </c>
      <c r="N134" t="s">
        <v>47</v>
      </c>
      <c r="O134">
        <v>0</v>
      </c>
      <c r="P134" t="s">
        <v>47</v>
      </c>
      <c r="Q134">
        <v>0</v>
      </c>
      <c r="R134" t="s">
        <v>47</v>
      </c>
      <c r="S134">
        <v>0</v>
      </c>
      <c r="T134" t="s">
        <v>47</v>
      </c>
    </row>
    <row r="135" spans="1:20" x14ac:dyDescent="0.35">
      <c r="A135" s="1" t="s">
        <v>275</v>
      </c>
      <c r="B135" t="s">
        <v>12</v>
      </c>
      <c r="C135">
        <v>4</v>
      </c>
      <c r="D135" t="s">
        <v>276</v>
      </c>
      <c r="E135">
        <v>1</v>
      </c>
      <c r="F135" t="s">
        <v>45</v>
      </c>
      <c r="G135">
        <v>0</v>
      </c>
      <c r="H135" t="s">
        <v>47</v>
      </c>
      <c r="I135">
        <v>0</v>
      </c>
      <c r="J135" t="s">
        <v>47</v>
      </c>
      <c r="K135">
        <v>0</v>
      </c>
      <c r="L135" t="s">
        <v>47</v>
      </c>
      <c r="M135">
        <v>0</v>
      </c>
      <c r="N135" t="s">
        <v>47</v>
      </c>
      <c r="O135">
        <v>0</v>
      </c>
      <c r="P135" t="s">
        <v>47</v>
      </c>
      <c r="Q135">
        <v>0</v>
      </c>
      <c r="R135" t="s">
        <v>47</v>
      </c>
      <c r="S135">
        <v>0</v>
      </c>
      <c r="T135" t="s">
        <v>47</v>
      </c>
    </row>
    <row r="136" spans="1:20" x14ac:dyDescent="0.35">
      <c r="A136" s="1" t="s">
        <v>277</v>
      </c>
      <c r="B136" t="s">
        <v>12</v>
      </c>
      <c r="C136">
        <v>5</v>
      </c>
      <c r="D136" t="s">
        <v>278</v>
      </c>
      <c r="E136">
        <v>1</v>
      </c>
      <c r="F136" t="s">
        <v>45</v>
      </c>
      <c r="G136">
        <v>1</v>
      </c>
      <c r="H136" t="s">
        <v>45</v>
      </c>
      <c r="I136">
        <v>0</v>
      </c>
      <c r="J136" t="s">
        <v>47</v>
      </c>
      <c r="K136">
        <v>0</v>
      </c>
      <c r="L136" t="s">
        <v>47</v>
      </c>
      <c r="M136">
        <v>0</v>
      </c>
      <c r="N136" t="s">
        <v>47</v>
      </c>
      <c r="O136">
        <v>0</v>
      </c>
      <c r="P136" t="s">
        <v>47</v>
      </c>
      <c r="Q136">
        <v>0</v>
      </c>
      <c r="R136" t="s">
        <v>47</v>
      </c>
      <c r="S136">
        <v>0</v>
      </c>
      <c r="T136" t="s">
        <v>47</v>
      </c>
    </row>
    <row r="137" spans="1:20" x14ac:dyDescent="0.35">
      <c r="A137" s="1" t="s">
        <v>279</v>
      </c>
      <c r="B137" t="s">
        <v>12</v>
      </c>
      <c r="C137">
        <v>1</v>
      </c>
      <c r="D137" t="s">
        <v>280</v>
      </c>
      <c r="E137">
        <v>1</v>
      </c>
      <c r="F137" t="s">
        <v>48</v>
      </c>
      <c r="G137">
        <v>1</v>
      </c>
      <c r="H137" t="s">
        <v>48</v>
      </c>
      <c r="I137">
        <v>0</v>
      </c>
      <c r="J137" t="s">
        <v>47</v>
      </c>
      <c r="K137">
        <v>1</v>
      </c>
      <c r="L137" t="s">
        <v>48</v>
      </c>
      <c r="M137">
        <v>1</v>
      </c>
      <c r="N137" t="s">
        <v>48</v>
      </c>
      <c r="O137">
        <v>0</v>
      </c>
      <c r="P137" t="s">
        <v>47</v>
      </c>
      <c r="Q137">
        <v>1</v>
      </c>
      <c r="R137" t="s">
        <v>48</v>
      </c>
      <c r="S137">
        <v>0</v>
      </c>
      <c r="T137" t="s">
        <v>47</v>
      </c>
    </row>
    <row r="138" spans="1:20" x14ac:dyDescent="0.35">
      <c r="A138" s="1" t="s">
        <v>281</v>
      </c>
      <c r="B138" t="s">
        <v>12</v>
      </c>
      <c r="C138">
        <v>5</v>
      </c>
      <c r="D138" t="s">
        <v>282</v>
      </c>
      <c r="E138">
        <v>1</v>
      </c>
      <c r="F138" t="s">
        <v>45</v>
      </c>
      <c r="G138">
        <v>0</v>
      </c>
      <c r="H138" t="s">
        <v>47</v>
      </c>
      <c r="I138">
        <v>0</v>
      </c>
      <c r="J138" t="s">
        <v>47</v>
      </c>
      <c r="K138">
        <v>0</v>
      </c>
      <c r="L138" t="s">
        <v>47</v>
      </c>
      <c r="M138">
        <v>0</v>
      </c>
      <c r="N138" t="s">
        <v>47</v>
      </c>
      <c r="O138">
        <v>0</v>
      </c>
      <c r="P138" t="s">
        <v>47</v>
      </c>
      <c r="Q138">
        <v>1</v>
      </c>
      <c r="R138" t="s">
        <v>45</v>
      </c>
      <c r="S138">
        <v>1</v>
      </c>
      <c r="T138" t="s">
        <v>48</v>
      </c>
    </row>
    <row r="139" spans="1:20" x14ac:dyDescent="0.35">
      <c r="A139" s="1" t="s">
        <v>283</v>
      </c>
      <c r="B139" t="s">
        <v>12</v>
      </c>
      <c r="C139">
        <v>5</v>
      </c>
      <c r="D139" t="s">
        <v>284</v>
      </c>
      <c r="E139">
        <v>1</v>
      </c>
      <c r="F139" t="s">
        <v>45</v>
      </c>
      <c r="G139">
        <v>1</v>
      </c>
      <c r="H139" t="s">
        <v>48</v>
      </c>
      <c r="I139">
        <v>0</v>
      </c>
      <c r="J139" t="s">
        <v>47</v>
      </c>
      <c r="K139">
        <v>0</v>
      </c>
      <c r="L139" t="s">
        <v>47</v>
      </c>
      <c r="M139">
        <v>0</v>
      </c>
      <c r="N139" t="s">
        <v>47</v>
      </c>
      <c r="O139">
        <v>1</v>
      </c>
      <c r="P139" t="s">
        <v>48</v>
      </c>
      <c r="Q139">
        <v>1</v>
      </c>
      <c r="R139" t="s">
        <v>45</v>
      </c>
      <c r="S139">
        <v>0</v>
      </c>
      <c r="T139" t="s">
        <v>47</v>
      </c>
    </row>
    <row r="140" spans="1:20" x14ac:dyDescent="0.35">
      <c r="A140" s="1" t="s">
        <v>285</v>
      </c>
      <c r="B140" t="s">
        <v>12</v>
      </c>
      <c r="C140">
        <v>5</v>
      </c>
      <c r="D140" t="s">
        <v>286</v>
      </c>
      <c r="E140">
        <v>1</v>
      </c>
      <c r="F140" t="s">
        <v>45</v>
      </c>
      <c r="G140">
        <v>1</v>
      </c>
      <c r="H140" t="s">
        <v>45</v>
      </c>
      <c r="I140">
        <v>0</v>
      </c>
      <c r="J140" t="s">
        <v>47</v>
      </c>
      <c r="K140">
        <v>0</v>
      </c>
      <c r="L140" t="s">
        <v>47</v>
      </c>
      <c r="M140">
        <v>0</v>
      </c>
      <c r="N140" t="s">
        <v>47</v>
      </c>
      <c r="O140">
        <v>0</v>
      </c>
      <c r="P140" t="s">
        <v>47</v>
      </c>
      <c r="Q140">
        <v>1</v>
      </c>
      <c r="R140" t="s">
        <v>45</v>
      </c>
      <c r="S140">
        <v>0</v>
      </c>
      <c r="T140" t="s">
        <v>47</v>
      </c>
    </row>
    <row r="141" spans="1:20" x14ac:dyDescent="0.35">
      <c r="A141" s="1" t="s">
        <v>287</v>
      </c>
      <c r="B141" t="s">
        <v>12</v>
      </c>
      <c r="C141">
        <v>5</v>
      </c>
      <c r="D141" t="s">
        <v>288</v>
      </c>
      <c r="E141">
        <v>1</v>
      </c>
      <c r="F141" t="s">
        <v>45</v>
      </c>
      <c r="G141">
        <v>1</v>
      </c>
      <c r="H141" t="s">
        <v>45</v>
      </c>
      <c r="I141">
        <v>0</v>
      </c>
      <c r="J141" t="s">
        <v>47</v>
      </c>
      <c r="K141">
        <v>0</v>
      </c>
      <c r="L141" t="s">
        <v>47</v>
      </c>
      <c r="M141">
        <v>0</v>
      </c>
      <c r="N141" t="s">
        <v>47</v>
      </c>
      <c r="O141">
        <v>0</v>
      </c>
      <c r="P141" t="s">
        <v>47</v>
      </c>
      <c r="Q141">
        <v>1</v>
      </c>
      <c r="R141" t="s">
        <v>45</v>
      </c>
      <c r="S141">
        <v>0</v>
      </c>
      <c r="T141" t="s">
        <v>47</v>
      </c>
    </row>
    <row r="142" spans="1:20" x14ac:dyDescent="0.35">
      <c r="A142" s="1" t="s">
        <v>289</v>
      </c>
      <c r="B142" t="s">
        <v>12</v>
      </c>
      <c r="C142">
        <v>1</v>
      </c>
      <c r="D142" t="s">
        <v>290</v>
      </c>
      <c r="E142">
        <v>1</v>
      </c>
      <c r="F142" t="s">
        <v>48</v>
      </c>
      <c r="G142">
        <v>1</v>
      </c>
      <c r="H142" t="s">
        <v>48</v>
      </c>
      <c r="I142">
        <v>1</v>
      </c>
      <c r="J142" t="s">
        <v>48</v>
      </c>
      <c r="K142">
        <v>0</v>
      </c>
      <c r="L142" t="s">
        <v>47</v>
      </c>
      <c r="M142">
        <v>0</v>
      </c>
      <c r="N142" t="s">
        <v>47</v>
      </c>
      <c r="O142">
        <v>0</v>
      </c>
      <c r="P142" t="s">
        <v>47</v>
      </c>
      <c r="Q142">
        <v>0</v>
      </c>
      <c r="R142" t="s">
        <v>47</v>
      </c>
      <c r="S142">
        <v>0</v>
      </c>
      <c r="T142" t="s">
        <v>47</v>
      </c>
    </row>
    <row r="143" spans="1:20" x14ac:dyDescent="0.35">
      <c r="A143" s="1" t="s">
        <v>291</v>
      </c>
      <c r="B143" t="s">
        <v>12</v>
      </c>
      <c r="C143">
        <v>3</v>
      </c>
      <c r="D143" t="s">
        <v>292</v>
      </c>
      <c r="E143">
        <v>1</v>
      </c>
      <c r="F143" t="s">
        <v>55</v>
      </c>
      <c r="G143">
        <v>0</v>
      </c>
      <c r="H143" t="s">
        <v>47</v>
      </c>
      <c r="I143">
        <v>0</v>
      </c>
      <c r="J143" t="s">
        <v>47</v>
      </c>
      <c r="K143">
        <v>0</v>
      </c>
      <c r="L143" t="s">
        <v>47</v>
      </c>
      <c r="M143">
        <v>0</v>
      </c>
      <c r="N143" t="s">
        <v>47</v>
      </c>
      <c r="O143">
        <v>1</v>
      </c>
      <c r="P143" t="s">
        <v>48</v>
      </c>
      <c r="Q143">
        <v>0</v>
      </c>
      <c r="R143" t="s">
        <v>47</v>
      </c>
      <c r="S143">
        <v>0</v>
      </c>
      <c r="T143" t="s">
        <v>47</v>
      </c>
    </row>
    <row r="144" spans="1:20" x14ac:dyDescent="0.35">
      <c r="A144" s="1" t="s">
        <v>293</v>
      </c>
      <c r="B144" t="s">
        <v>12</v>
      </c>
      <c r="C144">
        <v>2</v>
      </c>
      <c r="D144" t="s">
        <v>294</v>
      </c>
      <c r="E144">
        <v>1</v>
      </c>
      <c r="F144" t="s">
        <v>48</v>
      </c>
      <c r="G144">
        <v>1</v>
      </c>
      <c r="H144" t="s">
        <v>48</v>
      </c>
      <c r="I144">
        <v>0</v>
      </c>
      <c r="J144" t="s">
        <v>47</v>
      </c>
      <c r="K144">
        <v>0</v>
      </c>
      <c r="L144" t="s">
        <v>47</v>
      </c>
      <c r="M144">
        <v>0</v>
      </c>
      <c r="N144" t="s">
        <v>47</v>
      </c>
      <c r="O144">
        <v>1</v>
      </c>
      <c r="P144" t="s">
        <v>48</v>
      </c>
      <c r="Q144">
        <v>0</v>
      </c>
      <c r="R144" t="s">
        <v>47</v>
      </c>
      <c r="S144">
        <v>0</v>
      </c>
      <c r="T144" t="s">
        <v>47</v>
      </c>
    </row>
    <row r="145" spans="1:20" x14ac:dyDescent="0.35">
      <c r="A145" s="1" t="s">
        <v>295</v>
      </c>
      <c r="B145" t="s">
        <v>12</v>
      </c>
      <c r="C145">
        <v>3</v>
      </c>
      <c r="D145" t="s">
        <v>296</v>
      </c>
      <c r="E145">
        <v>1</v>
      </c>
      <c r="F145" t="s">
        <v>45</v>
      </c>
      <c r="G145">
        <v>1</v>
      </c>
      <c r="H145" t="s">
        <v>48</v>
      </c>
      <c r="I145">
        <v>0</v>
      </c>
      <c r="J145" t="s">
        <v>47</v>
      </c>
      <c r="K145">
        <v>0</v>
      </c>
      <c r="L145" t="s">
        <v>47</v>
      </c>
      <c r="M145">
        <v>0</v>
      </c>
      <c r="N145" t="s">
        <v>47</v>
      </c>
      <c r="O145">
        <v>0</v>
      </c>
      <c r="P145" t="s">
        <v>47</v>
      </c>
      <c r="Q145">
        <v>0</v>
      </c>
      <c r="R145" t="s">
        <v>47</v>
      </c>
      <c r="S145">
        <v>0</v>
      </c>
      <c r="T145" t="s">
        <v>47</v>
      </c>
    </row>
    <row r="146" spans="1:20" x14ac:dyDescent="0.35">
      <c r="A146" s="1" t="s">
        <v>297</v>
      </c>
      <c r="B146" t="s">
        <v>12</v>
      </c>
      <c r="C146">
        <v>1</v>
      </c>
      <c r="D146" t="s">
        <v>298</v>
      </c>
      <c r="E146">
        <v>1</v>
      </c>
      <c r="F146" t="s">
        <v>48</v>
      </c>
      <c r="G146">
        <v>1</v>
      </c>
      <c r="H146" t="s">
        <v>48</v>
      </c>
      <c r="I146">
        <v>0</v>
      </c>
      <c r="J146" t="s">
        <v>47</v>
      </c>
      <c r="K146">
        <v>1</v>
      </c>
      <c r="L146" t="s">
        <v>48</v>
      </c>
      <c r="M146">
        <v>0</v>
      </c>
      <c r="N146" t="s">
        <v>47</v>
      </c>
      <c r="O146">
        <v>0</v>
      </c>
      <c r="P146" t="s">
        <v>47</v>
      </c>
      <c r="Q146">
        <v>0</v>
      </c>
      <c r="R146" t="s">
        <v>47</v>
      </c>
      <c r="S146">
        <v>0</v>
      </c>
      <c r="T146" t="s">
        <v>47</v>
      </c>
    </row>
    <row r="147" spans="1:20" x14ac:dyDescent="0.35">
      <c r="A147" s="1" t="s">
        <v>356</v>
      </c>
      <c r="B147" t="s">
        <v>14</v>
      </c>
      <c r="C147">
        <v>5</v>
      </c>
      <c r="D147" t="s">
        <v>341</v>
      </c>
      <c r="E147">
        <v>1</v>
      </c>
      <c r="F147" t="s">
        <v>45</v>
      </c>
      <c r="G147">
        <v>0</v>
      </c>
      <c r="H147" t="s">
        <v>47</v>
      </c>
      <c r="I147">
        <v>0</v>
      </c>
      <c r="J147" t="s">
        <v>47</v>
      </c>
      <c r="K147">
        <v>0</v>
      </c>
      <c r="L147" t="s">
        <v>47</v>
      </c>
      <c r="M147">
        <v>1</v>
      </c>
      <c r="N147" t="s">
        <v>45</v>
      </c>
      <c r="O147">
        <v>0</v>
      </c>
      <c r="P147" t="s">
        <v>47</v>
      </c>
      <c r="Q147">
        <v>0</v>
      </c>
      <c r="R147" t="s">
        <v>47</v>
      </c>
      <c r="S147">
        <v>0</v>
      </c>
      <c r="T147" t="s">
        <v>47</v>
      </c>
    </row>
    <row r="148" spans="1:20" x14ac:dyDescent="0.35">
      <c r="A148" s="1" t="s">
        <v>357</v>
      </c>
      <c r="B148" t="s">
        <v>14</v>
      </c>
      <c r="C148">
        <v>3</v>
      </c>
      <c r="D148" t="s">
        <v>342</v>
      </c>
      <c r="E148">
        <v>1</v>
      </c>
      <c r="F148" t="s">
        <v>48</v>
      </c>
      <c r="G148">
        <v>1</v>
      </c>
      <c r="H148" t="s">
        <v>55</v>
      </c>
      <c r="I148">
        <v>0</v>
      </c>
      <c r="J148" t="s">
        <v>47</v>
      </c>
      <c r="K148">
        <v>0</v>
      </c>
      <c r="L148" t="s">
        <v>47</v>
      </c>
      <c r="M148">
        <v>0</v>
      </c>
      <c r="N148" t="s">
        <v>47</v>
      </c>
      <c r="O148">
        <v>0</v>
      </c>
      <c r="P148" t="s">
        <v>47</v>
      </c>
      <c r="Q148">
        <v>0</v>
      </c>
      <c r="R148" t="s">
        <v>47</v>
      </c>
      <c r="S148">
        <v>0</v>
      </c>
      <c r="T148" t="s">
        <v>47</v>
      </c>
    </row>
    <row r="149" spans="1:20" x14ac:dyDescent="0.35">
      <c r="A149" s="1" t="s">
        <v>358</v>
      </c>
      <c r="B149" t="s">
        <v>14</v>
      </c>
      <c r="C149">
        <v>5</v>
      </c>
      <c r="D149" t="s">
        <v>343</v>
      </c>
      <c r="E149">
        <v>1</v>
      </c>
      <c r="F149" t="s">
        <v>45</v>
      </c>
      <c r="G149">
        <v>0</v>
      </c>
      <c r="H149" t="s">
        <v>47</v>
      </c>
      <c r="I149">
        <v>0</v>
      </c>
      <c r="J149" t="s">
        <v>47</v>
      </c>
      <c r="K149">
        <v>0</v>
      </c>
      <c r="L149" t="s">
        <v>47</v>
      </c>
      <c r="M149">
        <v>0</v>
      </c>
      <c r="N149" t="s">
        <v>47</v>
      </c>
      <c r="O149">
        <v>1</v>
      </c>
      <c r="P149" t="s">
        <v>45</v>
      </c>
      <c r="Q149">
        <v>0</v>
      </c>
      <c r="R149" t="s">
        <v>47</v>
      </c>
      <c r="S149">
        <v>0</v>
      </c>
      <c r="T149" t="s">
        <v>47</v>
      </c>
    </row>
    <row r="150" spans="1:20" x14ac:dyDescent="0.35">
      <c r="A150" s="1" t="s">
        <v>359</v>
      </c>
      <c r="B150" t="s">
        <v>14</v>
      </c>
      <c r="C150">
        <v>3</v>
      </c>
      <c r="D150" t="s">
        <v>344</v>
      </c>
      <c r="E150">
        <v>1</v>
      </c>
      <c r="F150" t="s">
        <v>48</v>
      </c>
      <c r="G150">
        <v>0</v>
      </c>
      <c r="H150" t="s">
        <v>47</v>
      </c>
      <c r="I150">
        <v>0</v>
      </c>
      <c r="J150" t="s">
        <v>47</v>
      </c>
      <c r="K150">
        <v>1</v>
      </c>
      <c r="L150" t="s">
        <v>45</v>
      </c>
      <c r="M150">
        <v>0</v>
      </c>
      <c r="N150" t="s">
        <v>47</v>
      </c>
      <c r="O150">
        <v>0</v>
      </c>
      <c r="P150" t="s">
        <v>47</v>
      </c>
      <c r="Q150">
        <v>0</v>
      </c>
      <c r="R150" t="s">
        <v>47</v>
      </c>
      <c r="S150">
        <v>0</v>
      </c>
      <c r="T150" t="s">
        <v>47</v>
      </c>
    </row>
    <row r="151" spans="1:20" x14ac:dyDescent="0.35">
      <c r="A151" s="1" t="s">
        <v>360</v>
      </c>
      <c r="B151" t="s">
        <v>14</v>
      </c>
      <c r="C151">
        <v>4</v>
      </c>
      <c r="D151" t="s">
        <v>345</v>
      </c>
      <c r="E151">
        <v>1</v>
      </c>
      <c r="F151" t="s">
        <v>45</v>
      </c>
      <c r="G151">
        <v>0</v>
      </c>
      <c r="H151" t="s">
        <v>47</v>
      </c>
      <c r="I151">
        <v>0</v>
      </c>
      <c r="J151" t="s">
        <v>47</v>
      </c>
      <c r="K151">
        <v>0</v>
      </c>
      <c r="L151" t="s">
        <v>47</v>
      </c>
      <c r="M151">
        <v>0</v>
      </c>
      <c r="N151" t="s">
        <v>47</v>
      </c>
      <c r="O151">
        <v>0</v>
      </c>
      <c r="P151" t="s">
        <v>47</v>
      </c>
      <c r="Q151">
        <v>0</v>
      </c>
      <c r="R151" t="s">
        <v>47</v>
      </c>
      <c r="S151">
        <v>0</v>
      </c>
      <c r="T151" t="s">
        <v>47</v>
      </c>
    </row>
    <row r="152" spans="1:20" x14ac:dyDescent="0.35">
      <c r="A152" s="1" t="s">
        <v>361</v>
      </c>
      <c r="B152" t="s">
        <v>14</v>
      </c>
      <c r="C152">
        <v>3</v>
      </c>
      <c r="D152" t="s">
        <v>346</v>
      </c>
      <c r="E152">
        <v>1</v>
      </c>
      <c r="F152" t="s">
        <v>48</v>
      </c>
      <c r="G152">
        <v>0</v>
      </c>
      <c r="H152" t="s">
        <v>47</v>
      </c>
      <c r="I152">
        <v>1</v>
      </c>
      <c r="J152" t="s">
        <v>45</v>
      </c>
      <c r="K152">
        <v>0</v>
      </c>
      <c r="L152" t="s">
        <v>47</v>
      </c>
      <c r="M152">
        <v>0</v>
      </c>
      <c r="N152" t="s">
        <v>47</v>
      </c>
      <c r="O152">
        <v>0</v>
      </c>
      <c r="P152" t="s">
        <v>47</v>
      </c>
      <c r="Q152">
        <v>0</v>
      </c>
      <c r="R152" t="s">
        <v>47</v>
      </c>
      <c r="S152">
        <v>0</v>
      </c>
      <c r="T152" t="s">
        <v>47</v>
      </c>
    </row>
    <row r="153" spans="1:20" x14ac:dyDescent="0.35">
      <c r="A153" s="1" t="s">
        <v>362</v>
      </c>
      <c r="B153" t="s">
        <v>14</v>
      </c>
      <c r="C153">
        <v>5</v>
      </c>
      <c r="D153" t="s">
        <v>347</v>
      </c>
      <c r="E153">
        <v>1</v>
      </c>
      <c r="F153" t="s">
        <v>45</v>
      </c>
      <c r="G153">
        <v>1</v>
      </c>
      <c r="H153" t="s">
        <v>45</v>
      </c>
      <c r="I153">
        <v>0</v>
      </c>
      <c r="J153" t="s">
        <v>47</v>
      </c>
      <c r="K153">
        <v>0</v>
      </c>
      <c r="L153" t="s">
        <v>47</v>
      </c>
      <c r="M153">
        <v>0</v>
      </c>
      <c r="N153" t="s">
        <v>47</v>
      </c>
      <c r="O153">
        <v>0</v>
      </c>
      <c r="P153" t="s">
        <v>47</v>
      </c>
      <c r="Q153">
        <v>0</v>
      </c>
      <c r="R153" t="s">
        <v>47</v>
      </c>
      <c r="S153">
        <v>0</v>
      </c>
      <c r="T153" t="s">
        <v>47</v>
      </c>
    </row>
    <row r="154" spans="1:20" x14ac:dyDescent="0.35">
      <c r="A154" s="1" t="s">
        <v>363</v>
      </c>
      <c r="B154" t="s">
        <v>14</v>
      </c>
      <c r="C154" t="s">
        <v>47</v>
      </c>
      <c r="D154" t="s">
        <v>348</v>
      </c>
      <c r="E154">
        <v>1</v>
      </c>
      <c r="F154" t="s">
        <v>55</v>
      </c>
      <c r="G154">
        <v>0</v>
      </c>
      <c r="H154" t="s">
        <v>47</v>
      </c>
      <c r="I154">
        <v>0</v>
      </c>
      <c r="J154" t="s">
        <v>47</v>
      </c>
      <c r="K154">
        <v>0</v>
      </c>
      <c r="L154" t="s">
        <v>47</v>
      </c>
      <c r="M154">
        <v>1</v>
      </c>
      <c r="N154" t="s">
        <v>48</v>
      </c>
      <c r="O154">
        <v>0</v>
      </c>
      <c r="P154" t="s">
        <v>47</v>
      </c>
      <c r="Q154">
        <v>0</v>
      </c>
      <c r="R154" t="s">
        <v>47</v>
      </c>
      <c r="S154">
        <v>0</v>
      </c>
      <c r="T154" t="s">
        <v>47</v>
      </c>
    </row>
    <row r="155" spans="1:20" x14ac:dyDescent="0.35">
      <c r="A155" s="1" t="s">
        <v>364</v>
      </c>
      <c r="B155" t="s">
        <v>14</v>
      </c>
      <c r="C155" t="s">
        <v>47</v>
      </c>
      <c r="D155" t="s">
        <v>349</v>
      </c>
      <c r="E155">
        <v>1</v>
      </c>
      <c r="F155" t="s">
        <v>45</v>
      </c>
      <c r="G155">
        <v>0</v>
      </c>
      <c r="H155" t="s">
        <v>47</v>
      </c>
      <c r="I155">
        <v>0</v>
      </c>
      <c r="J155" t="s">
        <v>47</v>
      </c>
      <c r="K155">
        <v>0</v>
      </c>
      <c r="L155" t="s">
        <v>47</v>
      </c>
      <c r="M155">
        <v>0</v>
      </c>
      <c r="N155" t="s">
        <v>47</v>
      </c>
      <c r="O155">
        <v>0</v>
      </c>
      <c r="P155" t="s">
        <v>47</v>
      </c>
      <c r="Q155">
        <v>1</v>
      </c>
      <c r="R155" t="s">
        <v>45</v>
      </c>
      <c r="S155">
        <v>0</v>
      </c>
      <c r="T155" t="s">
        <v>47</v>
      </c>
    </row>
    <row r="156" spans="1:20" x14ac:dyDescent="0.35">
      <c r="A156" s="1" t="s">
        <v>365</v>
      </c>
      <c r="B156" t="s">
        <v>14</v>
      </c>
      <c r="C156" t="s">
        <v>47</v>
      </c>
      <c r="D156" t="s">
        <v>350</v>
      </c>
      <c r="E156">
        <v>1</v>
      </c>
      <c r="F156" t="s">
        <v>48</v>
      </c>
      <c r="G156">
        <v>0</v>
      </c>
      <c r="H156" t="s">
        <v>47</v>
      </c>
      <c r="I156">
        <v>0</v>
      </c>
      <c r="J156" t="s">
        <v>47</v>
      </c>
      <c r="K156">
        <v>0</v>
      </c>
      <c r="L156" t="s">
        <v>47</v>
      </c>
      <c r="M156">
        <v>0</v>
      </c>
      <c r="N156" t="s">
        <v>47</v>
      </c>
      <c r="O156">
        <v>1</v>
      </c>
      <c r="P156" t="s">
        <v>45</v>
      </c>
      <c r="Q156">
        <v>0</v>
      </c>
      <c r="R156" t="s">
        <v>47</v>
      </c>
      <c r="S156">
        <v>0</v>
      </c>
      <c r="T156" t="s">
        <v>47</v>
      </c>
    </row>
    <row r="157" spans="1:20" x14ac:dyDescent="0.35">
      <c r="A157" s="1" t="s">
        <v>366</v>
      </c>
      <c r="B157" t="s">
        <v>14</v>
      </c>
      <c r="C157" t="s">
        <v>47</v>
      </c>
      <c r="D157" t="s">
        <v>351</v>
      </c>
      <c r="E157">
        <v>1</v>
      </c>
      <c r="F157" t="s">
        <v>45</v>
      </c>
      <c r="G157">
        <v>0</v>
      </c>
      <c r="H157" t="s">
        <v>47</v>
      </c>
      <c r="I157">
        <v>0</v>
      </c>
      <c r="J157" t="s">
        <v>47</v>
      </c>
      <c r="K157">
        <v>0</v>
      </c>
      <c r="L157" t="s">
        <v>47</v>
      </c>
      <c r="M157">
        <v>1</v>
      </c>
      <c r="N157" t="s">
        <v>45</v>
      </c>
      <c r="O157">
        <v>0</v>
      </c>
      <c r="P157" t="s">
        <v>47</v>
      </c>
      <c r="Q157">
        <v>0</v>
      </c>
      <c r="R157" t="s">
        <v>47</v>
      </c>
      <c r="S157">
        <v>0</v>
      </c>
      <c r="T157" t="s">
        <v>47</v>
      </c>
    </row>
    <row r="158" spans="1:20" x14ac:dyDescent="0.35">
      <c r="A158" s="1" t="s">
        <v>367</v>
      </c>
      <c r="B158" t="s">
        <v>14</v>
      </c>
      <c r="C158" t="s">
        <v>47</v>
      </c>
      <c r="D158" t="s">
        <v>352</v>
      </c>
      <c r="E158">
        <v>1</v>
      </c>
      <c r="F158" t="s">
        <v>48</v>
      </c>
      <c r="G158">
        <v>1</v>
      </c>
      <c r="H158" t="s">
        <v>55</v>
      </c>
      <c r="I158">
        <v>0</v>
      </c>
      <c r="J158" t="s">
        <v>47</v>
      </c>
      <c r="K158">
        <v>0</v>
      </c>
      <c r="L158" t="s">
        <v>47</v>
      </c>
      <c r="M158">
        <v>0</v>
      </c>
      <c r="N158" t="s">
        <v>47</v>
      </c>
      <c r="O158">
        <v>0</v>
      </c>
      <c r="P158" t="s">
        <v>47</v>
      </c>
      <c r="Q158">
        <v>0</v>
      </c>
      <c r="R158" t="s">
        <v>47</v>
      </c>
      <c r="S158">
        <v>0</v>
      </c>
      <c r="T158" t="s">
        <v>47</v>
      </c>
    </row>
    <row r="159" spans="1:20" x14ac:dyDescent="0.35">
      <c r="A159" s="1" t="s">
        <v>368</v>
      </c>
      <c r="B159" t="s">
        <v>14</v>
      </c>
      <c r="C159" t="s">
        <v>47</v>
      </c>
      <c r="D159" t="s">
        <v>353</v>
      </c>
      <c r="E159">
        <v>1</v>
      </c>
      <c r="F159" t="s">
        <v>45</v>
      </c>
      <c r="G159">
        <v>1</v>
      </c>
      <c r="H159" t="s">
        <v>45</v>
      </c>
      <c r="I159">
        <v>0</v>
      </c>
      <c r="J159" t="s">
        <v>47</v>
      </c>
      <c r="K159">
        <v>1</v>
      </c>
      <c r="L159" t="s">
        <v>45</v>
      </c>
      <c r="M159">
        <v>0</v>
      </c>
      <c r="N159" t="s">
        <v>47</v>
      </c>
      <c r="O159">
        <v>0</v>
      </c>
      <c r="P159" t="s">
        <v>47</v>
      </c>
      <c r="Q159">
        <v>0</v>
      </c>
      <c r="R159" t="s">
        <v>47</v>
      </c>
      <c r="S159">
        <v>0</v>
      </c>
      <c r="T159" t="s">
        <v>47</v>
      </c>
    </row>
    <row r="160" spans="1:20" x14ac:dyDescent="0.35">
      <c r="A160" s="1" t="s">
        <v>369</v>
      </c>
      <c r="B160" t="s">
        <v>14</v>
      </c>
      <c r="C160" t="s">
        <v>47</v>
      </c>
      <c r="D160" t="s">
        <v>354</v>
      </c>
      <c r="E160">
        <v>1</v>
      </c>
      <c r="F160" t="s">
        <v>48</v>
      </c>
      <c r="G160">
        <v>0</v>
      </c>
      <c r="H160" t="s">
        <v>47</v>
      </c>
      <c r="I160">
        <v>0</v>
      </c>
      <c r="J160" t="s">
        <v>47</v>
      </c>
      <c r="K160">
        <v>0</v>
      </c>
      <c r="L160" t="s">
        <v>47</v>
      </c>
      <c r="M160">
        <v>1</v>
      </c>
      <c r="N160" t="s">
        <v>48</v>
      </c>
      <c r="O160">
        <v>0</v>
      </c>
      <c r="P160" t="s">
        <v>47</v>
      </c>
      <c r="Q160">
        <v>0</v>
      </c>
      <c r="R160" t="s">
        <v>47</v>
      </c>
      <c r="S160">
        <v>0</v>
      </c>
      <c r="T160" t="s">
        <v>47</v>
      </c>
    </row>
    <row r="161" spans="1:20" x14ac:dyDescent="0.35">
      <c r="A161" s="1" t="s">
        <v>370</v>
      </c>
      <c r="B161" t="s">
        <v>14</v>
      </c>
      <c r="C161" t="s">
        <v>47</v>
      </c>
      <c r="D161" t="s">
        <v>355</v>
      </c>
      <c r="E161">
        <v>1</v>
      </c>
      <c r="F161" t="s">
        <v>45</v>
      </c>
      <c r="G161">
        <v>0</v>
      </c>
      <c r="H161" t="s">
        <v>47</v>
      </c>
      <c r="I161">
        <v>0</v>
      </c>
      <c r="J161" t="s">
        <v>47</v>
      </c>
      <c r="K161">
        <v>0</v>
      </c>
      <c r="L161" t="s">
        <v>47</v>
      </c>
      <c r="M161">
        <v>0</v>
      </c>
      <c r="N161" t="s">
        <v>47</v>
      </c>
      <c r="O161">
        <v>0</v>
      </c>
      <c r="P161" t="s">
        <v>47</v>
      </c>
      <c r="Q161">
        <v>1</v>
      </c>
      <c r="R161" t="s">
        <v>45</v>
      </c>
      <c r="S161">
        <v>0</v>
      </c>
      <c r="T161" t="s">
        <v>47</v>
      </c>
    </row>
    <row r="162" spans="1:20" x14ac:dyDescent="0.35">
      <c r="A162" s="1" t="s">
        <v>394</v>
      </c>
      <c r="B162" t="s">
        <v>14</v>
      </c>
      <c r="C162" t="s">
        <v>47</v>
      </c>
      <c r="D162" t="s">
        <v>371</v>
      </c>
      <c r="E162">
        <v>0</v>
      </c>
      <c r="F162" t="s">
        <v>47</v>
      </c>
      <c r="G162">
        <v>0</v>
      </c>
      <c r="H162" t="s">
        <v>47</v>
      </c>
      <c r="I162">
        <v>0</v>
      </c>
      <c r="J162" t="s">
        <v>47</v>
      </c>
      <c r="K162">
        <v>1</v>
      </c>
      <c r="L162" t="s">
        <v>45</v>
      </c>
      <c r="M162">
        <v>0</v>
      </c>
      <c r="N162" t="s">
        <v>47</v>
      </c>
      <c r="O162">
        <v>0</v>
      </c>
      <c r="P162" t="s">
        <v>47</v>
      </c>
      <c r="Q162">
        <v>0</v>
      </c>
      <c r="R162" t="s">
        <v>47</v>
      </c>
      <c r="S162">
        <v>0</v>
      </c>
      <c r="T162" t="s">
        <v>47</v>
      </c>
    </row>
    <row r="163" spans="1:20" x14ac:dyDescent="0.35">
      <c r="A163" s="1" t="s">
        <v>395</v>
      </c>
      <c r="B163" t="s">
        <v>14</v>
      </c>
      <c r="C163" t="s">
        <v>47</v>
      </c>
      <c r="D163" t="s">
        <v>372</v>
      </c>
      <c r="E163">
        <v>1</v>
      </c>
      <c r="F163" t="s">
        <v>45</v>
      </c>
      <c r="G163">
        <v>0</v>
      </c>
      <c r="H163" t="s">
        <v>47</v>
      </c>
      <c r="I163">
        <v>0</v>
      </c>
      <c r="J163" t="s">
        <v>47</v>
      </c>
      <c r="K163">
        <v>1</v>
      </c>
      <c r="L163" t="s">
        <v>48</v>
      </c>
      <c r="M163">
        <v>0</v>
      </c>
      <c r="N163" t="s">
        <v>47</v>
      </c>
      <c r="O163">
        <v>0</v>
      </c>
      <c r="P163" t="s">
        <v>47</v>
      </c>
      <c r="Q163">
        <v>0</v>
      </c>
      <c r="R163" t="s">
        <v>47</v>
      </c>
      <c r="S163">
        <v>0</v>
      </c>
      <c r="T163" t="s">
        <v>47</v>
      </c>
    </row>
    <row r="164" spans="1:20" x14ac:dyDescent="0.35">
      <c r="A164" s="1" t="s">
        <v>396</v>
      </c>
      <c r="B164" t="s">
        <v>14</v>
      </c>
      <c r="C164" t="s">
        <v>47</v>
      </c>
      <c r="D164" t="s">
        <v>373</v>
      </c>
      <c r="E164">
        <v>0</v>
      </c>
      <c r="F164" t="s">
        <v>47</v>
      </c>
      <c r="G164">
        <v>1</v>
      </c>
      <c r="H164" t="s">
        <v>45</v>
      </c>
      <c r="I164">
        <v>0</v>
      </c>
      <c r="J164" t="s">
        <v>47</v>
      </c>
      <c r="K164">
        <v>1</v>
      </c>
      <c r="L164" t="s">
        <v>45</v>
      </c>
      <c r="M164">
        <v>0</v>
      </c>
      <c r="N164" t="s">
        <v>47</v>
      </c>
      <c r="O164">
        <v>0</v>
      </c>
      <c r="P164" t="s">
        <v>47</v>
      </c>
      <c r="Q164">
        <v>0</v>
      </c>
      <c r="R164" t="s">
        <v>47</v>
      </c>
      <c r="S164">
        <v>0</v>
      </c>
      <c r="T164" t="s">
        <v>47</v>
      </c>
    </row>
    <row r="165" spans="1:20" x14ac:dyDescent="0.35">
      <c r="A165" s="1" t="s">
        <v>397</v>
      </c>
      <c r="B165" t="s">
        <v>14</v>
      </c>
      <c r="C165" t="s">
        <v>47</v>
      </c>
      <c r="D165" t="s">
        <v>374</v>
      </c>
      <c r="E165">
        <v>1</v>
      </c>
      <c r="F165" t="s">
        <v>45</v>
      </c>
      <c r="G165">
        <v>0</v>
      </c>
      <c r="H165" t="s">
        <v>47</v>
      </c>
      <c r="I165">
        <v>0</v>
      </c>
      <c r="J165" t="s">
        <v>47</v>
      </c>
      <c r="K165">
        <v>1</v>
      </c>
      <c r="L165" t="s">
        <v>48</v>
      </c>
      <c r="M165">
        <v>0</v>
      </c>
      <c r="N165" t="s">
        <v>47</v>
      </c>
      <c r="O165">
        <v>0</v>
      </c>
      <c r="P165" t="s">
        <v>47</v>
      </c>
      <c r="Q165">
        <v>0</v>
      </c>
      <c r="R165" t="s">
        <v>47</v>
      </c>
      <c r="S165">
        <v>0</v>
      </c>
      <c r="T165" t="s">
        <v>47</v>
      </c>
    </row>
    <row r="166" spans="1:20" x14ac:dyDescent="0.35">
      <c r="A166" s="1" t="s">
        <v>398</v>
      </c>
      <c r="B166" t="s">
        <v>14</v>
      </c>
      <c r="C166" t="s">
        <v>47</v>
      </c>
      <c r="D166" t="s">
        <v>375</v>
      </c>
      <c r="E166">
        <v>0</v>
      </c>
      <c r="F166" t="s">
        <v>47</v>
      </c>
      <c r="G166">
        <v>0</v>
      </c>
      <c r="H166" t="s">
        <v>47</v>
      </c>
      <c r="I166">
        <v>0</v>
      </c>
      <c r="J166" t="s">
        <v>47</v>
      </c>
      <c r="K166">
        <v>1</v>
      </c>
      <c r="L166" t="s">
        <v>45</v>
      </c>
      <c r="M166">
        <v>0</v>
      </c>
      <c r="N166" t="s">
        <v>47</v>
      </c>
      <c r="O166">
        <v>0</v>
      </c>
      <c r="P166" t="s">
        <v>47</v>
      </c>
      <c r="Q166">
        <v>1</v>
      </c>
      <c r="R166" t="s">
        <v>45</v>
      </c>
      <c r="S166">
        <v>0</v>
      </c>
      <c r="T166" t="s">
        <v>47</v>
      </c>
    </row>
    <row r="167" spans="1:20" x14ac:dyDescent="0.35">
      <c r="A167" s="1" t="s">
        <v>399</v>
      </c>
      <c r="B167" t="s">
        <v>14</v>
      </c>
      <c r="C167" t="s">
        <v>47</v>
      </c>
      <c r="D167" t="s">
        <v>376</v>
      </c>
      <c r="E167">
        <v>0</v>
      </c>
      <c r="F167" t="s">
        <v>47</v>
      </c>
      <c r="G167">
        <v>1</v>
      </c>
      <c r="H167" t="s">
        <v>45</v>
      </c>
      <c r="I167">
        <v>0</v>
      </c>
      <c r="J167" t="s">
        <v>47</v>
      </c>
      <c r="K167">
        <v>1</v>
      </c>
      <c r="L167" t="s">
        <v>48</v>
      </c>
      <c r="M167">
        <v>0</v>
      </c>
      <c r="N167" t="s">
        <v>47</v>
      </c>
      <c r="O167">
        <v>0</v>
      </c>
      <c r="P167" t="s">
        <v>47</v>
      </c>
      <c r="Q167">
        <v>0</v>
      </c>
      <c r="R167" t="s">
        <v>47</v>
      </c>
      <c r="S167">
        <v>0</v>
      </c>
      <c r="T167" t="s">
        <v>47</v>
      </c>
    </row>
    <row r="168" spans="1:20" x14ac:dyDescent="0.35">
      <c r="A168" s="1" t="s">
        <v>400</v>
      </c>
      <c r="B168" t="s">
        <v>14</v>
      </c>
      <c r="C168" t="s">
        <v>47</v>
      </c>
      <c r="D168" t="s">
        <v>377</v>
      </c>
      <c r="E168">
        <v>1</v>
      </c>
      <c r="F168" t="s">
        <v>45</v>
      </c>
      <c r="G168">
        <v>0</v>
      </c>
      <c r="H168" t="s">
        <v>47</v>
      </c>
      <c r="I168">
        <v>0</v>
      </c>
      <c r="J168" t="s">
        <v>47</v>
      </c>
      <c r="K168">
        <v>1</v>
      </c>
      <c r="L168" t="s">
        <v>45</v>
      </c>
      <c r="M168">
        <v>0</v>
      </c>
      <c r="N168" t="s">
        <v>47</v>
      </c>
      <c r="O168">
        <v>0</v>
      </c>
      <c r="P168" t="s">
        <v>47</v>
      </c>
      <c r="Q168">
        <v>0</v>
      </c>
      <c r="R168" t="s">
        <v>47</v>
      </c>
      <c r="S168">
        <v>0</v>
      </c>
      <c r="T168" t="s">
        <v>47</v>
      </c>
    </row>
    <row r="169" spans="1:20" x14ac:dyDescent="0.35">
      <c r="A169" s="1" t="s">
        <v>401</v>
      </c>
      <c r="B169" t="s">
        <v>14</v>
      </c>
      <c r="C169" t="s">
        <v>47</v>
      </c>
      <c r="D169" t="s">
        <v>378</v>
      </c>
      <c r="E169">
        <v>0</v>
      </c>
      <c r="F169" t="s">
        <v>47</v>
      </c>
      <c r="G169">
        <v>0</v>
      </c>
      <c r="H169" t="s">
        <v>47</v>
      </c>
      <c r="I169">
        <v>0</v>
      </c>
      <c r="J169" t="s">
        <v>47</v>
      </c>
      <c r="K169">
        <v>1</v>
      </c>
      <c r="L169" t="s">
        <v>48</v>
      </c>
      <c r="M169">
        <v>0</v>
      </c>
      <c r="N169" t="s">
        <v>47</v>
      </c>
      <c r="O169">
        <v>0</v>
      </c>
      <c r="P169" t="s">
        <v>47</v>
      </c>
      <c r="Q169">
        <v>0</v>
      </c>
      <c r="R169" t="s">
        <v>47</v>
      </c>
      <c r="S169">
        <v>0</v>
      </c>
      <c r="T169" t="s">
        <v>47</v>
      </c>
    </row>
    <row r="170" spans="1:20" x14ac:dyDescent="0.35">
      <c r="A170" s="1" t="s">
        <v>402</v>
      </c>
      <c r="B170" t="s">
        <v>14</v>
      </c>
      <c r="C170" t="s">
        <v>47</v>
      </c>
      <c r="D170" t="s">
        <v>379</v>
      </c>
      <c r="E170">
        <v>0</v>
      </c>
      <c r="F170" t="s">
        <v>47</v>
      </c>
      <c r="G170">
        <v>0</v>
      </c>
      <c r="H170" t="s">
        <v>47</v>
      </c>
      <c r="I170">
        <v>0</v>
      </c>
      <c r="J170" t="s">
        <v>47</v>
      </c>
      <c r="K170">
        <v>1</v>
      </c>
      <c r="L170" t="s">
        <v>45</v>
      </c>
      <c r="M170">
        <v>0</v>
      </c>
      <c r="N170" t="s">
        <v>47</v>
      </c>
      <c r="O170">
        <v>0</v>
      </c>
      <c r="P170" t="s">
        <v>47</v>
      </c>
      <c r="Q170">
        <v>0</v>
      </c>
      <c r="R170" t="s">
        <v>47</v>
      </c>
      <c r="S170">
        <v>0</v>
      </c>
      <c r="T170" t="s">
        <v>47</v>
      </c>
    </row>
    <row r="171" spans="1:20" x14ac:dyDescent="0.35">
      <c r="A171" s="1" t="s">
        <v>403</v>
      </c>
      <c r="B171" t="s">
        <v>14</v>
      </c>
      <c r="C171" t="s">
        <v>47</v>
      </c>
      <c r="D171" t="s">
        <v>380</v>
      </c>
      <c r="E171">
        <v>0</v>
      </c>
      <c r="F171" t="s">
        <v>47</v>
      </c>
      <c r="G171">
        <v>0</v>
      </c>
      <c r="H171" t="s">
        <v>47</v>
      </c>
      <c r="I171">
        <v>0</v>
      </c>
      <c r="J171" t="s">
        <v>47</v>
      </c>
      <c r="K171">
        <v>1</v>
      </c>
      <c r="L171" t="s">
        <v>48</v>
      </c>
      <c r="M171">
        <v>0</v>
      </c>
      <c r="N171" t="s">
        <v>47</v>
      </c>
      <c r="O171">
        <v>0</v>
      </c>
      <c r="P171" t="s">
        <v>47</v>
      </c>
      <c r="Q171">
        <v>0</v>
      </c>
      <c r="R171" t="s">
        <v>47</v>
      </c>
      <c r="S171">
        <v>0</v>
      </c>
      <c r="T171" t="s">
        <v>47</v>
      </c>
    </row>
    <row r="172" spans="1:20" x14ac:dyDescent="0.35">
      <c r="A172" s="1" t="s">
        <v>404</v>
      </c>
      <c r="B172" t="s">
        <v>14</v>
      </c>
      <c r="C172" t="s">
        <v>47</v>
      </c>
      <c r="D172" t="s">
        <v>381</v>
      </c>
      <c r="E172">
        <v>0</v>
      </c>
      <c r="F172" t="s">
        <v>47</v>
      </c>
      <c r="G172">
        <v>0</v>
      </c>
      <c r="H172" t="s">
        <v>47</v>
      </c>
      <c r="I172">
        <v>0</v>
      </c>
      <c r="J172" t="s">
        <v>47</v>
      </c>
      <c r="K172">
        <v>1</v>
      </c>
      <c r="L172" t="s">
        <v>45</v>
      </c>
      <c r="M172">
        <v>0</v>
      </c>
      <c r="N172" t="s">
        <v>47</v>
      </c>
      <c r="O172">
        <v>0</v>
      </c>
      <c r="P172" t="s">
        <v>47</v>
      </c>
      <c r="Q172">
        <v>0</v>
      </c>
      <c r="R172" t="s">
        <v>47</v>
      </c>
      <c r="S172">
        <v>0</v>
      </c>
      <c r="T172" t="s">
        <v>47</v>
      </c>
    </row>
    <row r="173" spans="1:20" x14ac:dyDescent="0.35">
      <c r="A173" s="1" t="s">
        <v>405</v>
      </c>
      <c r="B173" t="s">
        <v>14</v>
      </c>
      <c r="C173" t="s">
        <v>47</v>
      </c>
      <c r="D173" t="s">
        <v>382</v>
      </c>
      <c r="E173">
        <v>1</v>
      </c>
      <c r="F173" t="s">
        <v>55</v>
      </c>
      <c r="G173">
        <v>0</v>
      </c>
      <c r="H173" t="s">
        <v>47</v>
      </c>
      <c r="I173">
        <v>0</v>
      </c>
      <c r="J173" t="s">
        <v>47</v>
      </c>
      <c r="K173">
        <v>1</v>
      </c>
      <c r="L173" t="s">
        <v>48</v>
      </c>
      <c r="M173">
        <v>0</v>
      </c>
      <c r="N173" t="s">
        <v>47</v>
      </c>
      <c r="O173">
        <v>0</v>
      </c>
      <c r="P173" t="s">
        <v>47</v>
      </c>
      <c r="Q173">
        <v>0</v>
      </c>
      <c r="R173" t="s">
        <v>47</v>
      </c>
      <c r="S173">
        <v>0</v>
      </c>
      <c r="T173" t="s">
        <v>47</v>
      </c>
    </row>
    <row r="174" spans="1:20" x14ac:dyDescent="0.35">
      <c r="A174" s="1" t="s">
        <v>406</v>
      </c>
      <c r="B174" t="s">
        <v>14</v>
      </c>
      <c r="C174" t="s">
        <v>47</v>
      </c>
      <c r="D174" t="s">
        <v>383</v>
      </c>
      <c r="E174">
        <v>0</v>
      </c>
      <c r="F174" t="s">
        <v>47</v>
      </c>
      <c r="G174">
        <v>0</v>
      </c>
      <c r="H174" t="s">
        <v>47</v>
      </c>
      <c r="I174">
        <v>0</v>
      </c>
      <c r="J174" t="s">
        <v>47</v>
      </c>
      <c r="K174">
        <v>1</v>
      </c>
      <c r="L174" t="s">
        <v>45</v>
      </c>
      <c r="M174">
        <v>0</v>
      </c>
      <c r="N174" t="s">
        <v>47</v>
      </c>
      <c r="O174">
        <v>0</v>
      </c>
      <c r="P174" t="s">
        <v>47</v>
      </c>
      <c r="Q174">
        <v>0</v>
      </c>
      <c r="R174" t="s">
        <v>47</v>
      </c>
      <c r="S174">
        <v>0</v>
      </c>
      <c r="T174" t="s">
        <v>47</v>
      </c>
    </row>
    <row r="175" spans="1:20" x14ac:dyDescent="0.35">
      <c r="A175" s="1" t="s">
        <v>407</v>
      </c>
      <c r="B175" t="s">
        <v>14</v>
      </c>
      <c r="C175" t="s">
        <v>47</v>
      </c>
      <c r="D175" t="s">
        <v>384</v>
      </c>
      <c r="E175">
        <v>0</v>
      </c>
      <c r="F175" t="s">
        <v>47</v>
      </c>
      <c r="G175">
        <v>0</v>
      </c>
      <c r="H175" t="s">
        <v>47</v>
      </c>
      <c r="I175">
        <v>0</v>
      </c>
      <c r="J175" t="s">
        <v>47</v>
      </c>
      <c r="K175">
        <v>1</v>
      </c>
      <c r="L175" t="s">
        <v>48</v>
      </c>
      <c r="M175">
        <v>0</v>
      </c>
      <c r="N175" t="s">
        <v>47</v>
      </c>
      <c r="O175">
        <v>0</v>
      </c>
      <c r="P175" t="s">
        <v>47</v>
      </c>
      <c r="Q175">
        <v>0</v>
      </c>
      <c r="R175" t="s">
        <v>47</v>
      </c>
      <c r="S175">
        <v>0</v>
      </c>
      <c r="T175" t="s">
        <v>47</v>
      </c>
    </row>
    <row r="176" spans="1:20" x14ac:dyDescent="0.35">
      <c r="A176" s="1" t="s">
        <v>408</v>
      </c>
      <c r="B176" t="s">
        <v>14</v>
      </c>
      <c r="C176" t="s">
        <v>47</v>
      </c>
      <c r="D176" t="s">
        <v>385</v>
      </c>
      <c r="E176">
        <v>0</v>
      </c>
      <c r="F176" t="s">
        <v>47</v>
      </c>
      <c r="G176">
        <v>0</v>
      </c>
      <c r="H176" t="s">
        <v>47</v>
      </c>
      <c r="I176">
        <v>0</v>
      </c>
      <c r="J176" t="s">
        <v>47</v>
      </c>
      <c r="K176">
        <v>1</v>
      </c>
      <c r="L176" t="s">
        <v>45</v>
      </c>
      <c r="M176">
        <v>0</v>
      </c>
      <c r="N176" t="s">
        <v>47</v>
      </c>
      <c r="O176">
        <v>0</v>
      </c>
      <c r="P176" t="s">
        <v>47</v>
      </c>
      <c r="Q176">
        <v>1</v>
      </c>
      <c r="R176" t="s">
        <v>45</v>
      </c>
      <c r="S176">
        <v>0</v>
      </c>
      <c r="T176" t="s">
        <v>47</v>
      </c>
    </row>
    <row r="177" spans="1:20" x14ac:dyDescent="0.35">
      <c r="A177" s="1" t="s">
        <v>409</v>
      </c>
      <c r="B177" t="s">
        <v>14</v>
      </c>
      <c r="C177" t="s">
        <v>47</v>
      </c>
      <c r="D177" t="s">
        <v>386</v>
      </c>
      <c r="E177">
        <v>0</v>
      </c>
      <c r="F177" t="s">
        <v>47</v>
      </c>
      <c r="G177">
        <v>0</v>
      </c>
      <c r="H177" t="s">
        <v>47</v>
      </c>
      <c r="I177">
        <v>0</v>
      </c>
      <c r="J177" t="s">
        <v>47</v>
      </c>
      <c r="K177">
        <v>1</v>
      </c>
      <c r="L177" t="s">
        <v>48</v>
      </c>
      <c r="M177">
        <v>0</v>
      </c>
      <c r="N177" t="s">
        <v>47</v>
      </c>
      <c r="O177">
        <v>1</v>
      </c>
      <c r="P177" t="s">
        <v>45</v>
      </c>
      <c r="Q177">
        <v>0</v>
      </c>
      <c r="R177" t="s">
        <v>47</v>
      </c>
      <c r="S177">
        <v>0</v>
      </c>
      <c r="T177" t="s">
        <v>47</v>
      </c>
    </row>
    <row r="178" spans="1:20" x14ac:dyDescent="0.35">
      <c r="A178" s="1" t="s">
        <v>410</v>
      </c>
      <c r="B178" t="s">
        <v>14</v>
      </c>
      <c r="C178" t="s">
        <v>47</v>
      </c>
      <c r="D178" t="s">
        <v>387</v>
      </c>
      <c r="E178">
        <v>0</v>
      </c>
      <c r="F178" t="s">
        <v>47</v>
      </c>
      <c r="G178">
        <v>0</v>
      </c>
      <c r="H178" t="s">
        <v>47</v>
      </c>
      <c r="I178">
        <v>0</v>
      </c>
      <c r="J178" t="s">
        <v>47</v>
      </c>
      <c r="K178">
        <v>1</v>
      </c>
      <c r="L178" t="s">
        <v>45</v>
      </c>
      <c r="M178">
        <v>0</v>
      </c>
      <c r="N178" t="s">
        <v>47</v>
      </c>
      <c r="O178">
        <v>0</v>
      </c>
      <c r="P178" t="s">
        <v>47</v>
      </c>
      <c r="Q178">
        <v>0</v>
      </c>
      <c r="R178" t="s">
        <v>47</v>
      </c>
      <c r="S178">
        <v>0</v>
      </c>
      <c r="T178" t="s">
        <v>47</v>
      </c>
    </row>
    <row r="179" spans="1:20" x14ac:dyDescent="0.35">
      <c r="A179" s="1" t="s">
        <v>411</v>
      </c>
      <c r="B179" t="s">
        <v>14</v>
      </c>
      <c r="C179" t="s">
        <v>47</v>
      </c>
      <c r="D179" t="s">
        <v>388</v>
      </c>
      <c r="E179">
        <v>1</v>
      </c>
      <c r="F179" t="s">
        <v>45</v>
      </c>
      <c r="G179">
        <v>0</v>
      </c>
      <c r="H179" t="s">
        <v>47</v>
      </c>
      <c r="I179">
        <v>0</v>
      </c>
      <c r="J179" t="s">
        <v>47</v>
      </c>
      <c r="K179">
        <v>1</v>
      </c>
      <c r="L179" t="s">
        <v>48</v>
      </c>
      <c r="M179">
        <v>0</v>
      </c>
      <c r="N179" t="s">
        <v>47</v>
      </c>
      <c r="O179">
        <v>0</v>
      </c>
      <c r="P179" t="s">
        <v>47</v>
      </c>
      <c r="Q179">
        <v>0</v>
      </c>
      <c r="R179" t="s">
        <v>47</v>
      </c>
      <c r="S179">
        <v>0</v>
      </c>
      <c r="T179" t="s">
        <v>47</v>
      </c>
    </row>
    <row r="180" spans="1:20" x14ac:dyDescent="0.35">
      <c r="A180" s="1" t="s">
        <v>412</v>
      </c>
      <c r="B180" t="s">
        <v>14</v>
      </c>
      <c r="C180" t="s">
        <v>47</v>
      </c>
      <c r="D180" t="s">
        <v>389</v>
      </c>
      <c r="E180">
        <v>0</v>
      </c>
      <c r="F180" t="s">
        <v>47</v>
      </c>
      <c r="G180">
        <v>0</v>
      </c>
      <c r="H180" t="s">
        <v>47</v>
      </c>
      <c r="I180">
        <v>0</v>
      </c>
      <c r="J180" t="s">
        <v>47</v>
      </c>
      <c r="K180">
        <v>1</v>
      </c>
      <c r="L180" t="s">
        <v>45</v>
      </c>
      <c r="M180">
        <v>0</v>
      </c>
      <c r="N180" t="s">
        <v>47</v>
      </c>
      <c r="O180">
        <v>0</v>
      </c>
      <c r="P180" t="s">
        <v>47</v>
      </c>
      <c r="Q180">
        <v>0</v>
      </c>
      <c r="R180" t="s">
        <v>47</v>
      </c>
      <c r="S180">
        <v>0</v>
      </c>
      <c r="T180" t="s">
        <v>47</v>
      </c>
    </row>
    <row r="181" spans="1:20" x14ac:dyDescent="0.35">
      <c r="A181" s="1" t="s">
        <v>413</v>
      </c>
      <c r="B181" t="s">
        <v>14</v>
      </c>
      <c r="C181" t="s">
        <v>47</v>
      </c>
      <c r="D181" t="s">
        <v>390</v>
      </c>
      <c r="E181">
        <v>0</v>
      </c>
      <c r="F181" t="s">
        <v>47</v>
      </c>
      <c r="G181">
        <v>0</v>
      </c>
      <c r="H181" t="s">
        <v>47</v>
      </c>
      <c r="I181">
        <v>0</v>
      </c>
      <c r="J181" t="s">
        <v>47</v>
      </c>
      <c r="K181">
        <v>1</v>
      </c>
      <c r="L181" t="s">
        <v>55</v>
      </c>
      <c r="M181">
        <v>0</v>
      </c>
      <c r="N181" t="s">
        <v>47</v>
      </c>
      <c r="O181">
        <v>0</v>
      </c>
      <c r="P181" t="s">
        <v>47</v>
      </c>
      <c r="Q181">
        <v>0</v>
      </c>
      <c r="R181" t="s">
        <v>47</v>
      </c>
      <c r="S181">
        <v>0</v>
      </c>
      <c r="T181" t="s">
        <v>47</v>
      </c>
    </row>
    <row r="182" spans="1:20" x14ac:dyDescent="0.35">
      <c r="A182" s="1" t="s">
        <v>414</v>
      </c>
      <c r="B182" t="s">
        <v>14</v>
      </c>
      <c r="C182" t="s">
        <v>47</v>
      </c>
      <c r="D182" t="s">
        <v>391</v>
      </c>
      <c r="E182">
        <v>1</v>
      </c>
      <c r="F182" t="s">
        <v>45</v>
      </c>
      <c r="G182">
        <v>1</v>
      </c>
      <c r="H182" t="s">
        <v>45</v>
      </c>
      <c r="I182">
        <v>0</v>
      </c>
      <c r="J182" t="s">
        <v>47</v>
      </c>
      <c r="K182">
        <v>0</v>
      </c>
      <c r="L182" t="s">
        <v>47</v>
      </c>
      <c r="M182">
        <v>1</v>
      </c>
      <c r="N182" t="s">
        <v>45</v>
      </c>
      <c r="O182">
        <v>1</v>
      </c>
      <c r="P182" t="s">
        <v>45</v>
      </c>
      <c r="Q182">
        <v>1</v>
      </c>
      <c r="R182" t="s">
        <v>45</v>
      </c>
      <c r="S182">
        <v>0</v>
      </c>
      <c r="T182" t="s">
        <v>47</v>
      </c>
    </row>
    <row r="183" spans="1:20" x14ac:dyDescent="0.35">
      <c r="A183" s="1" t="s">
        <v>415</v>
      </c>
      <c r="B183" t="s">
        <v>16</v>
      </c>
      <c r="C183" t="s">
        <v>47</v>
      </c>
      <c r="D183" t="s">
        <v>392</v>
      </c>
      <c r="E183">
        <v>0</v>
      </c>
      <c r="F183" t="s">
        <v>47</v>
      </c>
      <c r="G183">
        <v>1</v>
      </c>
      <c r="H183" t="s">
        <v>48</v>
      </c>
      <c r="I183">
        <v>0</v>
      </c>
      <c r="J183" t="s">
        <v>47</v>
      </c>
      <c r="K183">
        <v>0</v>
      </c>
      <c r="L183" t="s">
        <v>47</v>
      </c>
      <c r="M183">
        <v>0</v>
      </c>
      <c r="N183" t="s">
        <v>47</v>
      </c>
      <c r="O183">
        <v>0</v>
      </c>
      <c r="P183" t="s">
        <v>47</v>
      </c>
      <c r="Q183">
        <v>0</v>
      </c>
      <c r="R183" t="s">
        <v>47</v>
      </c>
      <c r="S183">
        <v>0</v>
      </c>
      <c r="T183" t="s">
        <v>47</v>
      </c>
    </row>
    <row r="184" spans="1:20" x14ac:dyDescent="0.35">
      <c r="A184" s="1" t="s">
        <v>416</v>
      </c>
      <c r="B184" t="s">
        <v>14</v>
      </c>
      <c r="C184" t="s">
        <v>47</v>
      </c>
      <c r="D184" t="s">
        <v>393</v>
      </c>
      <c r="E184">
        <v>1</v>
      </c>
      <c r="F184" t="s">
        <v>45</v>
      </c>
      <c r="G184">
        <v>0</v>
      </c>
      <c r="H184" t="s">
        <v>47</v>
      </c>
      <c r="I184">
        <v>0</v>
      </c>
      <c r="J184" t="s">
        <v>47</v>
      </c>
      <c r="K184">
        <v>0</v>
      </c>
      <c r="L184" t="s">
        <v>47</v>
      </c>
      <c r="M184">
        <v>0</v>
      </c>
      <c r="N184" t="s">
        <v>47</v>
      </c>
      <c r="O184">
        <v>0</v>
      </c>
      <c r="P184" t="s">
        <v>47</v>
      </c>
      <c r="Q184">
        <v>0</v>
      </c>
      <c r="R184" t="s">
        <v>47</v>
      </c>
      <c r="S184">
        <v>0</v>
      </c>
      <c r="T184" t="s">
        <v>47</v>
      </c>
    </row>
    <row r="185" spans="1:20" x14ac:dyDescent="0.35">
      <c r="A185" s="1" t="s">
        <v>417</v>
      </c>
      <c r="B185" t="s">
        <v>16</v>
      </c>
      <c r="C185" t="s">
        <v>47</v>
      </c>
      <c r="D185" t="s">
        <v>418</v>
      </c>
      <c r="E185">
        <v>0</v>
      </c>
      <c r="F185" t="s">
        <v>47</v>
      </c>
      <c r="G185">
        <v>1</v>
      </c>
      <c r="H185" t="s">
        <v>48</v>
      </c>
      <c r="I185">
        <v>0</v>
      </c>
      <c r="J185" t="s">
        <v>47</v>
      </c>
      <c r="K185">
        <v>0</v>
      </c>
      <c r="L185" t="s">
        <v>47</v>
      </c>
      <c r="M185">
        <v>0</v>
      </c>
      <c r="N185" t="s">
        <v>47</v>
      </c>
      <c r="O185">
        <v>0</v>
      </c>
      <c r="P185" t="s">
        <v>47</v>
      </c>
      <c r="Q185">
        <v>0</v>
      </c>
      <c r="R185" t="s">
        <v>47</v>
      </c>
      <c r="S185">
        <v>0</v>
      </c>
      <c r="T185" t="s">
        <v>47</v>
      </c>
    </row>
    <row r="186" spans="1:20" x14ac:dyDescent="0.35">
      <c r="A186" s="1" t="s">
        <v>466</v>
      </c>
      <c r="B186" t="s">
        <v>12</v>
      </c>
      <c r="C186">
        <v>5</v>
      </c>
      <c r="D186" t="s">
        <v>419</v>
      </c>
      <c r="E186">
        <v>0</v>
      </c>
      <c r="F186" t="s">
        <v>47</v>
      </c>
      <c r="G186">
        <v>0</v>
      </c>
      <c r="H186" t="s">
        <v>47</v>
      </c>
      <c r="I186">
        <v>0</v>
      </c>
      <c r="J186" t="s">
        <v>47</v>
      </c>
      <c r="K186">
        <v>1</v>
      </c>
      <c r="L186" t="s">
        <v>45</v>
      </c>
      <c r="M186">
        <v>0</v>
      </c>
      <c r="N186" t="s">
        <v>47</v>
      </c>
      <c r="O186">
        <v>0</v>
      </c>
      <c r="P186" t="s">
        <v>47</v>
      </c>
      <c r="Q186">
        <v>0</v>
      </c>
      <c r="R186" t="s">
        <v>47</v>
      </c>
      <c r="S186">
        <v>0</v>
      </c>
      <c r="T186" t="s">
        <v>47</v>
      </c>
    </row>
    <row r="187" spans="1:20" x14ac:dyDescent="0.35">
      <c r="A187" s="1" t="s">
        <v>467</v>
      </c>
      <c r="B187" t="s">
        <v>12</v>
      </c>
      <c r="C187">
        <v>3</v>
      </c>
      <c r="D187" t="s">
        <v>420</v>
      </c>
      <c r="E187">
        <v>1</v>
      </c>
      <c r="F187" t="s">
        <v>45</v>
      </c>
      <c r="G187">
        <v>0</v>
      </c>
      <c r="H187" t="s">
        <v>47</v>
      </c>
      <c r="I187">
        <v>0</v>
      </c>
      <c r="J187" t="s">
        <v>47</v>
      </c>
      <c r="K187">
        <v>1</v>
      </c>
      <c r="L187" t="s">
        <v>48</v>
      </c>
      <c r="M187">
        <v>0</v>
      </c>
      <c r="N187" t="s">
        <v>47</v>
      </c>
      <c r="O187">
        <v>0</v>
      </c>
      <c r="P187" t="s">
        <v>47</v>
      </c>
      <c r="Q187">
        <v>0</v>
      </c>
      <c r="R187" t="s">
        <v>47</v>
      </c>
      <c r="S187">
        <v>0</v>
      </c>
      <c r="T187" t="s">
        <v>47</v>
      </c>
    </row>
    <row r="188" spans="1:20" x14ac:dyDescent="0.35">
      <c r="A188" s="1" t="s">
        <v>468</v>
      </c>
      <c r="B188" t="s">
        <v>12</v>
      </c>
      <c r="C188">
        <v>5</v>
      </c>
      <c r="D188" t="s">
        <v>421</v>
      </c>
      <c r="E188">
        <v>0</v>
      </c>
      <c r="F188" t="s">
        <v>47</v>
      </c>
      <c r="G188">
        <v>0</v>
      </c>
      <c r="H188" t="s">
        <v>47</v>
      </c>
      <c r="I188">
        <v>0</v>
      </c>
      <c r="J188" t="s">
        <v>47</v>
      </c>
      <c r="K188">
        <v>1</v>
      </c>
      <c r="L188" t="s">
        <v>45</v>
      </c>
      <c r="M188">
        <v>0</v>
      </c>
      <c r="N188" t="s">
        <v>47</v>
      </c>
      <c r="O188">
        <v>0</v>
      </c>
      <c r="P188" t="s">
        <v>47</v>
      </c>
      <c r="Q188">
        <v>0</v>
      </c>
      <c r="R188" t="s">
        <v>47</v>
      </c>
      <c r="S188">
        <v>0</v>
      </c>
      <c r="T188" t="s">
        <v>47</v>
      </c>
    </row>
    <row r="189" spans="1:20" x14ac:dyDescent="0.35">
      <c r="A189" s="1" t="s">
        <v>469</v>
      </c>
      <c r="B189" t="s">
        <v>12</v>
      </c>
      <c r="C189">
        <v>2</v>
      </c>
      <c r="D189" t="s">
        <v>422</v>
      </c>
      <c r="E189">
        <v>0</v>
      </c>
      <c r="F189" t="s">
        <v>47</v>
      </c>
      <c r="G189">
        <v>0</v>
      </c>
      <c r="H189" t="s">
        <v>47</v>
      </c>
      <c r="I189">
        <v>0</v>
      </c>
      <c r="J189" t="s">
        <v>47</v>
      </c>
      <c r="K189">
        <v>1</v>
      </c>
      <c r="L189" t="s">
        <v>48</v>
      </c>
      <c r="M189">
        <v>0</v>
      </c>
      <c r="N189" t="s">
        <v>47</v>
      </c>
      <c r="O189">
        <v>0</v>
      </c>
      <c r="P189" t="s">
        <v>47</v>
      </c>
      <c r="Q189">
        <v>0</v>
      </c>
      <c r="R189" t="s">
        <v>47</v>
      </c>
      <c r="S189">
        <v>0</v>
      </c>
      <c r="T189" t="s">
        <v>47</v>
      </c>
    </row>
    <row r="190" spans="1:20" x14ac:dyDescent="0.35">
      <c r="A190" s="1" t="s">
        <v>470</v>
      </c>
      <c r="B190" t="s">
        <v>12</v>
      </c>
      <c r="C190">
        <v>5</v>
      </c>
      <c r="D190" t="s">
        <v>423</v>
      </c>
      <c r="E190">
        <v>0</v>
      </c>
      <c r="F190" t="s">
        <v>47</v>
      </c>
      <c r="G190">
        <v>0</v>
      </c>
      <c r="H190" t="s">
        <v>47</v>
      </c>
      <c r="I190">
        <v>0</v>
      </c>
      <c r="J190" t="s">
        <v>47</v>
      </c>
      <c r="K190">
        <v>1</v>
      </c>
      <c r="L190" t="s">
        <v>45</v>
      </c>
      <c r="M190">
        <v>0</v>
      </c>
      <c r="N190" t="s">
        <v>47</v>
      </c>
      <c r="O190">
        <v>0</v>
      </c>
      <c r="P190" t="s">
        <v>47</v>
      </c>
      <c r="Q190">
        <v>0</v>
      </c>
      <c r="R190" t="s">
        <v>47</v>
      </c>
      <c r="S190">
        <v>0</v>
      </c>
      <c r="T190" t="s">
        <v>47</v>
      </c>
    </row>
    <row r="191" spans="1:20" x14ac:dyDescent="0.35">
      <c r="A191" s="1" t="s">
        <v>471</v>
      </c>
      <c r="B191" t="s">
        <v>12</v>
      </c>
      <c r="C191">
        <v>4</v>
      </c>
      <c r="D191" t="s">
        <v>424</v>
      </c>
      <c r="E191">
        <v>0</v>
      </c>
      <c r="F191" t="s">
        <v>47</v>
      </c>
      <c r="G191">
        <v>1</v>
      </c>
      <c r="H191" t="s">
        <v>45</v>
      </c>
      <c r="I191">
        <v>0</v>
      </c>
      <c r="J191" t="s">
        <v>47</v>
      </c>
      <c r="K191">
        <v>1</v>
      </c>
      <c r="L191" t="s">
        <v>48</v>
      </c>
      <c r="M191">
        <v>0</v>
      </c>
      <c r="N191" t="s">
        <v>47</v>
      </c>
      <c r="O191">
        <v>1</v>
      </c>
      <c r="P191" t="s">
        <v>45</v>
      </c>
      <c r="Q191">
        <v>0</v>
      </c>
      <c r="R191" t="s">
        <v>47</v>
      </c>
      <c r="S191">
        <v>0</v>
      </c>
      <c r="T191" t="s">
        <v>47</v>
      </c>
    </row>
    <row r="192" spans="1:20" x14ac:dyDescent="0.35">
      <c r="A192" s="1" t="s">
        <v>472</v>
      </c>
      <c r="B192" t="s">
        <v>12</v>
      </c>
      <c r="C192">
        <v>5</v>
      </c>
      <c r="D192" t="s">
        <v>425</v>
      </c>
      <c r="E192">
        <v>0</v>
      </c>
      <c r="F192" t="s">
        <v>47</v>
      </c>
      <c r="G192">
        <v>0</v>
      </c>
      <c r="H192" t="s">
        <v>47</v>
      </c>
      <c r="I192">
        <v>0</v>
      </c>
      <c r="J192" t="s">
        <v>47</v>
      </c>
      <c r="K192">
        <v>1</v>
      </c>
      <c r="L192" t="s">
        <v>45</v>
      </c>
      <c r="M192">
        <v>0</v>
      </c>
      <c r="N192" t="s">
        <v>47</v>
      </c>
      <c r="O192">
        <v>0</v>
      </c>
      <c r="P192" t="s">
        <v>47</v>
      </c>
      <c r="Q192">
        <v>0</v>
      </c>
      <c r="R192" t="s">
        <v>47</v>
      </c>
      <c r="S192">
        <v>0</v>
      </c>
      <c r="T192" t="s">
        <v>47</v>
      </c>
    </row>
    <row r="193" spans="1:20" x14ac:dyDescent="0.35">
      <c r="A193" s="1" t="s">
        <v>473</v>
      </c>
      <c r="B193" t="s">
        <v>12</v>
      </c>
      <c r="C193">
        <v>4</v>
      </c>
      <c r="D193" t="s">
        <v>426</v>
      </c>
      <c r="E193">
        <v>1</v>
      </c>
      <c r="F193" t="s">
        <v>45</v>
      </c>
      <c r="G193">
        <v>0</v>
      </c>
      <c r="H193" t="s">
        <v>47</v>
      </c>
      <c r="I193">
        <v>0</v>
      </c>
      <c r="J193" t="s">
        <v>47</v>
      </c>
      <c r="K193">
        <v>1</v>
      </c>
      <c r="L193" t="s">
        <v>48</v>
      </c>
      <c r="M193">
        <v>0</v>
      </c>
      <c r="N193" t="s">
        <v>47</v>
      </c>
      <c r="O193">
        <v>0</v>
      </c>
      <c r="P193" t="s">
        <v>47</v>
      </c>
      <c r="Q193">
        <v>0</v>
      </c>
      <c r="R193" t="s">
        <v>47</v>
      </c>
      <c r="S193">
        <v>0</v>
      </c>
      <c r="T193" t="s">
        <v>47</v>
      </c>
    </row>
    <row r="194" spans="1:20" x14ac:dyDescent="0.35">
      <c r="A194" s="1" t="s">
        <v>474</v>
      </c>
      <c r="B194" t="s">
        <v>12</v>
      </c>
      <c r="C194">
        <v>5</v>
      </c>
      <c r="D194" t="s">
        <v>427</v>
      </c>
      <c r="E194">
        <v>0</v>
      </c>
      <c r="F194" t="s">
        <v>47</v>
      </c>
      <c r="G194">
        <v>0</v>
      </c>
      <c r="H194" t="s">
        <v>47</v>
      </c>
      <c r="I194">
        <v>0</v>
      </c>
      <c r="J194" t="s">
        <v>47</v>
      </c>
      <c r="K194">
        <v>1</v>
      </c>
      <c r="L194" t="s">
        <v>45</v>
      </c>
      <c r="M194">
        <v>0</v>
      </c>
      <c r="N194" t="s">
        <v>47</v>
      </c>
      <c r="O194">
        <v>0</v>
      </c>
      <c r="P194" t="s">
        <v>47</v>
      </c>
      <c r="Q194">
        <v>0</v>
      </c>
      <c r="R194" t="s">
        <v>47</v>
      </c>
      <c r="S194">
        <v>0</v>
      </c>
      <c r="T194" t="s">
        <v>47</v>
      </c>
    </row>
    <row r="195" spans="1:20" x14ac:dyDescent="0.35">
      <c r="A195" s="1" t="s">
        <v>475</v>
      </c>
      <c r="B195" t="s">
        <v>12</v>
      </c>
      <c r="C195">
        <v>3</v>
      </c>
      <c r="D195" t="s">
        <v>428</v>
      </c>
      <c r="E195">
        <v>0</v>
      </c>
      <c r="F195" t="s">
        <v>47</v>
      </c>
      <c r="G195">
        <v>0</v>
      </c>
      <c r="H195" t="s">
        <v>47</v>
      </c>
      <c r="I195">
        <v>0</v>
      </c>
      <c r="J195" t="s">
        <v>47</v>
      </c>
      <c r="K195">
        <v>1</v>
      </c>
      <c r="L195" t="s">
        <v>55</v>
      </c>
      <c r="M195">
        <v>0</v>
      </c>
      <c r="N195" t="s">
        <v>47</v>
      </c>
      <c r="O195">
        <v>0</v>
      </c>
      <c r="P195" t="s">
        <v>47</v>
      </c>
      <c r="Q195">
        <v>0</v>
      </c>
      <c r="R195" t="s">
        <v>47</v>
      </c>
      <c r="S195">
        <v>0</v>
      </c>
      <c r="T195" t="s">
        <v>47</v>
      </c>
    </row>
    <row r="196" spans="1:20" x14ac:dyDescent="0.35">
      <c r="A196" s="1" t="s">
        <v>476</v>
      </c>
      <c r="B196" t="s">
        <v>12</v>
      </c>
      <c r="C196">
        <v>5</v>
      </c>
      <c r="D196" t="s">
        <v>429</v>
      </c>
      <c r="E196">
        <v>0</v>
      </c>
      <c r="F196" t="s">
        <v>47</v>
      </c>
      <c r="G196">
        <v>0</v>
      </c>
      <c r="H196" t="s">
        <v>47</v>
      </c>
      <c r="I196">
        <v>0</v>
      </c>
      <c r="J196" t="s">
        <v>47</v>
      </c>
      <c r="K196">
        <v>1</v>
      </c>
      <c r="L196" t="s">
        <v>45</v>
      </c>
      <c r="M196">
        <v>0</v>
      </c>
      <c r="N196" t="s">
        <v>47</v>
      </c>
      <c r="O196">
        <v>0</v>
      </c>
      <c r="P196" t="s">
        <v>47</v>
      </c>
      <c r="Q196">
        <v>0</v>
      </c>
      <c r="R196" t="s">
        <v>47</v>
      </c>
      <c r="S196">
        <v>0</v>
      </c>
      <c r="T196" t="s">
        <v>47</v>
      </c>
    </row>
    <row r="197" spans="1:20" x14ac:dyDescent="0.35">
      <c r="A197" s="1" t="s">
        <v>477</v>
      </c>
      <c r="B197" t="s">
        <v>12</v>
      </c>
      <c r="C197">
        <v>4</v>
      </c>
      <c r="D197" t="s">
        <v>430</v>
      </c>
      <c r="E197">
        <v>1</v>
      </c>
      <c r="F197" t="s">
        <v>55</v>
      </c>
      <c r="G197">
        <v>0</v>
      </c>
      <c r="H197" t="s">
        <v>47</v>
      </c>
      <c r="I197">
        <v>0</v>
      </c>
      <c r="J197" t="s">
        <v>47</v>
      </c>
      <c r="K197">
        <v>1</v>
      </c>
      <c r="L197" t="s">
        <v>48</v>
      </c>
      <c r="M197">
        <v>0</v>
      </c>
      <c r="N197" t="s">
        <v>47</v>
      </c>
      <c r="O197">
        <v>0</v>
      </c>
      <c r="P197" t="s">
        <v>47</v>
      </c>
      <c r="Q197">
        <v>0</v>
      </c>
      <c r="R197" t="s">
        <v>47</v>
      </c>
      <c r="S197">
        <v>0</v>
      </c>
      <c r="T197" t="s">
        <v>47</v>
      </c>
    </row>
    <row r="198" spans="1:20" x14ac:dyDescent="0.35">
      <c r="A198" s="1" t="s">
        <v>478</v>
      </c>
      <c r="B198" t="s">
        <v>12</v>
      </c>
      <c r="C198">
        <v>5</v>
      </c>
      <c r="D198" t="s">
        <v>431</v>
      </c>
      <c r="E198">
        <v>0</v>
      </c>
      <c r="F198" t="s">
        <v>47</v>
      </c>
      <c r="G198">
        <v>1</v>
      </c>
      <c r="H198" t="s">
        <v>45</v>
      </c>
      <c r="I198">
        <v>0</v>
      </c>
      <c r="J198" t="s">
        <v>47</v>
      </c>
      <c r="K198">
        <v>1</v>
      </c>
      <c r="L198" t="s">
        <v>45</v>
      </c>
      <c r="M198">
        <v>0</v>
      </c>
      <c r="N198" t="s">
        <v>47</v>
      </c>
      <c r="O198">
        <v>0</v>
      </c>
      <c r="P198" t="s">
        <v>47</v>
      </c>
      <c r="Q198">
        <v>0</v>
      </c>
      <c r="R198" t="s">
        <v>47</v>
      </c>
      <c r="S198">
        <v>0</v>
      </c>
      <c r="T198" t="s">
        <v>47</v>
      </c>
    </row>
    <row r="199" spans="1:20" x14ac:dyDescent="0.35">
      <c r="A199" s="1" t="s">
        <v>479</v>
      </c>
      <c r="B199" t="s">
        <v>12</v>
      </c>
      <c r="C199">
        <v>3</v>
      </c>
      <c r="D199" t="s">
        <v>432</v>
      </c>
      <c r="E199">
        <v>0</v>
      </c>
      <c r="F199" t="s">
        <v>47</v>
      </c>
      <c r="G199">
        <v>0</v>
      </c>
      <c r="H199" t="s">
        <v>47</v>
      </c>
      <c r="I199">
        <v>0</v>
      </c>
      <c r="J199" t="s">
        <v>47</v>
      </c>
      <c r="K199">
        <v>1</v>
      </c>
      <c r="L199" t="s">
        <v>55</v>
      </c>
      <c r="M199">
        <v>0</v>
      </c>
      <c r="N199" t="s">
        <v>47</v>
      </c>
      <c r="O199">
        <v>0</v>
      </c>
      <c r="P199" t="s">
        <v>47</v>
      </c>
      <c r="Q199">
        <v>1</v>
      </c>
      <c r="R199" t="s">
        <v>48</v>
      </c>
      <c r="S199">
        <v>0</v>
      </c>
      <c r="T199" t="s">
        <v>47</v>
      </c>
    </row>
    <row r="200" spans="1:20" x14ac:dyDescent="0.35">
      <c r="A200" s="1" t="s">
        <v>480</v>
      </c>
      <c r="B200" t="s">
        <v>12</v>
      </c>
      <c r="C200">
        <v>5</v>
      </c>
      <c r="D200" t="s">
        <v>433</v>
      </c>
      <c r="E200">
        <v>0</v>
      </c>
      <c r="F200" t="s">
        <v>47</v>
      </c>
      <c r="G200">
        <v>0</v>
      </c>
      <c r="H200" t="s">
        <v>47</v>
      </c>
      <c r="I200">
        <v>0</v>
      </c>
      <c r="J200" t="s">
        <v>47</v>
      </c>
      <c r="K200">
        <v>1</v>
      </c>
      <c r="L200" t="s">
        <v>45</v>
      </c>
      <c r="M200">
        <v>0</v>
      </c>
      <c r="N200" t="s">
        <v>47</v>
      </c>
      <c r="O200">
        <v>0</v>
      </c>
      <c r="P200" t="s">
        <v>47</v>
      </c>
      <c r="Q200">
        <v>0</v>
      </c>
      <c r="R200" t="s">
        <v>47</v>
      </c>
      <c r="S200">
        <v>0</v>
      </c>
      <c r="T200" t="s">
        <v>47</v>
      </c>
    </row>
    <row r="201" spans="1:20" x14ac:dyDescent="0.35">
      <c r="A201" s="1" t="s">
        <v>481</v>
      </c>
      <c r="B201" t="s">
        <v>12</v>
      </c>
      <c r="C201">
        <v>4</v>
      </c>
      <c r="D201" t="s">
        <v>434</v>
      </c>
      <c r="E201">
        <v>1</v>
      </c>
      <c r="F201" t="s">
        <v>45</v>
      </c>
      <c r="G201">
        <v>0</v>
      </c>
      <c r="H201" t="s">
        <v>47</v>
      </c>
      <c r="I201">
        <v>0</v>
      </c>
      <c r="J201" t="s">
        <v>47</v>
      </c>
      <c r="K201">
        <v>1</v>
      </c>
      <c r="L201" t="s">
        <v>48</v>
      </c>
      <c r="M201">
        <v>0</v>
      </c>
      <c r="N201" t="s">
        <v>47</v>
      </c>
      <c r="O201">
        <v>0</v>
      </c>
      <c r="P201" t="s">
        <v>47</v>
      </c>
      <c r="Q201">
        <v>0</v>
      </c>
      <c r="R201" t="s">
        <v>47</v>
      </c>
      <c r="S201">
        <v>0</v>
      </c>
      <c r="T201" t="s">
        <v>47</v>
      </c>
    </row>
    <row r="202" spans="1:20" x14ac:dyDescent="0.35">
      <c r="A202" s="1" t="s">
        <v>482</v>
      </c>
      <c r="B202" t="s">
        <v>12</v>
      </c>
      <c r="C202">
        <v>5</v>
      </c>
      <c r="D202" t="s">
        <v>435</v>
      </c>
      <c r="E202">
        <v>0</v>
      </c>
      <c r="F202" t="s">
        <v>47</v>
      </c>
      <c r="G202">
        <v>0</v>
      </c>
      <c r="H202" t="s">
        <v>47</v>
      </c>
      <c r="I202">
        <v>0</v>
      </c>
      <c r="J202" t="s">
        <v>47</v>
      </c>
      <c r="K202">
        <v>1</v>
      </c>
      <c r="L202" t="s">
        <v>45</v>
      </c>
      <c r="M202">
        <v>0</v>
      </c>
      <c r="N202" t="s">
        <v>47</v>
      </c>
      <c r="O202">
        <v>0</v>
      </c>
      <c r="P202" t="s">
        <v>47</v>
      </c>
      <c r="Q202">
        <v>1</v>
      </c>
      <c r="R202" t="s">
        <v>45</v>
      </c>
      <c r="S202">
        <v>0</v>
      </c>
      <c r="T202" t="s">
        <v>47</v>
      </c>
    </row>
    <row r="203" spans="1:20" x14ac:dyDescent="0.35">
      <c r="A203" s="1" t="s">
        <v>483</v>
      </c>
      <c r="B203" t="s">
        <v>12</v>
      </c>
      <c r="C203">
        <v>2</v>
      </c>
      <c r="D203" t="s">
        <v>436</v>
      </c>
      <c r="E203">
        <v>0</v>
      </c>
      <c r="F203" t="s">
        <v>47</v>
      </c>
      <c r="G203">
        <v>0</v>
      </c>
      <c r="H203" t="s">
        <v>47</v>
      </c>
      <c r="I203">
        <v>0</v>
      </c>
      <c r="J203" t="s">
        <v>47</v>
      </c>
      <c r="K203">
        <v>1</v>
      </c>
      <c r="L203" t="s">
        <v>48</v>
      </c>
      <c r="M203">
        <v>0</v>
      </c>
      <c r="N203" t="s">
        <v>47</v>
      </c>
      <c r="O203">
        <v>0</v>
      </c>
      <c r="P203" t="s">
        <v>47</v>
      </c>
      <c r="Q203">
        <v>0</v>
      </c>
      <c r="R203" t="s">
        <v>47</v>
      </c>
      <c r="S203">
        <v>0</v>
      </c>
      <c r="T203" t="s">
        <v>47</v>
      </c>
    </row>
    <row r="204" spans="1:20" x14ac:dyDescent="0.35">
      <c r="A204" s="1" t="s">
        <v>484</v>
      </c>
      <c r="B204" t="s">
        <v>12</v>
      </c>
      <c r="C204">
        <v>5</v>
      </c>
      <c r="D204" t="s">
        <v>437</v>
      </c>
      <c r="E204">
        <v>0</v>
      </c>
      <c r="F204" t="s">
        <v>47</v>
      </c>
      <c r="G204">
        <v>1</v>
      </c>
      <c r="H204" t="s">
        <v>45</v>
      </c>
      <c r="I204">
        <v>0</v>
      </c>
      <c r="J204" t="s">
        <v>47</v>
      </c>
      <c r="K204">
        <v>1</v>
      </c>
      <c r="L204" t="s">
        <v>45</v>
      </c>
      <c r="M204">
        <v>0</v>
      </c>
      <c r="N204" t="s">
        <v>47</v>
      </c>
      <c r="O204">
        <v>0</v>
      </c>
      <c r="P204" t="s">
        <v>47</v>
      </c>
      <c r="Q204">
        <v>0</v>
      </c>
      <c r="R204" t="s">
        <v>47</v>
      </c>
      <c r="S204">
        <v>0</v>
      </c>
      <c r="T204" t="s">
        <v>47</v>
      </c>
    </row>
    <row r="205" spans="1:20" x14ac:dyDescent="0.35">
      <c r="A205" s="1" t="s">
        <v>485</v>
      </c>
      <c r="B205" t="s">
        <v>12</v>
      </c>
      <c r="C205">
        <v>3</v>
      </c>
      <c r="D205" t="s">
        <v>438</v>
      </c>
      <c r="E205">
        <v>0</v>
      </c>
      <c r="F205" t="s">
        <v>47</v>
      </c>
      <c r="G205">
        <v>0</v>
      </c>
      <c r="H205" t="s">
        <v>47</v>
      </c>
      <c r="I205">
        <v>0</v>
      </c>
      <c r="J205" t="s">
        <v>47</v>
      </c>
      <c r="K205">
        <v>1</v>
      </c>
      <c r="L205" t="s">
        <v>48</v>
      </c>
      <c r="M205">
        <v>0</v>
      </c>
      <c r="N205" t="s">
        <v>47</v>
      </c>
      <c r="O205">
        <v>0</v>
      </c>
      <c r="P205" t="s">
        <v>47</v>
      </c>
      <c r="Q205">
        <v>1</v>
      </c>
      <c r="R205" t="s">
        <v>45</v>
      </c>
      <c r="S205">
        <v>0</v>
      </c>
      <c r="T205" t="s">
        <v>47</v>
      </c>
    </row>
    <row r="206" spans="1:20" x14ac:dyDescent="0.35">
      <c r="A206" s="1" t="s">
        <v>486</v>
      </c>
      <c r="B206" t="s">
        <v>14</v>
      </c>
      <c r="C206">
        <v>1</v>
      </c>
      <c r="D206" t="s">
        <v>439</v>
      </c>
      <c r="E206">
        <v>1</v>
      </c>
      <c r="F206" t="s">
        <v>48</v>
      </c>
      <c r="G206">
        <v>0</v>
      </c>
      <c r="H206" t="s">
        <v>47</v>
      </c>
      <c r="I206">
        <v>0</v>
      </c>
      <c r="J206" t="s">
        <v>47</v>
      </c>
      <c r="K206">
        <v>0</v>
      </c>
      <c r="L206" t="s">
        <v>47</v>
      </c>
      <c r="M206">
        <v>1</v>
      </c>
      <c r="N206" t="s">
        <v>48</v>
      </c>
      <c r="O206">
        <v>0</v>
      </c>
      <c r="P206" t="s">
        <v>47</v>
      </c>
      <c r="Q206">
        <v>0</v>
      </c>
      <c r="R206" t="s">
        <v>47</v>
      </c>
      <c r="S206">
        <v>0</v>
      </c>
      <c r="T206" t="s">
        <v>47</v>
      </c>
    </row>
    <row r="207" spans="1:20" x14ac:dyDescent="0.35">
      <c r="A207" s="1" t="s">
        <v>487</v>
      </c>
      <c r="B207" t="s">
        <v>14</v>
      </c>
      <c r="C207">
        <v>5</v>
      </c>
      <c r="D207" t="s">
        <v>440</v>
      </c>
      <c r="E207">
        <v>0</v>
      </c>
      <c r="F207" t="s">
        <v>47</v>
      </c>
      <c r="G207">
        <v>0</v>
      </c>
      <c r="H207" t="s">
        <v>47</v>
      </c>
      <c r="I207">
        <v>0</v>
      </c>
      <c r="J207" t="s">
        <v>47</v>
      </c>
      <c r="K207">
        <v>0</v>
      </c>
      <c r="L207" t="s">
        <v>47</v>
      </c>
      <c r="M207">
        <v>0</v>
      </c>
      <c r="N207" t="s">
        <v>47</v>
      </c>
      <c r="O207">
        <v>1</v>
      </c>
      <c r="P207" t="s">
        <v>45</v>
      </c>
      <c r="Q207">
        <v>0</v>
      </c>
      <c r="R207" t="s">
        <v>47</v>
      </c>
      <c r="S207">
        <v>0</v>
      </c>
      <c r="T207" t="s">
        <v>47</v>
      </c>
    </row>
    <row r="208" spans="1:20" x14ac:dyDescent="0.35">
      <c r="A208" s="1" t="s">
        <v>488</v>
      </c>
      <c r="B208" t="s">
        <v>14</v>
      </c>
      <c r="C208">
        <v>5</v>
      </c>
      <c r="D208" t="s">
        <v>441</v>
      </c>
      <c r="E208">
        <v>0</v>
      </c>
      <c r="F208" t="s">
        <v>47</v>
      </c>
      <c r="G208">
        <v>0</v>
      </c>
      <c r="H208" t="s">
        <v>47</v>
      </c>
      <c r="I208">
        <v>0</v>
      </c>
      <c r="J208" t="s">
        <v>47</v>
      </c>
      <c r="K208">
        <v>0</v>
      </c>
      <c r="L208" t="s">
        <v>47</v>
      </c>
      <c r="M208">
        <v>0</v>
      </c>
      <c r="N208" t="s">
        <v>47</v>
      </c>
      <c r="O208">
        <v>0</v>
      </c>
      <c r="P208" t="s">
        <v>47</v>
      </c>
      <c r="Q208">
        <v>1</v>
      </c>
      <c r="R208" t="s">
        <v>45</v>
      </c>
      <c r="S208">
        <v>0</v>
      </c>
      <c r="T208" t="s">
        <v>47</v>
      </c>
    </row>
    <row r="209" spans="1:20" x14ac:dyDescent="0.35">
      <c r="A209" s="1" t="s">
        <v>489</v>
      </c>
      <c r="B209" t="s">
        <v>14</v>
      </c>
      <c r="C209">
        <v>4</v>
      </c>
      <c r="D209" t="s">
        <v>442</v>
      </c>
      <c r="E209">
        <v>1</v>
      </c>
      <c r="F209" t="s">
        <v>45</v>
      </c>
      <c r="G209">
        <v>0</v>
      </c>
      <c r="H209" t="s">
        <v>47</v>
      </c>
      <c r="I209">
        <v>0</v>
      </c>
      <c r="J209" t="s">
        <v>47</v>
      </c>
      <c r="K209">
        <v>0</v>
      </c>
      <c r="L209" t="s">
        <v>47</v>
      </c>
      <c r="M209">
        <v>0</v>
      </c>
      <c r="N209" t="s">
        <v>47</v>
      </c>
      <c r="O209">
        <v>0</v>
      </c>
      <c r="P209" t="s">
        <v>47</v>
      </c>
      <c r="Q209">
        <v>0</v>
      </c>
      <c r="R209" t="s">
        <v>47</v>
      </c>
      <c r="S209">
        <v>0</v>
      </c>
      <c r="T209" t="s">
        <v>47</v>
      </c>
    </row>
    <row r="210" spans="1:20" x14ac:dyDescent="0.35">
      <c r="A210" s="1" t="s">
        <v>490</v>
      </c>
      <c r="B210" t="s">
        <v>16</v>
      </c>
      <c r="C210">
        <v>1</v>
      </c>
      <c r="D210" t="s">
        <v>443</v>
      </c>
      <c r="E210">
        <v>1</v>
      </c>
      <c r="F210" t="s">
        <v>48</v>
      </c>
      <c r="G210">
        <v>0</v>
      </c>
      <c r="H210" t="s">
        <v>47</v>
      </c>
      <c r="I210">
        <v>0</v>
      </c>
      <c r="J210" t="s">
        <v>47</v>
      </c>
      <c r="K210">
        <v>0</v>
      </c>
      <c r="L210" t="s">
        <v>47</v>
      </c>
      <c r="M210">
        <v>0</v>
      </c>
      <c r="N210" t="s">
        <v>47</v>
      </c>
      <c r="O210">
        <v>0</v>
      </c>
      <c r="P210" t="s">
        <v>47</v>
      </c>
      <c r="Q210">
        <v>0</v>
      </c>
      <c r="R210" t="s">
        <v>47</v>
      </c>
      <c r="S210">
        <v>0</v>
      </c>
      <c r="T210" t="s">
        <v>47</v>
      </c>
    </row>
    <row r="211" spans="1:20" x14ac:dyDescent="0.35">
      <c r="A211" s="1" t="s">
        <v>491</v>
      </c>
      <c r="B211" t="s">
        <v>16</v>
      </c>
      <c r="C211">
        <v>1</v>
      </c>
      <c r="D211" t="s">
        <v>444</v>
      </c>
      <c r="E211">
        <v>1</v>
      </c>
      <c r="F211" t="s">
        <v>48</v>
      </c>
      <c r="G211">
        <v>0</v>
      </c>
      <c r="H211" t="s">
        <v>47</v>
      </c>
      <c r="I211">
        <v>0</v>
      </c>
      <c r="J211" t="s">
        <v>47</v>
      </c>
      <c r="K211">
        <v>1</v>
      </c>
      <c r="L211" t="s">
        <v>48</v>
      </c>
      <c r="M211">
        <v>0</v>
      </c>
      <c r="N211" t="s">
        <v>47</v>
      </c>
      <c r="O211">
        <v>0</v>
      </c>
      <c r="P211" t="s">
        <v>47</v>
      </c>
      <c r="Q211">
        <v>0</v>
      </c>
      <c r="R211" t="s">
        <v>47</v>
      </c>
      <c r="S211">
        <v>0</v>
      </c>
      <c r="T211" t="s">
        <v>47</v>
      </c>
    </row>
    <row r="212" spans="1:20" x14ac:dyDescent="0.35">
      <c r="A212" s="1" t="s">
        <v>492</v>
      </c>
      <c r="B212" t="s">
        <v>16</v>
      </c>
      <c r="C212">
        <v>3</v>
      </c>
      <c r="D212" t="s">
        <v>445</v>
      </c>
      <c r="E212">
        <v>1</v>
      </c>
      <c r="F212" t="s">
        <v>55</v>
      </c>
      <c r="G212">
        <v>0</v>
      </c>
      <c r="H212" t="s">
        <v>47</v>
      </c>
      <c r="I212">
        <v>0</v>
      </c>
      <c r="J212" t="s">
        <v>47</v>
      </c>
      <c r="K212">
        <v>0</v>
      </c>
      <c r="L212" t="s">
        <v>47</v>
      </c>
      <c r="M212">
        <v>0</v>
      </c>
      <c r="N212" t="s">
        <v>47</v>
      </c>
      <c r="O212">
        <v>0</v>
      </c>
      <c r="P212" t="s">
        <v>47</v>
      </c>
      <c r="Q212">
        <v>0</v>
      </c>
      <c r="R212" t="s">
        <v>47</v>
      </c>
      <c r="S212">
        <v>0</v>
      </c>
      <c r="T212" t="s">
        <v>47</v>
      </c>
    </row>
    <row r="213" spans="1:20" x14ac:dyDescent="0.35">
      <c r="A213" s="1" t="s">
        <v>493</v>
      </c>
      <c r="B213" t="s">
        <v>16</v>
      </c>
      <c r="C213">
        <v>1</v>
      </c>
      <c r="D213" t="s">
        <v>446</v>
      </c>
      <c r="E213">
        <v>0</v>
      </c>
      <c r="F213" t="s">
        <v>47</v>
      </c>
      <c r="G213">
        <v>0</v>
      </c>
      <c r="H213" t="s">
        <v>47</v>
      </c>
      <c r="I213">
        <v>0</v>
      </c>
      <c r="J213" t="s">
        <v>47</v>
      </c>
      <c r="K213">
        <v>1</v>
      </c>
      <c r="L213" t="s">
        <v>48</v>
      </c>
      <c r="M213">
        <v>0</v>
      </c>
      <c r="N213" t="s">
        <v>47</v>
      </c>
      <c r="O213">
        <v>0</v>
      </c>
      <c r="P213" t="s">
        <v>47</v>
      </c>
      <c r="Q213">
        <v>0</v>
      </c>
      <c r="R213" t="s">
        <v>47</v>
      </c>
      <c r="S213">
        <v>0</v>
      </c>
      <c r="T213" t="s">
        <v>47</v>
      </c>
    </row>
    <row r="214" spans="1:20" x14ac:dyDescent="0.35">
      <c r="A214" s="1" t="s">
        <v>494</v>
      </c>
      <c r="B214" t="s">
        <v>12</v>
      </c>
      <c r="C214">
        <v>1</v>
      </c>
      <c r="D214" t="s">
        <v>447</v>
      </c>
      <c r="E214">
        <v>1</v>
      </c>
      <c r="F214" t="s">
        <v>48</v>
      </c>
      <c r="G214">
        <v>1</v>
      </c>
      <c r="H214" t="s">
        <v>48</v>
      </c>
      <c r="I214">
        <v>0</v>
      </c>
      <c r="J214" t="s">
        <v>47</v>
      </c>
      <c r="K214">
        <v>1</v>
      </c>
      <c r="L214" t="s">
        <v>48</v>
      </c>
      <c r="M214">
        <v>0</v>
      </c>
      <c r="N214" t="s">
        <v>47</v>
      </c>
      <c r="O214">
        <v>0</v>
      </c>
      <c r="P214" t="s">
        <v>47</v>
      </c>
      <c r="Q214">
        <v>0</v>
      </c>
      <c r="R214" t="s">
        <v>47</v>
      </c>
      <c r="S214">
        <v>0</v>
      </c>
      <c r="T214" t="s">
        <v>47</v>
      </c>
    </row>
    <row r="215" spans="1:20" x14ac:dyDescent="0.35">
      <c r="A215" s="1" t="s">
        <v>495</v>
      </c>
      <c r="B215" t="s">
        <v>12</v>
      </c>
      <c r="C215">
        <v>1</v>
      </c>
      <c r="D215" t="s">
        <v>448</v>
      </c>
      <c r="E215">
        <v>0</v>
      </c>
      <c r="F215" t="s">
        <v>47</v>
      </c>
      <c r="G215">
        <v>1</v>
      </c>
      <c r="H215" t="s">
        <v>48</v>
      </c>
      <c r="I215">
        <v>0</v>
      </c>
      <c r="J215" t="s">
        <v>47</v>
      </c>
      <c r="K215">
        <v>0</v>
      </c>
      <c r="L215" t="s">
        <v>47</v>
      </c>
      <c r="M215">
        <v>0</v>
      </c>
      <c r="N215" t="s">
        <v>47</v>
      </c>
      <c r="O215">
        <v>0</v>
      </c>
      <c r="P215" t="s">
        <v>47</v>
      </c>
      <c r="Q215">
        <v>0</v>
      </c>
      <c r="R215" t="s">
        <v>47</v>
      </c>
      <c r="S215">
        <v>0</v>
      </c>
      <c r="T215" t="s">
        <v>47</v>
      </c>
    </row>
    <row r="216" spans="1:20" x14ac:dyDescent="0.35">
      <c r="A216" s="1" t="s">
        <v>496</v>
      </c>
      <c r="B216" t="s">
        <v>14</v>
      </c>
      <c r="C216">
        <v>5</v>
      </c>
      <c r="D216" t="s">
        <v>449</v>
      </c>
      <c r="E216">
        <v>1</v>
      </c>
      <c r="F216" t="s">
        <v>45</v>
      </c>
      <c r="G216">
        <v>0</v>
      </c>
      <c r="H216" t="s">
        <v>47</v>
      </c>
      <c r="I216">
        <v>0</v>
      </c>
      <c r="J216" t="s">
        <v>47</v>
      </c>
      <c r="K216">
        <v>0</v>
      </c>
      <c r="L216" t="s">
        <v>47</v>
      </c>
      <c r="M216">
        <v>0</v>
      </c>
      <c r="N216" t="s">
        <v>47</v>
      </c>
      <c r="O216">
        <v>0</v>
      </c>
      <c r="P216" t="s">
        <v>47</v>
      </c>
      <c r="Q216">
        <v>0</v>
      </c>
      <c r="R216" t="s">
        <v>47</v>
      </c>
      <c r="S216">
        <v>0</v>
      </c>
      <c r="T216" t="s">
        <v>47</v>
      </c>
    </row>
    <row r="217" spans="1:20" x14ac:dyDescent="0.35">
      <c r="A217" s="1" t="s">
        <v>497</v>
      </c>
      <c r="B217" t="s">
        <v>12</v>
      </c>
      <c r="C217">
        <v>5</v>
      </c>
      <c r="D217" t="s">
        <v>450</v>
      </c>
      <c r="E217">
        <v>1</v>
      </c>
      <c r="F217" t="s">
        <v>45</v>
      </c>
      <c r="G217">
        <v>1</v>
      </c>
      <c r="H217" t="s">
        <v>45</v>
      </c>
      <c r="I217">
        <v>0</v>
      </c>
      <c r="J217" t="s">
        <v>47</v>
      </c>
      <c r="K217">
        <v>0</v>
      </c>
      <c r="L217" t="s">
        <v>47</v>
      </c>
      <c r="M217">
        <v>0</v>
      </c>
      <c r="N217" t="s">
        <v>47</v>
      </c>
      <c r="O217">
        <v>0</v>
      </c>
      <c r="P217" t="s">
        <v>47</v>
      </c>
      <c r="Q217">
        <v>0</v>
      </c>
      <c r="R217" t="s">
        <v>47</v>
      </c>
      <c r="S217">
        <v>0</v>
      </c>
      <c r="T217" t="s">
        <v>47</v>
      </c>
    </row>
    <row r="218" spans="1:20" x14ac:dyDescent="0.35">
      <c r="A218" s="1" t="s">
        <v>498</v>
      </c>
      <c r="B218" t="s">
        <v>12</v>
      </c>
      <c r="C218">
        <v>1</v>
      </c>
      <c r="D218" t="s">
        <v>451</v>
      </c>
      <c r="E218">
        <v>1</v>
      </c>
      <c r="F218" t="s">
        <v>55</v>
      </c>
      <c r="G218">
        <v>1</v>
      </c>
      <c r="H218" t="s">
        <v>48</v>
      </c>
      <c r="I218">
        <v>0</v>
      </c>
      <c r="J218" t="s">
        <v>47</v>
      </c>
      <c r="K218">
        <v>0</v>
      </c>
      <c r="L218" t="s">
        <v>47</v>
      </c>
      <c r="M218">
        <v>0</v>
      </c>
      <c r="N218" t="s">
        <v>47</v>
      </c>
      <c r="O218">
        <v>1</v>
      </c>
      <c r="P218" t="s">
        <v>48</v>
      </c>
      <c r="Q218">
        <v>0</v>
      </c>
      <c r="R218" t="s">
        <v>47</v>
      </c>
      <c r="S218">
        <v>0</v>
      </c>
      <c r="T218" t="s">
        <v>47</v>
      </c>
    </row>
    <row r="219" spans="1:20" x14ac:dyDescent="0.35">
      <c r="A219" s="1" t="s">
        <v>499</v>
      </c>
      <c r="B219" t="s">
        <v>12</v>
      </c>
      <c r="C219">
        <v>3</v>
      </c>
      <c r="D219" t="s">
        <v>452</v>
      </c>
      <c r="E219">
        <v>1</v>
      </c>
      <c r="F219" t="s">
        <v>55</v>
      </c>
      <c r="G219">
        <v>0</v>
      </c>
      <c r="H219" t="s">
        <v>47</v>
      </c>
      <c r="I219">
        <v>0</v>
      </c>
      <c r="J219" t="s">
        <v>47</v>
      </c>
      <c r="K219">
        <v>0</v>
      </c>
      <c r="L219" t="s">
        <v>47</v>
      </c>
      <c r="M219">
        <v>0</v>
      </c>
      <c r="N219" t="s">
        <v>47</v>
      </c>
      <c r="O219">
        <v>1</v>
      </c>
      <c r="P219" t="s">
        <v>48</v>
      </c>
      <c r="Q219">
        <v>0</v>
      </c>
      <c r="R219" t="s">
        <v>47</v>
      </c>
      <c r="S219">
        <v>0</v>
      </c>
      <c r="T219" t="s">
        <v>47</v>
      </c>
    </row>
    <row r="220" spans="1:20" x14ac:dyDescent="0.35">
      <c r="A220" s="1" t="s">
        <v>500</v>
      </c>
      <c r="B220" t="s">
        <v>12</v>
      </c>
      <c r="C220">
        <v>3</v>
      </c>
      <c r="D220" t="s">
        <v>453</v>
      </c>
      <c r="E220">
        <v>0</v>
      </c>
      <c r="F220" t="s">
        <v>47</v>
      </c>
      <c r="G220">
        <v>1</v>
      </c>
      <c r="H220" t="s">
        <v>48</v>
      </c>
      <c r="I220">
        <v>0</v>
      </c>
      <c r="J220" t="s">
        <v>47</v>
      </c>
      <c r="K220">
        <v>0</v>
      </c>
      <c r="L220" t="s">
        <v>47</v>
      </c>
      <c r="M220">
        <v>0</v>
      </c>
      <c r="N220" t="s">
        <v>47</v>
      </c>
      <c r="O220">
        <v>0</v>
      </c>
      <c r="P220" t="s">
        <v>47</v>
      </c>
      <c r="Q220">
        <v>0</v>
      </c>
      <c r="R220" t="s">
        <v>47</v>
      </c>
      <c r="S220">
        <v>0</v>
      </c>
      <c r="T220" t="s">
        <v>47</v>
      </c>
    </row>
    <row r="221" spans="1:20" x14ac:dyDescent="0.35">
      <c r="A221" s="1" t="s">
        <v>501</v>
      </c>
      <c r="B221" t="s">
        <v>12</v>
      </c>
      <c r="C221">
        <v>1</v>
      </c>
      <c r="D221" t="s">
        <v>454</v>
      </c>
      <c r="E221">
        <v>1</v>
      </c>
      <c r="F221" t="s">
        <v>48</v>
      </c>
      <c r="G221">
        <v>1</v>
      </c>
      <c r="H221" t="s">
        <v>48</v>
      </c>
      <c r="I221">
        <v>0</v>
      </c>
      <c r="J221" t="s">
        <v>47</v>
      </c>
      <c r="K221">
        <v>0</v>
      </c>
      <c r="L221" t="s">
        <v>47</v>
      </c>
      <c r="M221">
        <v>0</v>
      </c>
      <c r="N221" t="s">
        <v>47</v>
      </c>
      <c r="O221">
        <v>1</v>
      </c>
      <c r="P221" t="s">
        <v>48</v>
      </c>
      <c r="Q221">
        <v>0</v>
      </c>
      <c r="R221" t="s">
        <v>47</v>
      </c>
      <c r="S221">
        <v>0</v>
      </c>
      <c r="T221" t="s">
        <v>47</v>
      </c>
    </row>
    <row r="222" spans="1:20" x14ac:dyDescent="0.35">
      <c r="A222" s="1" t="s">
        <v>502</v>
      </c>
      <c r="B222" t="s">
        <v>14</v>
      </c>
      <c r="C222">
        <v>5</v>
      </c>
      <c r="D222" t="s">
        <v>455</v>
      </c>
      <c r="E222">
        <v>1</v>
      </c>
      <c r="F222" t="s">
        <v>45</v>
      </c>
      <c r="G222">
        <v>0</v>
      </c>
      <c r="H222" t="s">
        <v>47</v>
      </c>
      <c r="I222">
        <v>0</v>
      </c>
      <c r="J222" t="s">
        <v>47</v>
      </c>
      <c r="K222">
        <v>0</v>
      </c>
      <c r="L222" t="s">
        <v>47</v>
      </c>
      <c r="M222">
        <v>1</v>
      </c>
      <c r="N222" t="s">
        <v>45</v>
      </c>
      <c r="O222">
        <v>0</v>
      </c>
      <c r="P222" t="s">
        <v>47</v>
      </c>
      <c r="Q222">
        <v>1</v>
      </c>
      <c r="R222" t="s">
        <v>45</v>
      </c>
      <c r="S222">
        <v>0</v>
      </c>
      <c r="T222" t="s">
        <v>47</v>
      </c>
    </row>
    <row r="223" spans="1:20" x14ac:dyDescent="0.35">
      <c r="A223" s="1" t="s">
        <v>503</v>
      </c>
      <c r="B223" t="s">
        <v>14</v>
      </c>
      <c r="C223">
        <v>5</v>
      </c>
      <c r="D223" t="s">
        <v>456</v>
      </c>
      <c r="E223">
        <v>1</v>
      </c>
      <c r="F223" t="s">
        <v>45</v>
      </c>
      <c r="G223">
        <v>1</v>
      </c>
      <c r="H223" t="s">
        <v>45</v>
      </c>
      <c r="I223">
        <v>0</v>
      </c>
      <c r="J223" t="s">
        <v>47</v>
      </c>
      <c r="K223">
        <v>0</v>
      </c>
      <c r="L223" t="s">
        <v>47</v>
      </c>
      <c r="M223">
        <v>0</v>
      </c>
      <c r="N223" t="s">
        <v>47</v>
      </c>
      <c r="O223">
        <v>0</v>
      </c>
      <c r="P223" t="s">
        <v>47</v>
      </c>
      <c r="Q223">
        <v>0</v>
      </c>
      <c r="R223" t="s">
        <v>47</v>
      </c>
      <c r="S223">
        <v>0</v>
      </c>
      <c r="T223" t="s">
        <v>47</v>
      </c>
    </row>
    <row r="224" spans="1:20" x14ac:dyDescent="0.35">
      <c r="A224" s="1" t="s">
        <v>504</v>
      </c>
      <c r="B224" t="s">
        <v>12</v>
      </c>
      <c r="C224">
        <v>1</v>
      </c>
      <c r="D224" t="s">
        <v>457</v>
      </c>
      <c r="E224">
        <v>1</v>
      </c>
      <c r="F224" t="s">
        <v>48</v>
      </c>
      <c r="G224">
        <v>0</v>
      </c>
      <c r="H224" t="s">
        <v>47</v>
      </c>
      <c r="I224">
        <v>0</v>
      </c>
      <c r="J224" t="s">
        <v>47</v>
      </c>
      <c r="K224">
        <v>1</v>
      </c>
      <c r="L224" t="s">
        <v>48</v>
      </c>
      <c r="M224">
        <v>0</v>
      </c>
      <c r="N224" t="s">
        <v>47</v>
      </c>
      <c r="O224">
        <v>0</v>
      </c>
      <c r="P224" t="s">
        <v>47</v>
      </c>
      <c r="Q224">
        <v>0</v>
      </c>
      <c r="R224" t="s">
        <v>47</v>
      </c>
      <c r="S224">
        <v>0</v>
      </c>
      <c r="T224" t="s">
        <v>47</v>
      </c>
    </row>
    <row r="225" spans="1:20" x14ac:dyDescent="0.35">
      <c r="A225" s="1" t="s">
        <v>505</v>
      </c>
      <c r="B225" t="s">
        <v>12</v>
      </c>
      <c r="C225">
        <v>1</v>
      </c>
      <c r="D225" t="s">
        <v>458</v>
      </c>
      <c r="E225">
        <v>1</v>
      </c>
      <c r="F225" t="s">
        <v>48</v>
      </c>
      <c r="G225">
        <v>1</v>
      </c>
      <c r="H225" t="s">
        <v>48</v>
      </c>
      <c r="I225">
        <v>0</v>
      </c>
      <c r="J225" t="s">
        <v>47</v>
      </c>
      <c r="K225">
        <v>1</v>
      </c>
      <c r="L225" t="s">
        <v>48</v>
      </c>
      <c r="M225">
        <v>0</v>
      </c>
      <c r="N225" t="s">
        <v>47</v>
      </c>
      <c r="O225">
        <v>0</v>
      </c>
      <c r="P225" t="s">
        <v>47</v>
      </c>
      <c r="Q225">
        <v>0</v>
      </c>
      <c r="R225" t="s">
        <v>47</v>
      </c>
      <c r="S225">
        <v>0</v>
      </c>
      <c r="T225" t="s">
        <v>47</v>
      </c>
    </row>
    <row r="226" spans="1:20" x14ac:dyDescent="0.35">
      <c r="A226" s="1" t="s">
        <v>506</v>
      </c>
      <c r="B226" t="s">
        <v>16</v>
      </c>
      <c r="C226">
        <v>1</v>
      </c>
      <c r="D226" t="s">
        <v>459</v>
      </c>
      <c r="E226">
        <v>1</v>
      </c>
      <c r="F226" t="s">
        <v>48</v>
      </c>
      <c r="G226">
        <v>1</v>
      </c>
      <c r="H226" t="s">
        <v>48</v>
      </c>
      <c r="I226">
        <v>0</v>
      </c>
      <c r="J226" t="s">
        <v>47</v>
      </c>
      <c r="K226">
        <v>0</v>
      </c>
      <c r="L226" t="s">
        <v>47</v>
      </c>
      <c r="M226">
        <v>0</v>
      </c>
      <c r="N226" t="s">
        <v>47</v>
      </c>
      <c r="O226">
        <v>1</v>
      </c>
      <c r="P226" t="s">
        <v>48</v>
      </c>
      <c r="Q226">
        <v>1</v>
      </c>
      <c r="R226" t="s">
        <v>48</v>
      </c>
      <c r="S226">
        <v>0</v>
      </c>
      <c r="T226" t="s">
        <v>47</v>
      </c>
    </row>
    <row r="227" spans="1:20" x14ac:dyDescent="0.35">
      <c r="A227" s="1" t="s">
        <v>507</v>
      </c>
      <c r="B227" t="s">
        <v>14</v>
      </c>
      <c r="C227">
        <v>1</v>
      </c>
      <c r="D227" t="s">
        <v>460</v>
      </c>
      <c r="E227">
        <v>0</v>
      </c>
      <c r="F227" t="s">
        <v>47</v>
      </c>
      <c r="G227">
        <v>0</v>
      </c>
      <c r="H227" t="s">
        <v>47</v>
      </c>
      <c r="I227">
        <v>0</v>
      </c>
      <c r="J227" t="s">
        <v>47</v>
      </c>
      <c r="K227">
        <v>1</v>
      </c>
      <c r="L227" t="s">
        <v>48</v>
      </c>
      <c r="M227">
        <v>0</v>
      </c>
      <c r="N227" t="s">
        <v>47</v>
      </c>
      <c r="O227">
        <v>1</v>
      </c>
      <c r="P227" t="s">
        <v>48</v>
      </c>
      <c r="Q227">
        <v>0</v>
      </c>
      <c r="R227" t="s">
        <v>47</v>
      </c>
      <c r="S227">
        <v>0</v>
      </c>
      <c r="T227" t="s">
        <v>47</v>
      </c>
    </row>
    <row r="228" spans="1:20" x14ac:dyDescent="0.35">
      <c r="A228" s="1" t="s">
        <v>508</v>
      </c>
      <c r="B228" t="s">
        <v>16</v>
      </c>
      <c r="C228">
        <v>1</v>
      </c>
      <c r="D228" t="s">
        <v>461</v>
      </c>
      <c r="E228">
        <v>1</v>
      </c>
      <c r="F228" t="s">
        <v>48</v>
      </c>
      <c r="G228">
        <v>0</v>
      </c>
      <c r="H228" t="s">
        <v>47</v>
      </c>
      <c r="I228">
        <v>0</v>
      </c>
      <c r="J228" t="s">
        <v>47</v>
      </c>
      <c r="K228">
        <v>0</v>
      </c>
      <c r="L228" t="s">
        <v>47</v>
      </c>
      <c r="M228">
        <v>0</v>
      </c>
      <c r="N228" t="s">
        <v>47</v>
      </c>
      <c r="O228">
        <v>0</v>
      </c>
      <c r="P228" t="s">
        <v>47</v>
      </c>
      <c r="Q228">
        <v>0</v>
      </c>
      <c r="R228" t="s">
        <v>47</v>
      </c>
      <c r="S228">
        <v>0</v>
      </c>
      <c r="T228" t="s">
        <v>47</v>
      </c>
    </row>
    <row r="229" spans="1:20" x14ac:dyDescent="0.35">
      <c r="A229" s="1" t="s">
        <v>509</v>
      </c>
      <c r="B229" t="s">
        <v>14</v>
      </c>
      <c r="C229">
        <v>5</v>
      </c>
      <c r="D229" t="s">
        <v>462</v>
      </c>
      <c r="E229">
        <v>0</v>
      </c>
      <c r="F229" t="s">
        <v>47</v>
      </c>
      <c r="G229">
        <v>1</v>
      </c>
      <c r="H229" t="s">
        <v>45</v>
      </c>
      <c r="I229">
        <v>0</v>
      </c>
      <c r="J229" t="s">
        <v>47</v>
      </c>
      <c r="K229">
        <v>0</v>
      </c>
      <c r="L229" t="s">
        <v>47</v>
      </c>
      <c r="M229">
        <v>0</v>
      </c>
      <c r="N229" t="s">
        <v>47</v>
      </c>
      <c r="O229">
        <v>0</v>
      </c>
      <c r="P229" t="s">
        <v>47</v>
      </c>
      <c r="Q229">
        <v>0</v>
      </c>
      <c r="R229" t="s">
        <v>47</v>
      </c>
      <c r="S229">
        <v>0</v>
      </c>
      <c r="T229" t="s">
        <v>47</v>
      </c>
    </row>
    <row r="230" spans="1:20" x14ac:dyDescent="0.35">
      <c r="A230" s="1" t="s">
        <v>510</v>
      </c>
      <c r="B230" t="s">
        <v>14</v>
      </c>
      <c r="C230">
        <v>1</v>
      </c>
      <c r="D230" t="s">
        <v>463</v>
      </c>
      <c r="E230">
        <v>0</v>
      </c>
      <c r="F230" t="s">
        <v>47</v>
      </c>
      <c r="G230">
        <v>1</v>
      </c>
      <c r="H230" t="s">
        <v>48</v>
      </c>
      <c r="I230">
        <v>0</v>
      </c>
      <c r="J230" t="s">
        <v>47</v>
      </c>
      <c r="K230">
        <v>0</v>
      </c>
      <c r="L230" t="s">
        <v>47</v>
      </c>
      <c r="M230">
        <v>0</v>
      </c>
      <c r="N230" t="s">
        <v>47</v>
      </c>
      <c r="O230">
        <v>0</v>
      </c>
      <c r="P230" t="s">
        <v>47</v>
      </c>
      <c r="Q230">
        <v>0</v>
      </c>
      <c r="R230" t="s">
        <v>47</v>
      </c>
      <c r="S230">
        <v>0</v>
      </c>
      <c r="T230" t="s">
        <v>47</v>
      </c>
    </row>
    <row r="231" spans="1:20" x14ac:dyDescent="0.35">
      <c r="A231" s="1" t="s">
        <v>511</v>
      </c>
      <c r="B231" t="s">
        <v>12</v>
      </c>
      <c r="C231">
        <v>1</v>
      </c>
      <c r="D231" t="s">
        <v>464</v>
      </c>
      <c r="E231">
        <v>1</v>
      </c>
      <c r="F231" t="s">
        <v>48</v>
      </c>
      <c r="G231">
        <v>0</v>
      </c>
      <c r="H231" t="s">
        <v>47</v>
      </c>
      <c r="I231">
        <v>0</v>
      </c>
      <c r="J231" t="s">
        <v>47</v>
      </c>
      <c r="K231">
        <v>0</v>
      </c>
      <c r="L231" t="s">
        <v>47</v>
      </c>
      <c r="M231">
        <v>0</v>
      </c>
      <c r="N231" t="s">
        <v>47</v>
      </c>
      <c r="O231">
        <v>0</v>
      </c>
      <c r="P231" t="s">
        <v>47</v>
      </c>
      <c r="Q231">
        <v>0</v>
      </c>
      <c r="R231" t="s">
        <v>47</v>
      </c>
      <c r="S231">
        <v>0</v>
      </c>
      <c r="T231" t="s">
        <v>47</v>
      </c>
    </row>
    <row r="232" spans="1:20" x14ac:dyDescent="0.35">
      <c r="A232" s="1" t="s">
        <v>512</v>
      </c>
      <c r="B232" t="s">
        <v>16</v>
      </c>
      <c r="C232">
        <v>1</v>
      </c>
      <c r="D232" t="s">
        <v>465</v>
      </c>
      <c r="E232">
        <v>1</v>
      </c>
      <c r="F232" t="s">
        <v>48</v>
      </c>
      <c r="G232">
        <v>1</v>
      </c>
      <c r="H232" t="s">
        <v>48</v>
      </c>
      <c r="I232">
        <v>0</v>
      </c>
      <c r="J232" t="s">
        <v>47</v>
      </c>
      <c r="K232">
        <v>1</v>
      </c>
      <c r="L232" t="s">
        <v>48</v>
      </c>
      <c r="M232">
        <v>1</v>
      </c>
      <c r="N232" t="s">
        <v>48</v>
      </c>
      <c r="O232">
        <v>0</v>
      </c>
      <c r="P232" t="s">
        <v>47</v>
      </c>
      <c r="Q232">
        <v>1</v>
      </c>
      <c r="R232" t="s">
        <v>48</v>
      </c>
      <c r="S232">
        <v>0</v>
      </c>
      <c r="T232" t="s">
        <v>47</v>
      </c>
    </row>
    <row r="233" spans="1:20" x14ac:dyDescent="0.35">
      <c r="A233" s="1" t="s">
        <v>572</v>
      </c>
      <c r="B233" t="s">
        <v>12</v>
      </c>
      <c r="C233">
        <v>1</v>
      </c>
      <c r="D233" t="s">
        <v>513</v>
      </c>
      <c r="E233">
        <v>1</v>
      </c>
      <c r="F233" t="s">
        <v>48</v>
      </c>
      <c r="G233">
        <v>1</v>
      </c>
      <c r="H233" t="s">
        <v>48</v>
      </c>
      <c r="I233">
        <v>0</v>
      </c>
      <c r="J233" t="s">
        <v>47</v>
      </c>
      <c r="K233">
        <v>1</v>
      </c>
      <c r="L233" t="s">
        <v>48</v>
      </c>
      <c r="M233">
        <v>0</v>
      </c>
      <c r="N233" t="s">
        <v>47</v>
      </c>
      <c r="O233">
        <v>0</v>
      </c>
      <c r="P233" t="s">
        <v>47</v>
      </c>
      <c r="Q233">
        <v>0</v>
      </c>
      <c r="R233" t="s">
        <v>47</v>
      </c>
      <c r="S233">
        <v>0</v>
      </c>
      <c r="T233" t="s">
        <v>47</v>
      </c>
    </row>
    <row r="234" spans="1:20" x14ac:dyDescent="0.35">
      <c r="A234" s="1" t="s">
        <v>573</v>
      </c>
      <c r="B234" t="s">
        <v>16</v>
      </c>
      <c r="C234">
        <v>2</v>
      </c>
      <c r="D234" t="s">
        <v>514</v>
      </c>
      <c r="E234">
        <v>1</v>
      </c>
      <c r="F234" t="s">
        <v>48</v>
      </c>
      <c r="G234">
        <v>0</v>
      </c>
      <c r="H234" t="s">
        <v>47</v>
      </c>
      <c r="I234">
        <v>1</v>
      </c>
      <c r="J234" t="s">
        <v>48</v>
      </c>
      <c r="K234">
        <v>0</v>
      </c>
      <c r="L234" t="s">
        <v>47</v>
      </c>
      <c r="M234">
        <v>0</v>
      </c>
      <c r="N234" t="s">
        <v>47</v>
      </c>
      <c r="O234">
        <v>0</v>
      </c>
      <c r="P234" t="s">
        <v>47</v>
      </c>
      <c r="Q234">
        <v>0</v>
      </c>
      <c r="R234" t="s">
        <v>47</v>
      </c>
      <c r="S234">
        <v>0</v>
      </c>
      <c r="T234" t="s">
        <v>47</v>
      </c>
    </row>
    <row r="235" spans="1:20" x14ac:dyDescent="0.35">
      <c r="A235" s="1" t="s">
        <v>574</v>
      </c>
      <c r="B235" t="s">
        <v>14</v>
      </c>
      <c r="C235">
        <v>1</v>
      </c>
      <c r="D235" t="s">
        <v>515</v>
      </c>
      <c r="E235">
        <v>1</v>
      </c>
      <c r="F235" t="s">
        <v>48</v>
      </c>
      <c r="G235">
        <v>0</v>
      </c>
      <c r="H235" t="s">
        <v>47</v>
      </c>
      <c r="I235">
        <v>0</v>
      </c>
      <c r="J235" t="s">
        <v>47</v>
      </c>
      <c r="K235">
        <v>1</v>
      </c>
      <c r="L235" t="s">
        <v>48</v>
      </c>
      <c r="M235">
        <v>0</v>
      </c>
      <c r="N235" t="s">
        <v>47</v>
      </c>
      <c r="O235">
        <v>0</v>
      </c>
      <c r="P235" t="s">
        <v>47</v>
      </c>
      <c r="Q235">
        <v>0</v>
      </c>
      <c r="R235" t="s">
        <v>47</v>
      </c>
      <c r="S235">
        <v>0</v>
      </c>
      <c r="T235" t="s">
        <v>47</v>
      </c>
    </row>
    <row r="236" spans="1:20" x14ac:dyDescent="0.35">
      <c r="A236" s="1" t="s">
        <v>575</v>
      </c>
      <c r="B236" t="s">
        <v>12</v>
      </c>
      <c r="C236">
        <v>5</v>
      </c>
      <c r="D236" t="s">
        <v>516</v>
      </c>
      <c r="E236">
        <v>1</v>
      </c>
      <c r="F236" t="s">
        <v>45</v>
      </c>
      <c r="G236">
        <v>1</v>
      </c>
      <c r="H236" t="s">
        <v>45</v>
      </c>
      <c r="I236">
        <v>0</v>
      </c>
      <c r="J236" t="s">
        <v>47</v>
      </c>
      <c r="K236">
        <v>0</v>
      </c>
      <c r="L236" t="s">
        <v>47</v>
      </c>
      <c r="M236">
        <v>0</v>
      </c>
      <c r="N236" t="s">
        <v>47</v>
      </c>
      <c r="O236">
        <v>0</v>
      </c>
      <c r="P236" t="s">
        <v>47</v>
      </c>
      <c r="Q236">
        <v>0</v>
      </c>
      <c r="R236" t="s">
        <v>47</v>
      </c>
      <c r="S236">
        <v>0</v>
      </c>
      <c r="T236" t="s">
        <v>47</v>
      </c>
    </row>
    <row r="237" spans="1:20" x14ac:dyDescent="0.35">
      <c r="A237" s="1" t="s">
        <v>576</v>
      </c>
      <c r="B237" t="s">
        <v>12</v>
      </c>
      <c r="C237">
        <v>5</v>
      </c>
      <c r="D237" t="s">
        <v>517</v>
      </c>
      <c r="E237">
        <v>1</v>
      </c>
      <c r="F237" t="s">
        <v>45</v>
      </c>
      <c r="G237">
        <v>1</v>
      </c>
      <c r="H237" t="s">
        <v>45</v>
      </c>
      <c r="I237">
        <v>0</v>
      </c>
      <c r="J237" t="s">
        <v>47</v>
      </c>
      <c r="K237">
        <v>0</v>
      </c>
      <c r="L237" t="s">
        <v>47</v>
      </c>
      <c r="M237">
        <v>1</v>
      </c>
      <c r="N237" t="s">
        <v>45</v>
      </c>
      <c r="O237">
        <v>0</v>
      </c>
      <c r="P237" t="s">
        <v>47</v>
      </c>
      <c r="Q237">
        <v>1</v>
      </c>
      <c r="R237" t="s">
        <v>45</v>
      </c>
      <c r="S237">
        <v>0</v>
      </c>
      <c r="T237" t="s">
        <v>47</v>
      </c>
    </row>
    <row r="238" spans="1:20" x14ac:dyDescent="0.35">
      <c r="A238" s="1" t="s">
        <v>577</v>
      </c>
      <c r="B238" t="s">
        <v>12</v>
      </c>
      <c r="C238">
        <v>5</v>
      </c>
      <c r="D238" t="s">
        <v>518</v>
      </c>
      <c r="E238">
        <v>1</v>
      </c>
      <c r="F238" t="s">
        <v>45</v>
      </c>
      <c r="G238">
        <v>1</v>
      </c>
      <c r="H238" t="s">
        <v>45</v>
      </c>
      <c r="I238">
        <v>0</v>
      </c>
      <c r="J238" t="s">
        <v>47</v>
      </c>
      <c r="K238">
        <v>0</v>
      </c>
      <c r="L238" t="s">
        <v>47</v>
      </c>
      <c r="M238">
        <v>0</v>
      </c>
      <c r="N238" t="s">
        <v>47</v>
      </c>
      <c r="O238">
        <v>1</v>
      </c>
      <c r="P238" t="s">
        <v>45</v>
      </c>
      <c r="Q238">
        <v>0</v>
      </c>
      <c r="R238" t="s">
        <v>47</v>
      </c>
      <c r="S238">
        <v>0</v>
      </c>
      <c r="T238" t="s">
        <v>47</v>
      </c>
    </row>
    <row r="239" spans="1:20" x14ac:dyDescent="0.35">
      <c r="A239" s="1" t="s">
        <v>578</v>
      </c>
      <c r="B239" t="s">
        <v>12</v>
      </c>
      <c r="C239">
        <v>5</v>
      </c>
      <c r="D239" t="s">
        <v>519</v>
      </c>
      <c r="E239">
        <v>1</v>
      </c>
      <c r="F239" t="s">
        <v>45</v>
      </c>
      <c r="G239">
        <v>1</v>
      </c>
      <c r="H239" t="s">
        <v>45</v>
      </c>
      <c r="I239">
        <v>0</v>
      </c>
      <c r="J239" t="s">
        <v>47</v>
      </c>
      <c r="K239">
        <v>1</v>
      </c>
      <c r="L239" t="s">
        <v>45</v>
      </c>
      <c r="M239">
        <v>1</v>
      </c>
      <c r="N239" t="s">
        <v>45</v>
      </c>
      <c r="O239">
        <v>0</v>
      </c>
      <c r="P239" t="s">
        <v>47</v>
      </c>
      <c r="Q239">
        <v>0</v>
      </c>
      <c r="R239" t="s">
        <v>47</v>
      </c>
      <c r="S239">
        <v>0</v>
      </c>
      <c r="T239" t="s">
        <v>47</v>
      </c>
    </row>
    <row r="240" spans="1:20" x14ac:dyDescent="0.35">
      <c r="A240" s="1" t="s">
        <v>579</v>
      </c>
      <c r="B240" t="s">
        <v>12</v>
      </c>
      <c r="C240">
        <v>5</v>
      </c>
      <c r="D240" t="s">
        <v>520</v>
      </c>
      <c r="E240">
        <v>1</v>
      </c>
      <c r="F240" t="s">
        <v>45</v>
      </c>
      <c r="G240">
        <v>1</v>
      </c>
      <c r="H240" t="s">
        <v>45</v>
      </c>
      <c r="I240">
        <v>0</v>
      </c>
      <c r="J240" t="s">
        <v>47</v>
      </c>
      <c r="K240">
        <v>0</v>
      </c>
      <c r="L240" t="s">
        <v>47</v>
      </c>
      <c r="M240">
        <v>0</v>
      </c>
      <c r="N240" t="s">
        <v>47</v>
      </c>
      <c r="O240">
        <v>0</v>
      </c>
      <c r="P240" t="s">
        <v>47</v>
      </c>
      <c r="Q240">
        <v>0</v>
      </c>
      <c r="R240" t="s">
        <v>47</v>
      </c>
      <c r="S240">
        <v>0</v>
      </c>
      <c r="T240" t="s">
        <v>47</v>
      </c>
    </row>
    <row r="241" spans="1:20" x14ac:dyDescent="0.35">
      <c r="A241" s="1" t="s">
        <v>580</v>
      </c>
      <c r="B241" t="s">
        <v>12</v>
      </c>
      <c r="C241">
        <v>1</v>
      </c>
      <c r="D241" t="s">
        <v>521</v>
      </c>
      <c r="E241">
        <v>1</v>
      </c>
      <c r="F241" t="s">
        <v>48</v>
      </c>
      <c r="G241">
        <v>0</v>
      </c>
      <c r="H241" t="s">
        <v>47</v>
      </c>
      <c r="I241">
        <v>0</v>
      </c>
      <c r="J241" t="s">
        <v>47</v>
      </c>
      <c r="K241">
        <v>0</v>
      </c>
      <c r="L241" t="s">
        <v>47</v>
      </c>
      <c r="M241">
        <v>0</v>
      </c>
      <c r="N241" t="s">
        <v>47</v>
      </c>
      <c r="O241">
        <v>0</v>
      </c>
      <c r="P241" t="s">
        <v>47</v>
      </c>
      <c r="Q241">
        <v>0</v>
      </c>
      <c r="R241" t="s">
        <v>47</v>
      </c>
      <c r="S241">
        <v>0</v>
      </c>
      <c r="T241" t="s">
        <v>47</v>
      </c>
    </row>
    <row r="242" spans="1:20" x14ac:dyDescent="0.35">
      <c r="A242" s="1" t="s">
        <v>581</v>
      </c>
      <c r="B242" t="s">
        <v>12</v>
      </c>
      <c r="C242">
        <v>5</v>
      </c>
      <c r="D242" t="s">
        <v>522</v>
      </c>
      <c r="E242">
        <v>1</v>
      </c>
      <c r="F242" t="s">
        <v>45</v>
      </c>
      <c r="G242">
        <v>1</v>
      </c>
      <c r="H242" t="s">
        <v>45</v>
      </c>
      <c r="I242">
        <v>0</v>
      </c>
      <c r="J242" t="s">
        <v>47</v>
      </c>
      <c r="K242">
        <v>0</v>
      </c>
      <c r="L242" t="s">
        <v>47</v>
      </c>
      <c r="M242">
        <v>1</v>
      </c>
      <c r="N242" t="s">
        <v>45</v>
      </c>
      <c r="O242">
        <v>0</v>
      </c>
      <c r="P242" t="s">
        <v>47</v>
      </c>
      <c r="Q242">
        <v>1</v>
      </c>
      <c r="R242" t="s">
        <v>45</v>
      </c>
      <c r="S242">
        <v>0</v>
      </c>
      <c r="T242" t="s">
        <v>47</v>
      </c>
    </row>
    <row r="243" spans="1:20" x14ac:dyDescent="0.35">
      <c r="A243" s="1" t="s">
        <v>582</v>
      </c>
      <c r="B243" t="s">
        <v>12</v>
      </c>
      <c r="C243">
        <v>5</v>
      </c>
      <c r="D243" t="s">
        <v>523</v>
      </c>
      <c r="E243">
        <v>1</v>
      </c>
      <c r="F243" t="s">
        <v>45</v>
      </c>
      <c r="G243">
        <v>1</v>
      </c>
      <c r="H243" t="s">
        <v>45</v>
      </c>
      <c r="I243">
        <v>0</v>
      </c>
      <c r="J243" t="s">
        <v>47</v>
      </c>
      <c r="K243">
        <v>0</v>
      </c>
      <c r="L243" t="s">
        <v>47</v>
      </c>
      <c r="M243">
        <v>0</v>
      </c>
      <c r="N243" t="s">
        <v>47</v>
      </c>
      <c r="O243">
        <v>0</v>
      </c>
      <c r="P243" t="s">
        <v>47</v>
      </c>
      <c r="Q243">
        <v>1</v>
      </c>
      <c r="R243" t="s">
        <v>45</v>
      </c>
      <c r="S243">
        <v>0</v>
      </c>
      <c r="T243" t="s">
        <v>47</v>
      </c>
    </row>
    <row r="244" spans="1:20" x14ac:dyDescent="0.35">
      <c r="A244" s="1" t="s">
        <v>583</v>
      </c>
      <c r="B244" t="s">
        <v>12</v>
      </c>
      <c r="C244">
        <v>1</v>
      </c>
      <c r="D244" t="s">
        <v>524</v>
      </c>
      <c r="E244">
        <v>1</v>
      </c>
      <c r="F244" t="s">
        <v>48</v>
      </c>
      <c r="G244">
        <v>1</v>
      </c>
      <c r="H244" t="s">
        <v>48</v>
      </c>
      <c r="I244">
        <v>1</v>
      </c>
      <c r="J244" t="s">
        <v>48</v>
      </c>
      <c r="K244">
        <v>0</v>
      </c>
      <c r="L244" t="s">
        <v>47</v>
      </c>
      <c r="M244">
        <v>0</v>
      </c>
      <c r="N244" t="s">
        <v>47</v>
      </c>
      <c r="O244">
        <v>0</v>
      </c>
      <c r="P244" t="s">
        <v>47</v>
      </c>
      <c r="Q244">
        <v>0</v>
      </c>
      <c r="R244" t="s">
        <v>47</v>
      </c>
      <c r="S244">
        <v>0</v>
      </c>
      <c r="T244" t="s">
        <v>47</v>
      </c>
    </row>
    <row r="245" spans="1:20" x14ac:dyDescent="0.35">
      <c r="A245" s="1" t="s">
        <v>584</v>
      </c>
      <c r="B245" t="s">
        <v>14</v>
      </c>
      <c r="C245" s="18">
        <v>5</v>
      </c>
      <c r="D245" t="s">
        <v>525</v>
      </c>
      <c r="E245">
        <v>1</v>
      </c>
      <c r="F245" t="s">
        <v>45</v>
      </c>
      <c r="G245">
        <v>0</v>
      </c>
      <c r="H245" t="s">
        <v>47</v>
      </c>
      <c r="I245">
        <v>0</v>
      </c>
      <c r="J245" t="s">
        <v>47</v>
      </c>
      <c r="K245">
        <v>0</v>
      </c>
      <c r="L245" t="s">
        <v>47</v>
      </c>
      <c r="M245">
        <v>0</v>
      </c>
      <c r="N245" t="s">
        <v>47</v>
      </c>
      <c r="O245">
        <v>0</v>
      </c>
      <c r="P245" t="s">
        <v>47</v>
      </c>
      <c r="Q245">
        <v>0</v>
      </c>
      <c r="R245" t="s">
        <v>47</v>
      </c>
      <c r="S245">
        <v>0</v>
      </c>
      <c r="T245" t="s">
        <v>47</v>
      </c>
    </row>
    <row r="246" spans="1:20" x14ac:dyDescent="0.35">
      <c r="A246" s="1" t="s">
        <v>585</v>
      </c>
      <c r="B246" t="s">
        <v>16</v>
      </c>
      <c r="C246" s="19">
        <v>1</v>
      </c>
      <c r="D246" t="s">
        <v>526</v>
      </c>
      <c r="E246">
        <v>0</v>
      </c>
      <c r="F246" t="s">
        <v>47</v>
      </c>
      <c r="G246">
        <v>1</v>
      </c>
      <c r="H246" t="s">
        <v>48</v>
      </c>
      <c r="I246">
        <v>1</v>
      </c>
      <c r="J246" t="s">
        <v>48</v>
      </c>
      <c r="K246">
        <v>1</v>
      </c>
      <c r="L246" t="s">
        <v>48</v>
      </c>
      <c r="M246">
        <v>0</v>
      </c>
      <c r="N246" t="s">
        <v>47</v>
      </c>
      <c r="O246">
        <v>1</v>
      </c>
      <c r="P246" t="s">
        <v>48</v>
      </c>
      <c r="Q246">
        <v>1</v>
      </c>
      <c r="R246" t="s">
        <v>48</v>
      </c>
      <c r="S246">
        <v>0</v>
      </c>
      <c r="T246" t="s">
        <v>47</v>
      </c>
    </row>
    <row r="247" spans="1:20" x14ac:dyDescent="0.35">
      <c r="A247" s="1" t="s">
        <v>586</v>
      </c>
      <c r="B247" t="s">
        <v>16</v>
      </c>
      <c r="C247" s="18">
        <v>1</v>
      </c>
      <c r="D247" t="s">
        <v>527</v>
      </c>
      <c r="E247">
        <v>0</v>
      </c>
      <c r="F247" t="s">
        <v>47</v>
      </c>
      <c r="G247">
        <v>1</v>
      </c>
      <c r="H247" t="s">
        <v>48</v>
      </c>
      <c r="I247">
        <v>0</v>
      </c>
      <c r="J247" t="s">
        <v>47</v>
      </c>
      <c r="K247">
        <v>1</v>
      </c>
      <c r="L247" t="s">
        <v>48</v>
      </c>
      <c r="M247">
        <v>0</v>
      </c>
      <c r="N247" t="s">
        <v>47</v>
      </c>
      <c r="O247">
        <v>0</v>
      </c>
      <c r="P247" t="s">
        <v>47</v>
      </c>
      <c r="Q247">
        <v>0</v>
      </c>
      <c r="R247" t="s">
        <v>47</v>
      </c>
      <c r="S247">
        <v>0</v>
      </c>
      <c r="T247" t="s">
        <v>47</v>
      </c>
    </row>
    <row r="248" spans="1:20" x14ac:dyDescent="0.35">
      <c r="A248" s="1" t="s">
        <v>587</v>
      </c>
      <c r="B248" t="s">
        <v>14</v>
      </c>
      <c r="C248" s="19">
        <v>1</v>
      </c>
      <c r="D248" t="s">
        <v>528</v>
      </c>
      <c r="E248">
        <v>0</v>
      </c>
      <c r="F248" t="s">
        <v>47</v>
      </c>
      <c r="G248">
        <v>1</v>
      </c>
      <c r="H248" t="s">
        <v>48</v>
      </c>
      <c r="I248">
        <v>0</v>
      </c>
      <c r="J248" t="s">
        <v>47</v>
      </c>
      <c r="K248">
        <v>0</v>
      </c>
      <c r="L248" t="s">
        <v>47</v>
      </c>
      <c r="M248">
        <v>0</v>
      </c>
      <c r="N248" t="s">
        <v>47</v>
      </c>
      <c r="O248">
        <v>0</v>
      </c>
      <c r="P248" t="s">
        <v>47</v>
      </c>
      <c r="Q248">
        <v>0</v>
      </c>
      <c r="R248" t="s">
        <v>47</v>
      </c>
      <c r="S248">
        <v>0</v>
      </c>
      <c r="T248" t="s">
        <v>47</v>
      </c>
    </row>
    <row r="249" spans="1:20" x14ac:dyDescent="0.35">
      <c r="A249" s="1" t="s">
        <v>588</v>
      </c>
      <c r="B249" t="s">
        <v>14</v>
      </c>
      <c r="C249" s="18">
        <v>1</v>
      </c>
      <c r="D249" t="s">
        <v>529</v>
      </c>
      <c r="E249">
        <v>1</v>
      </c>
      <c r="F249" t="s">
        <v>48</v>
      </c>
      <c r="G249">
        <v>0</v>
      </c>
      <c r="H249" t="s">
        <v>47</v>
      </c>
      <c r="I249">
        <v>1</v>
      </c>
      <c r="J249" t="s">
        <v>48</v>
      </c>
      <c r="K249">
        <v>0</v>
      </c>
      <c r="L249" t="s">
        <v>47</v>
      </c>
      <c r="M249">
        <v>1</v>
      </c>
      <c r="N249" t="s">
        <v>48</v>
      </c>
      <c r="O249">
        <v>0</v>
      </c>
      <c r="P249" t="s">
        <v>47</v>
      </c>
      <c r="Q249">
        <v>0</v>
      </c>
      <c r="R249" t="s">
        <v>47</v>
      </c>
      <c r="S249">
        <v>0</v>
      </c>
      <c r="T249" t="s">
        <v>47</v>
      </c>
    </row>
    <row r="250" spans="1:20" x14ac:dyDescent="0.35">
      <c r="A250" s="1" t="s">
        <v>589</v>
      </c>
      <c r="B250" t="s">
        <v>14</v>
      </c>
      <c r="C250" s="19">
        <v>1</v>
      </c>
      <c r="D250" t="s">
        <v>530</v>
      </c>
      <c r="E250">
        <v>1</v>
      </c>
      <c r="F250" t="s">
        <v>48</v>
      </c>
      <c r="G250">
        <v>0</v>
      </c>
      <c r="H250" t="s">
        <v>47</v>
      </c>
      <c r="I250">
        <v>0</v>
      </c>
      <c r="J250" t="s">
        <v>47</v>
      </c>
      <c r="K250">
        <v>0</v>
      </c>
      <c r="L250" t="s">
        <v>47</v>
      </c>
      <c r="M250">
        <v>0</v>
      </c>
      <c r="N250" t="s">
        <v>47</v>
      </c>
      <c r="O250">
        <v>0</v>
      </c>
      <c r="P250" t="s">
        <v>47</v>
      </c>
      <c r="Q250">
        <v>0</v>
      </c>
      <c r="R250" t="s">
        <v>47</v>
      </c>
      <c r="S250">
        <v>0</v>
      </c>
      <c r="T250" t="s">
        <v>47</v>
      </c>
    </row>
    <row r="251" spans="1:20" x14ac:dyDescent="0.35">
      <c r="A251" s="1" t="s">
        <v>590</v>
      </c>
      <c r="B251" t="s">
        <v>14</v>
      </c>
      <c r="C251" s="18">
        <v>1</v>
      </c>
      <c r="D251" t="s">
        <v>531</v>
      </c>
      <c r="E251">
        <v>1</v>
      </c>
      <c r="F251" t="s">
        <v>48</v>
      </c>
      <c r="G251">
        <v>1</v>
      </c>
      <c r="H251" t="s">
        <v>48</v>
      </c>
      <c r="I251">
        <v>0</v>
      </c>
      <c r="J251" t="s">
        <v>47</v>
      </c>
      <c r="K251">
        <v>1</v>
      </c>
      <c r="L251" t="s">
        <v>48</v>
      </c>
      <c r="M251">
        <v>0</v>
      </c>
      <c r="N251" t="s">
        <v>47</v>
      </c>
      <c r="O251">
        <v>1</v>
      </c>
      <c r="P251" t="s">
        <v>48</v>
      </c>
      <c r="Q251">
        <v>0</v>
      </c>
      <c r="R251" t="s">
        <v>47</v>
      </c>
      <c r="S251">
        <v>0</v>
      </c>
      <c r="T251" t="s">
        <v>47</v>
      </c>
    </row>
    <row r="252" spans="1:20" x14ac:dyDescent="0.35">
      <c r="A252" s="1" t="s">
        <v>591</v>
      </c>
      <c r="B252" t="s">
        <v>14</v>
      </c>
      <c r="C252" s="19">
        <v>1</v>
      </c>
      <c r="D252" t="s">
        <v>532</v>
      </c>
      <c r="E252">
        <v>0</v>
      </c>
      <c r="F252" t="s">
        <v>47</v>
      </c>
      <c r="G252">
        <v>1</v>
      </c>
      <c r="H252" t="s">
        <v>48</v>
      </c>
      <c r="I252">
        <v>0</v>
      </c>
      <c r="J252" t="s">
        <v>47</v>
      </c>
      <c r="K252">
        <v>0</v>
      </c>
      <c r="L252" t="s">
        <v>47</v>
      </c>
      <c r="M252">
        <v>0</v>
      </c>
      <c r="N252" t="s">
        <v>47</v>
      </c>
      <c r="O252">
        <v>1</v>
      </c>
      <c r="P252" t="s">
        <v>48</v>
      </c>
      <c r="Q252">
        <v>0</v>
      </c>
      <c r="R252" t="s">
        <v>47</v>
      </c>
      <c r="S252">
        <v>0</v>
      </c>
      <c r="T252" t="s">
        <v>47</v>
      </c>
    </row>
    <row r="253" spans="1:20" x14ac:dyDescent="0.35">
      <c r="A253" s="1" t="s">
        <v>592</v>
      </c>
      <c r="B253" t="s">
        <v>14</v>
      </c>
      <c r="C253" s="18">
        <v>2</v>
      </c>
      <c r="D253" t="s">
        <v>533</v>
      </c>
      <c r="E253">
        <v>1</v>
      </c>
      <c r="F253" t="s">
        <v>45</v>
      </c>
      <c r="G253">
        <v>1</v>
      </c>
      <c r="H253" t="s">
        <v>48</v>
      </c>
      <c r="I253">
        <v>0</v>
      </c>
      <c r="J253" t="s">
        <v>47</v>
      </c>
      <c r="K253">
        <v>0</v>
      </c>
      <c r="L253" t="s">
        <v>47</v>
      </c>
      <c r="M253">
        <v>0</v>
      </c>
      <c r="N253" t="s">
        <v>47</v>
      </c>
      <c r="O253">
        <v>0</v>
      </c>
      <c r="P253" t="s">
        <v>47</v>
      </c>
      <c r="Q253">
        <v>0</v>
      </c>
      <c r="R253" t="s">
        <v>47</v>
      </c>
      <c r="S253">
        <v>0</v>
      </c>
      <c r="T253" t="s">
        <v>47</v>
      </c>
    </row>
    <row r="254" spans="1:20" x14ac:dyDescent="0.35">
      <c r="A254" s="1" t="s">
        <v>593</v>
      </c>
      <c r="B254" t="s">
        <v>14</v>
      </c>
      <c r="C254" s="19">
        <v>1</v>
      </c>
      <c r="D254" t="s">
        <v>534</v>
      </c>
      <c r="E254">
        <v>0</v>
      </c>
      <c r="F254" t="s">
        <v>47</v>
      </c>
      <c r="G254">
        <v>0</v>
      </c>
      <c r="H254" t="s">
        <v>47</v>
      </c>
      <c r="I254">
        <v>0</v>
      </c>
      <c r="J254" t="s">
        <v>47</v>
      </c>
      <c r="K254">
        <v>1</v>
      </c>
      <c r="L254" t="s">
        <v>48</v>
      </c>
      <c r="M254">
        <v>0</v>
      </c>
      <c r="N254" t="s">
        <v>47</v>
      </c>
      <c r="O254">
        <v>0</v>
      </c>
      <c r="P254" t="s">
        <v>47</v>
      </c>
      <c r="Q254">
        <v>0</v>
      </c>
      <c r="R254" t="s">
        <v>47</v>
      </c>
      <c r="S254">
        <v>0</v>
      </c>
      <c r="T254" t="s">
        <v>47</v>
      </c>
    </row>
    <row r="255" spans="1:20" x14ac:dyDescent="0.35">
      <c r="A255" s="1" t="s">
        <v>594</v>
      </c>
      <c r="B255" t="s">
        <v>14</v>
      </c>
      <c r="C255" s="18">
        <v>1</v>
      </c>
      <c r="D255" t="s">
        <v>535</v>
      </c>
      <c r="E255">
        <v>1</v>
      </c>
      <c r="F255" t="s">
        <v>48</v>
      </c>
      <c r="G255">
        <v>0</v>
      </c>
      <c r="H255" t="s">
        <v>47</v>
      </c>
      <c r="I255">
        <v>0</v>
      </c>
      <c r="J255" t="s">
        <v>47</v>
      </c>
      <c r="K255">
        <v>0</v>
      </c>
      <c r="L255" t="s">
        <v>47</v>
      </c>
      <c r="M255">
        <v>0</v>
      </c>
      <c r="N255" t="s">
        <v>47</v>
      </c>
      <c r="O255">
        <v>0</v>
      </c>
      <c r="P255" t="s">
        <v>47</v>
      </c>
      <c r="Q255">
        <v>0</v>
      </c>
      <c r="R255" t="s">
        <v>47</v>
      </c>
      <c r="S255">
        <v>0</v>
      </c>
      <c r="T255" t="s">
        <v>47</v>
      </c>
    </row>
    <row r="256" spans="1:20" x14ac:dyDescent="0.35">
      <c r="A256" s="1" t="s">
        <v>595</v>
      </c>
      <c r="B256" t="s">
        <v>16</v>
      </c>
      <c r="C256" s="19">
        <v>5</v>
      </c>
      <c r="D256" t="s">
        <v>536</v>
      </c>
      <c r="E256">
        <v>0</v>
      </c>
      <c r="F256" t="s">
        <v>47</v>
      </c>
      <c r="G256">
        <v>0</v>
      </c>
      <c r="H256" t="s">
        <v>47</v>
      </c>
      <c r="I256">
        <v>0</v>
      </c>
      <c r="J256" t="s">
        <v>47</v>
      </c>
      <c r="K256">
        <v>0</v>
      </c>
      <c r="L256" t="s">
        <v>47</v>
      </c>
      <c r="M256">
        <v>0</v>
      </c>
      <c r="N256" t="s">
        <v>47</v>
      </c>
      <c r="O256">
        <v>0</v>
      </c>
      <c r="P256" t="s">
        <v>47</v>
      </c>
      <c r="Q256">
        <v>1</v>
      </c>
      <c r="R256" t="s">
        <v>45</v>
      </c>
      <c r="S256">
        <v>1</v>
      </c>
      <c r="T256" t="s">
        <v>45</v>
      </c>
    </row>
    <row r="257" spans="1:20" x14ac:dyDescent="0.35">
      <c r="A257" s="1" t="s">
        <v>596</v>
      </c>
      <c r="B257" t="s">
        <v>14</v>
      </c>
      <c r="C257" s="18">
        <v>5</v>
      </c>
      <c r="D257" t="s">
        <v>537</v>
      </c>
      <c r="E257">
        <v>1</v>
      </c>
      <c r="F257" t="s">
        <v>45</v>
      </c>
      <c r="G257">
        <v>1</v>
      </c>
      <c r="H257" t="s">
        <v>45</v>
      </c>
      <c r="I257">
        <v>0</v>
      </c>
      <c r="J257" t="s">
        <v>47</v>
      </c>
      <c r="K257">
        <v>0</v>
      </c>
      <c r="L257" t="s">
        <v>47</v>
      </c>
      <c r="M257">
        <v>0</v>
      </c>
      <c r="N257" t="s">
        <v>47</v>
      </c>
      <c r="O257">
        <v>0</v>
      </c>
      <c r="P257" t="s">
        <v>47</v>
      </c>
      <c r="Q257">
        <v>1</v>
      </c>
      <c r="R257" t="s">
        <v>45</v>
      </c>
      <c r="S257">
        <v>0</v>
      </c>
      <c r="T257" t="s">
        <v>47</v>
      </c>
    </row>
    <row r="258" spans="1:20" x14ac:dyDescent="0.35">
      <c r="A258" s="1" t="s">
        <v>597</v>
      </c>
      <c r="B258" t="s">
        <v>16</v>
      </c>
      <c r="C258" s="19">
        <v>5</v>
      </c>
      <c r="D258" t="s">
        <v>538</v>
      </c>
      <c r="E258">
        <v>1</v>
      </c>
      <c r="F258" t="s">
        <v>45</v>
      </c>
      <c r="G258">
        <v>1</v>
      </c>
      <c r="H258" t="s">
        <v>45</v>
      </c>
      <c r="I258">
        <v>0</v>
      </c>
      <c r="J258" t="s">
        <v>47</v>
      </c>
      <c r="K258">
        <v>0</v>
      </c>
      <c r="L258" t="s">
        <v>47</v>
      </c>
      <c r="M258">
        <v>0</v>
      </c>
      <c r="N258" t="s">
        <v>47</v>
      </c>
      <c r="O258">
        <v>0</v>
      </c>
      <c r="P258" t="s">
        <v>47</v>
      </c>
      <c r="Q258">
        <v>1</v>
      </c>
      <c r="R258" t="s">
        <v>45</v>
      </c>
      <c r="S258">
        <v>0</v>
      </c>
      <c r="T258" t="s">
        <v>47</v>
      </c>
    </row>
    <row r="259" spans="1:20" x14ac:dyDescent="0.35">
      <c r="A259" s="1" t="s">
        <v>598</v>
      </c>
      <c r="B259" t="s">
        <v>14</v>
      </c>
      <c r="C259" s="18">
        <v>5</v>
      </c>
      <c r="D259" t="s">
        <v>539</v>
      </c>
      <c r="E259">
        <v>0</v>
      </c>
      <c r="F259" t="s">
        <v>47</v>
      </c>
      <c r="G259">
        <v>1</v>
      </c>
      <c r="H259" t="s">
        <v>45</v>
      </c>
      <c r="I259">
        <v>0</v>
      </c>
      <c r="J259" t="s">
        <v>47</v>
      </c>
      <c r="K259">
        <v>0</v>
      </c>
      <c r="L259" t="s">
        <v>47</v>
      </c>
      <c r="M259">
        <v>0</v>
      </c>
      <c r="N259" t="s">
        <v>47</v>
      </c>
      <c r="O259">
        <v>0</v>
      </c>
      <c r="P259" t="s">
        <v>47</v>
      </c>
      <c r="Q259">
        <v>0</v>
      </c>
      <c r="R259" t="s">
        <v>47</v>
      </c>
      <c r="S259">
        <v>0</v>
      </c>
      <c r="T259" t="s">
        <v>47</v>
      </c>
    </row>
    <row r="260" spans="1:20" x14ac:dyDescent="0.35">
      <c r="A260" s="1" t="s">
        <v>599</v>
      </c>
      <c r="B260" t="s">
        <v>14</v>
      </c>
      <c r="C260" s="19">
        <v>5</v>
      </c>
      <c r="D260" t="s">
        <v>540</v>
      </c>
      <c r="E260">
        <v>0</v>
      </c>
      <c r="F260" t="s">
        <v>47</v>
      </c>
      <c r="G260">
        <v>0</v>
      </c>
      <c r="H260" t="s">
        <v>47</v>
      </c>
      <c r="I260">
        <v>0</v>
      </c>
      <c r="J260" t="s">
        <v>47</v>
      </c>
      <c r="K260">
        <v>0</v>
      </c>
      <c r="L260" t="s">
        <v>47</v>
      </c>
      <c r="M260">
        <v>0</v>
      </c>
      <c r="N260" t="s">
        <v>47</v>
      </c>
      <c r="O260">
        <v>0</v>
      </c>
      <c r="P260" t="s">
        <v>47</v>
      </c>
      <c r="Q260">
        <v>1</v>
      </c>
      <c r="R260" t="s">
        <v>45</v>
      </c>
      <c r="S260">
        <v>0</v>
      </c>
      <c r="T260" t="s">
        <v>47</v>
      </c>
    </row>
    <row r="261" spans="1:20" x14ac:dyDescent="0.35">
      <c r="A261" s="1" t="s">
        <v>600</v>
      </c>
      <c r="B261" t="s">
        <v>14</v>
      </c>
      <c r="C261" s="18">
        <v>5</v>
      </c>
      <c r="D261" t="s">
        <v>541</v>
      </c>
      <c r="E261">
        <v>0</v>
      </c>
      <c r="F261" t="s">
        <v>47</v>
      </c>
      <c r="G261">
        <v>1</v>
      </c>
      <c r="H261" t="s">
        <v>48</v>
      </c>
      <c r="I261">
        <v>0</v>
      </c>
      <c r="J261" t="s">
        <v>47</v>
      </c>
      <c r="K261">
        <v>0</v>
      </c>
      <c r="L261" t="s">
        <v>47</v>
      </c>
      <c r="M261">
        <v>0</v>
      </c>
      <c r="N261" t="s">
        <v>47</v>
      </c>
      <c r="O261">
        <v>0</v>
      </c>
      <c r="P261" t="s">
        <v>47</v>
      </c>
      <c r="Q261">
        <v>0</v>
      </c>
      <c r="R261" t="s">
        <v>47</v>
      </c>
      <c r="S261">
        <v>0</v>
      </c>
      <c r="T261" t="s">
        <v>47</v>
      </c>
    </row>
    <row r="262" spans="1:20" x14ac:dyDescent="0.35">
      <c r="A262" s="1" t="s">
        <v>601</v>
      </c>
      <c r="B262" t="s">
        <v>14</v>
      </c>
      <c r="C262" s="19">
        <v>5</v>
      </c>
      <c r="D262" t="s">
        <v>542</v>
      </c>
      <c r="E262">
        <v>1</v>
      </c>
      <c r="F262" t="s">
        <v>45</v>
      </c>
      <c r="G262">
        <v>0</v>
      </c>
      <c r="H262" t="s">
        <v>47</v>
      </c>
      <c r="I262">
        <v>0</v>
      </c>
      <c r="J262" t="s">
        <v>47</v>
      </c>
      <c r="K262">
        <v>0</v>
      </c>
      <c r="L262" t="s">
        <v>47</v>
      </c>
      <c r="M262">
        <v>0</v>
      </c>
      <c r="N262" t="s">
        <v>47</v>
      </c>
      <c r="O262">
        <v>0</v>
      </c>
      <c r="P262" t="s">
        <v>47</v>
      </c>
      <c r="Q262">
        <v>0</v>
      </c>
      <c r="R262" t="s">
        <v>47</v>
      </c>
      <c r="S262">
        <v>0</v>
      </c>
      <c r="T262" t="s">
        <v>47</v>
      </c>
    </row>
    <row r="263" spans="1:20" x14ac:dyDescent="0.35">
      <c r="A263" s="1" t="s">
        <v>602</v>
      </c>
      <c r="B263" t="s">
        <v>14</v>
      </c>
      <c r="C263" s="18">
        <v>1</v>
      </c>
      <c r="D263" t="s">
        <v>543</v>
      </c>
      <c r="E263">
        <v>0</v>
      </c>
      <c r="F263" t="s">
        <v>47</v>
      </c>
      <c r="G263">
        <v>0</v>
      </c>
      <c r="H263" t="s">
        <v>47</v>
      </c>
      <c r="I263">
        <v>0</v>
      </c>
      <c r="J263" t="s">
        <v>47</v>
      </c>
      <c r="K263">
        <v>0</v>
      </c>
      <c r="L263" t="s">
        <v>47</v>
      </c>
      <c r="M263">
        <v>0</v>
      </c>
      <c r="N263" t="s">
        <v>47</v>
      </c>
      <c r="O263">
        <v>1</v>
      </c>
      <c r="P263" t="s">
        <v>48</v>
      </c>
      <c r="Q263">
        <v>0</v>
      </c>
      <c r="R263" t="s">
        <v>47</v>
      </c>
      <c r="S263">
        <v>0</v>
      </c>
      <c r="T263" t="s">
        <v>47</v>
      </c>
    </row>
    <row r="264" spans="1:20" x14ac:dyDescent="0.35">
      <c r="A264" s="1" t="s">
        <v>603</v>
      </c>
      <c r="B264" t="s">
        <v>14</v>
      </c>
      <c r="C264" s="19">
        <v>5</v>
      </c>
      <c r="D264" t="s">
        <v>544</v>
      </c>
      <c r="E264">
        <v>1</v>
      </c>
      <c r="F264" t="s">
        <v>45</v>
      </c>
      <c r="G264">
        <v>1</v>
      </c>
      <c r="H264" t="s">
        <v>45</v>
      </c>
      <c r="I264">
        <v>0</v>
      </c>
      <c r="J264" t="s">
        <v>47</v>
      </c>
      <c r="K264">
        <v>0</v>
      </c>
      <c r="L264" t="s">
        <v>47</v>
      </c>
      <c r="M264">
        <v>0</v>
      </c>
      <c r="N264" t="s">
        <v>47</v>
      </c>
      <c r="O264">
        <v>1</v>
      </c>
      <c r="P264" t="s">
        <v>45</v>
      </c>
      <c r="Q264">
        <v>0</v>
      </c>
      <c r="R264" t="s">
        <v>47</v>
      </c>
      <c r="S264">
        <v>0</v>
      </c>
      <c r="T264" t="s">
        <v>47</v>
      </c>
    </row>
    <row r="265" spans="1:20" x14ac:dyDescent="0.35">
      <c r="A265" s="1" t="s">
        <v>604</v>
      </c>
      <c r="B265" t="s">
        <v>14</v>
      </c>
      <c r="C265" s="18">
        <v>5</v>
      </c>
      <c r="D265" t="s">
        <v>545</v>
      </c>
      <c r="E265">
        <v>1</v>
      </c>
      <c r="F265" t="s">
        <v>45</v>
      </c>
      <c r="G265">
        <v>1</v>
      </c>
      <c r="H265" t="s">
        <v>45</v>
      </c>
      <c r="I265">
        <v>0</v>
      </c>
      <c r="J265" t="s">
        <v>47</v>
      </c>
      <c r="K265">
        <v>0</v>
      </c>
      <c r="L265" t="s">
        <v>47</v>
      </c>
      <c r="M265">
        <v>0</v>
      </c>
      <c r="N265" t="s">
        <v>47</v>
      </c>
      <c r="O265">
        <v>0</v>
      </c>
      <c r="P265" t="s">
        <v>47</v>
      </c>
      <c r="Q265">
        <v>0</v>
      </c>
      <c r="R265" t="s">
        <v>47</v>
      </c>
      <c r="S265">
        <v>0</v>
      </c>
      <c r="T265" t="s">
        <v>47</v>
      </c>
    </row>
    <row r="266" spans="1:20" x14ac:dyDescent="0.35">
      <c r="A266" s="1" t="s">
        <v>605</v>
      </c>
      <c r="B266" t="s">
        <v>14</v>
      </c>
      <c r="C266" s="19">
        <v>5</v>
      </c>
      <c r="D266" t="s">
        <v>546</v>
      </c>
      <c r="E266">
        <v>1</v>
      </c>
      <c r="F266" t="s">
        <v>45</v>
      </c>
      <c r="G266">
        <v>0</v>
      </c>
      <c r="H266" t="s">
        <v>47</v>
      </c>
      <c r="I266">
        <v>0</v>
      </c>
      <c r="J266" t="s">
        <v>47</v>
      </c>
      <c r="K266">
        <v>0</v>
      </c>
      <c r="L266" t="s">
        <v>47</v>
      </c>
      <c r="M266">
        <v>0</v>
      </c>
      <c r="N266" t="s">
        <v>47</v>
      </c>
      <c r="O266">
        <v>0</v>
      </c>
      <c r="P266" t="s">
        <v>47</v>
      </c>
      <c r="Q266">
        <v>0</v>
      </c>
      <c r="R266" t="s">
        <v>47</v>
      </c>
      <c r="S266">
        <v>0</v>
      </c>
      <c r="T266" t="s">
        <v>47</v>
      </c>
    </row>
    <row r="267" spans="1:20" x14ac:dyDescent="0.35">
      <c r="A267" s="1" t="s">
        <v>606</v>
      </c>
      <c r="B267" t="s">
        <v>14</v>
      </c>
      <c r="C267">
        <v>1</v>
      </c>
      <c r="D267" t="s">
        <v>547</v>
      </c>
      <c r="E267">
        <v>0</v>
      </c>
      <c r="F267" t="s">
        <v>47</v>
      </c>
      <c r="G267">
        <v>1</v>
      </c>
      <c r="H267" t="s">
        <v>48</v>
      </c>
      <c r="I267">
        <v>0</v>
      </c>
      <c r="J267" t="s">
        <v>47</v>
      </c>
      <c r="K267">
        <v>0</v>
      </c>
      <c r="L267" t="s">
        <v>47</v>
      </c>
      <c r="M267">
        <v>0</v>
      </c>
      <c r="N267" t="s">
        <v>47</v>
      </c>
      <c r="O267">
        <v>0</v>
      </c>
      <c r="P267" t="s">
        <v>47</v>
      </c>
      <c r="Q267">
        <v>0</v>
      </c>
      <c r="R267" t="s">
        <v>47</v>
      </c>
      <c r="S267">
        <v>0</v>
      </c>
      <c r="T267" t="s">
        <v>47</v>
      </c>
    </row>
    <row r="268" spans="1:20" x14ac:dyDescent="0.35">
      <c r="A268" s="1" t="s">
        <v>607</v>
      </c>
      <c r="B268" t="s">
        <v>14</v>
      </c>
      <c r="C268">
        <v>5</v>
      </c>
      <c r="D268" t="s">
        <v>548</v>
      </c>
      <c r="E268">
        <v>1</v>
      </c>
      <c r="F268" t="s">
        <v>45</v>
      </c>
      <c r="G268">
        <v>1</v>
      </c>
      <c r="H268" t="s">
        <v>45</v>
      </c>
      <c r="I268">
        <v>0</v>
      </c>
      <c r="J268" t="s">
        <v>47</v>
      </c>
      <c r="K268">
        <v>0</v>
      </c>
      <c r="L268" t="s">
        <v>47</v>
      </c>
      <c r="M268">
        <v>0</v>
      </c>
      <c r="N268" t="s">
        <v>47</v>
      </c>
      <c r="O268">
        <v>0</v>
      </c>
      <c r="P268" t="s">
        <v>47</v>
      </c>
      <c r="Q268">
        <v>0</v>
      </c>
      <c r="R268" t="s">
        <v>47</v>
      </c>
      <c r="S268">
        <v>0</v>
      </c>
      <c r="T268" t="s">
        <v>47</v>
      </c>
    </row>
    <row r="269" spans="1:20" x14ac:dyDescent="0.35">
      <c r="A269" s="1" t="s">
        <v>608</v>
      </c>
      <c r="B269" t="s">
        <v>14</v>
      </c>
      <c r="C269">
        <v>2</v>
      </c>
      <c r="D269" t="s">
        <v>549</v>
      </c>
      <c r="E269">
        <v>0</v>
      </c>
      <c r="F269" t="s">
        <v>47</v>
      </c>
      <c r="G269">
        <v>1</v>
      </c>
      <c r="H269" t="s">
        <v>48</v>
      </c>
      <c r="I269">
        <v>0</v>
      </c>
      <c r="J269" t="s">
        <v>47</v>
      </c>
      <c r="K269">
        <v>0</v>
      </c>
      <c r="L269" t="s">
        <v>47</v>
      </c>
      <c r="M269">
        <v>0</v>
      </c>
      <c r="N269" t="s">
        <v>47</v>
      </c>
      <c r="O269">
        <v>0</v>
      </c>
      <c r="P269" t="s">
        <v>47</v>
      </c>
      <c r="Q269">
        <v>0</v>
      </c>
      <c r="R269" t="s">
        <v>47</v>
      </c>
      <c r="S269">
        <v>0</v>
      </c>
      <c r="T269" t="s">
        <v>47</v>
      </c>
    </row>
    <row r="270" spans="1:20" x14ac:dyDescent="0.35">
      <c r="A270" s="1" t="s">
        <v>609</v>
      </c>
      <c r="B270" t="s">
        <v>16</v>
      </c>
      <c r="C270">
        <v>5</v>
      </c>
      <c r="D270" t="s">
        <v>550</v>
      </c>
      <c r="E270">
        <v>0</v>
      </c>
      <c r="F270" t="s">
        <v>47</v>
      </c>
      <c r="G270">
        <v>1</v>
      </c>
      <c r="H270" t="s">
        <v>45</v>
      </c>
      <c r="I270">
        <v>0</v>
      </c>
      <c r="J270" t="s">
        <v>47</v>
      </c>
      <c r="K270">
        <v>0</v>
      </c>
      <c r="L270" t="s">
        <v>47</v>
      </c>
      <c r="M270">
        <v>0</v>
      </c>
      <c r="N270" t="s">
        <v>47</v>
      </c>
      <c r="O270">
        <v>0</v>
      </c>
      <c r="P270" t="s">
        <v>47</v>
      </c>
      <c r="Q270">
        <v>0</v>
      </c>
      <c r="R270" t="s">
        <v>47</v>
      </c>
      <c r="S270">
        <v>0</v>
      </c>
      <c r="T270" t="s">
        <v>47</v>
      </c>
    </row>
    <row r="271" spans="1:20" x14ac:dyDescent="0.35">
      <c r="A271" s="1" t="s">
        <v>610</v>
      </c>
      <c r="B271" t="s">
        <v>14</v>
      </c>
      <c r="C271">
        <v>5</v>
      </c>
      <c r="D271" t="s">
        <v>551</v>
      </c>
      <c r="E271">
        <v>0</v>
      </c>
      <c r="F271" t="s">
        <v>47</v>
      </c>
      <c r="G271">
        <v>0</v>
      </c>
      <c r="H271" t="s">
        <v>47</v>
      </c>
      <c r="I271">
        <v>0</v>
      </c>
      <c r="J271" t="s">
        <v>47</v>
      </c>
      <c r="K271">
        <v>0</v>
      </c>
      <c r="L271" t="s">
        <v>47</v>
      </c>
      <c r="M271">
        <v>0</v>
      </c>
      <c r="N271" t="s">
        <v>47</v>
      </c>
      <c r="O271">
        <v>0</v>
      </c>
      <c r="P271" t="s">
        <v>47</v>
      </c>
      <c r="Q271">
        <v>1</v>
      </c>
      <c r="R271" t="s">
        <v>45</v>
      </c>
      <c r="S271">
        <v>0</v>
      </c>
      <c r="T271" t="s">
        <v>47</v>
      </c>
    </row>
    <row r="272" spans="1:20" x14ac:dyDescent="0.35">
      <c r="A272" s="1" t="s">
        <v>611</v>
      </c>
      <c r="B272" t="s">
        <v>16</v>
      </c>
      <c r="C272">
        <v>5</v>
      </c>
      <c r="D272" t="s">
        <v>552</v>
      </c>
      <c r="E272">
        <v>1</v>
      </c>
      <c r="F272" t="s">
        <v>45</v>
      </c>
      <c r="G272">
        <v>1</v>
      </c>
      <c r="H272" t="s">
        <v>45</v>
      </c>
      <c r="I272">
        <v>0</v>
      </c>
      <c r="J272" t="s">
        <v>47</v>
      </c>
      <c r="K272">
        <v>0</v>
      </c>
      <c r="L272" t="s">
        <v>47</v>
      </c>
      <c r="M272">
        <v>0</v>
      </c>
      <c r="N272" t="s">
        <v>47</v>
      </c>
      <c r="O272">
        <v>0</v>
      </c>
      <c r="P272" t="s">
        <v>47</v>
      </c>
      <c r="Q272">
        <v>0</v>
      </c>
      <c r="R272" t="s">
        <v>47</v>
      </c>
      <c r="S272">
        <v>0</v>
      </c>
      <c r="T272" t="s">
        <v>47</v>
      </c>
    </row>
    <row r="273" spans="1:20" x14ac:dyDescent="0.35">
      <c r="A273" s="1" t="s">
        <v>612</v>
      </c>
      <c r="B273" t="s">
        <v>16</v>
      </c>
      <c r="C273">
        <v>1</v>
      </c>
      <c r="D273" t="s">
        <v>553</v>
      </c>
      <c r="E273">
        <v>0</v>
      </c>
      <c r="F273" t="s">
        <v>47</v>
      </c>
      <c r="G273">
        <v>1</v>
      </c>
      <c r="H273" t="s">
        <v>48</v>
      </c>
      <c r="I273">
        <v>0</v>
      </c>
      <c r="J273" t="s">
        <v>47</v>
      </c>
      <c r="K273">
        <v>0</v>
      </c>
      <c r="L273" t="s">
        <v>47</v>
      </c>
      <c r="M273">
        <v>0</v>
      </c>
      <c r="N273" t="s">
        <v>47</v>
      </c>
      <c r="O273">
        <v>0</v>
      </c>
      <c r="P273" t="s">
        <v>47</v>
      </c>
      <c r="Q273">
        <v>0</v>
      </c>
      <c r="R273" t="s">
        <v>47</v>
      </c>
      <c r="S273">
        <v>0</v>
      </c>
      <c r="T273" t="s">
        <v>47</v>
      </c>
    </row>
    <row r="274" spans="1:20" x14ac:dyDescent="0.35">
      <c r="A274" s="1" t="s">
        <v>613</v>
      </c>
      <c r="B274" t="s">
        <v>14</v>
      </c>
      <c r="C274" s="18">
        <v>5</v>
      </c>
      <c r="D274" t="s">
        <v>554</v>
      </c>
      <c r="E274">
        <v>1</v>
      </c>
      <c r="F274" t="s">
        <v>45</v>
      </c>
      <c r="G274">
        <v>0</v>
      </c>
      <c r="H274" t="s">
        <v>47</v>
      </c>
      <c r="I274">
        <v>0</v>
      </c>
      <c r="J274" t="s">
        <v>47</v>
      </c>
      <c r="K274">
        <v>0</v>
      </c>
      <c r="L274" t="s">
        <v>47</v>
      </c>
      <c r="M274">
        <v>0</v>
      </c>
      <c r="N274" t="s">
        <v>47</v>
      </c>
      <c r="O274">
        <v>0</v>
      </c>
      <c r="P274" t="s">
        <v>47</v>
      </c>
      <c r="Q274">
        <v>0</v>
      </c>
      <c r="R274" t="s">
        <v>47</v>
      </c>
      <c r="S274">
        <v>0</v>
      </c>
      <c r="T274" t="s">
        <v>47</v>
      </c>
    </row>
    <row r="275" spans="1:20" x14ac:dyDescent="0.35">
      <c r="A275" s="1" t="s">
        <v>614</v>
      </c>
      <c r="B275" t="s">
        <v>16</v>
      </c>
      <c r="C275" s="19">
        <v>5</v>
      </c>
      <c r="D275" t="s">
        <v>555</v>
      </c>
      <c r="E275">
        <v>1</v>
      </c>
      <c r="F275" t="s">
        <v>45</v>
      </c>
      <c r="G275">
        <v>0</v>
      </c>
      <c r="H275" t="s">
        <v>47</v>
      </c>
      <c r="I275">
        <v>0</v>
      </c>
      <c r="J275" t="s">
        <v>47</v>
      </c>
      <c r="K275">
        <v>0</v>
      </c>
      <c r="L275" t="s">
        <v>47</v>
      </c>
      <c r="M275">
        <v>0</v>
      </c>
      <c r="N275" t="s">
        <v>47</v>
      </c>
      <c r="O275">
        <v>0</v>
      </c>
      <c r="P275" t="s">
        <v>47</v>
      </c>
      <c r="Q275">
        <v>0</v>
      </c>
      <c r="R275" t="s">
        <v>47</v>
      </c>
      <c r="S275">
        <v>0</v>
      </c>
      <c r="T275" t="s">
        <v>47</v>
      </c>
    </row>
    <row r="276" spans="1:20" x14ac:dyDescent="0.35">
      <c r="A276" s="1" t="s">
        <v>615</v>
      </c>
      <c r="B276" t="s">
        <v>16</v>
      </c>
      <c r="C276" s="18">
        <v>5</v>
      </c>
      <c r="D276" t="s">
        <v>556</v>
      </c>
      <c r="E276">
        <v>1</v>
      </c>
      <c r="F276" t="s">
        <v>45</v>
      </c>
      <c r="G276">
        <v>0</v>
      </c>
      <c r="H276" t="s">
        <v>47</v>
      </c>
      <c r="I276">
        <v>0</v>
      </c>
      <c r="J276" t="s">
        <v>47</v>
      </c>
      <c r="K276">
        <v>0</v>
      </c>
      <c r="L276" t="s">
        <v>47</v>
      </c>
      <c r="M276">
        <v>0</v>
      </c>
      <c r="N276" t="s">
        <v>47</v>
      </c>
      <c r="O276">
        <v>0</v>
      </c>
      <c r="P276" t="s">
        <v>47</v>
      </c>
      <c r="Q276">
        <v>0</v>
      </c>
      <c r="R276" t="s">
        <v>47</v>
      </c>
      <c r="S276">
        <v>0</v>
      </c>
      <c r="T276" t="s">
        <v>47</v>
      </c>
    </row>
    <row r="277" spans="1:20" x14ac:dyDescent="0.35">
      <c r="A277" s="1" t="s">
        <v>616</v>
      </c>
      <c r="B277" t="s">
        <v>14</v>
      </c>
      <c r="C277" s="19">
        <v>5</v>
      </c>
      <c r="D277" t="s">
        <v>557</v>
      </c>
      <c r="E277">
        <v>1</v>
      </c>
      <c r="F277" t="s">
        <v>45</v>
      </c>
      <c r="G277">
        <v>0</v>
      </c>
      <c r="H277" t="s">
        <v>47</v>
      </c>
      <c r="I277">
        <v>0</v>
      </c>
      <c r="J277" t="s">
        <v>47</v>
      </c>
      <c r="K277">
        <v>0</v>
      </c>
      <c r="L277" t="s">
        <v>47</v>
      </c>
      <c r="M277">
        <v>0</v>
      </c>
      <c r="N277" t="s">
        <v>47</v>
      </c>
      <c r="O277">
        <v>1</v>
      </c>
      <c r="P277" t="s">
        <v>45</v>
      </c>
      <c r="Q277">
        <v>0</v>
      </c>
      <c r="R277" t="s">
        <v>47</v>
      </c>
      <c r="S277">
        <v>0</v>
      </c>
      <c r="T277" t="s">
        <v>47</v>
      </c>
    </row>
    <row r="278" spans="1:20" x14ac:dyDescent="0.35">
      <c r="A278" s="1" t="s">
        <v>617</v>
      </c>
      <c r="B278" t="s">
        <v>14</v>
      </c>
      <c r="C278" s="18">
        <v>5</v>
      </c>
      <c r="D278" t="s">
        <v>558</v>
      </c>
      <c r="E278">
        <v>0</v>
      </c>
      <c r="F278" t="s">
        <v>47</v>
      </c>
      <c r="G278">
        <v>0</v>
      </c>
      <c r="H278" t="s">
        <v>47</v>
      </c>
      <c r="I278">
        <v>0</v>
      </c>
      <c r="J278" t="s">
        <v>47</v>
      </c>
      <c r="K278">
        <v>0</v>
      </c>
      <c r="L278" t="s">
        <v>47</v>
      </c>
      <c r="M278">
        <v>0</v>
      </c>
      <c r="N278" t="s">
        <v>47</v>
      </c>
      <c r="O278">
        <v>0</v>
      </c>
      <c r="P278" t="s">
        <v>47</v>
      </c>
      <c r="Q278">
        <v>1</v>
      </c>
      <c r="R278" t="s">
        <v>45</v>
      </c>
      <c r="S278">
        <v>0</v>
      </c>
      <c r="T278" t="s">
        <v>47</v>
      </c>
    </row>
    <row r="279" spans="1:20" x14ac:dyDescent="0.35">
      <c r="A279" s="1" t="s">
        <v>618</v>
      </c>
      <c r="B279" t="s">
        <v>16</v>
      </c>
      <c r="C279" s="19">
        <v>5</v>
      </c>
      <c r="D279" t="s">
        <v>559</v>
      </c>
      <c r="E279">
        <v>1</v>
      </c>
      <c r="F279" t="s">
        <v>45</v>
      </c>
      <c r="G279">
        <v>1</v>
      </c>
      <c r="H279" t="s">
        <v>45</v>
      </c>
      <c r="I279">
        <v>0</v>
      </c>
      <c r="J279" t="s">
        <v>47</v>
      </c>
      <c r="K279">
        <v>0</v>
      </c>
      <c r="L279" t="s">
        <v>47</v>
      </c>
      <c r="M279">
        <v>0</v>
      </c>
      <c r="N279" t="s">
        <v>47</v>
      </c>
      <c r="O279">
        <v>0</v>
      </c>
      <c r="P279" t="s">
        <v>47</v>
      </c>
      <c r="Q279">
        <v>0</v>
      </c>
      <c r="R279" t="s">
        <v>47</v>
      </c>
      <c r="S279">
        <v>0</v>
      </c>
      <c r="T279" t="s">
        <v>47</v>
      </c>
    </row>
    <row r="280" spans="1:20" x14ac:dyDescent="0.35">
      <c r="A280" s="1" t="s">
        <v>619</v>
      </c>
      <c r="B280" t="s">
        <v>14</v>
      </c>
      <c r="C280" s="18">
        <v>5</v>
      </c>
      <c r="D280" t="s">
        <v>560</v>
      </c>
      <c r="E280">
        <v>1</v>
      </c>
      <c r="F280" t="s">
        <v>45</v>
      </c>
      <c r="G280">
        <v>0</v>
      </c>
      <c r="H280" t="s">
        <v>47</v>
      </c>
      <c r="I280">
        <v>0</v>
      </c>
      <c r="J280" t="s">
        <v>47</v>
      </c>
      <c r="K280">
        <v>0</v>
      </c>
      <c r="L280" t="s">
        <v>47</v>
      </c>
      <c r="M280">
        <v>0</v>
      </c>
      <c r="N280" t="s">
        <v>47</v>
      </c>
      <c r="O280">
        <v>0</v>
      </c>
      <c r="P280" t="s">
        <v>47</v>
      </c>
      <c r="Q280">
        <v>0</v>
      </c>
      <c r="R280" t="s">
        <v>47</v>
      </c>
      <c r="S280">
        <v>0</v>
      </c>
      <c r="T280" t="s">
        <v>47</v>
      </c>
    </row>
    <row r="281" spans="1:20" x14ac:dyDescent="0.35">
      <c r="A281" s="1" t="s">
        <v>620</v>
      </c>
      <c r="B281" t="s">
        <v>14</v>
      </c>
      <c r="C281" s="19">
        <v>5</v>
      </c>
      <c r="D281" t="s">
        <v>561</v>
      </c>
      <c r="E281">
        <v>1</v>
      </c>
      <c r="F281" t="s">
        <v>45</v>
      </c>
      <c r="G281">
        <v>0</v>
      </c>
      <c r="H281" t="s">
        <v>47</v>
      </c>
      <c r="I281">
        <v>0</v>
      </c>
      <c r="J281" t="s">
        <v>47</v>
      </c>
      <c r="K281">
        <v>0</v>
      </c>
      <c r="L281" t="s">
        <v>47</v>
      </c>
      <c r="M281">
        <v>0</v>
      </c>
      <c r="N281" t="s">
        <v>47</v>
      </c>
      <c r="O281">
        <v>0</v>
      </c>
      <c r="P281" t="s">
        <v>47</v>
      </c>
      <c r="Q281">
        <v>0</v>
      </c>
      <c r="R281" t="s">
        <v>47</v>
      </c>
      <c r="S281">
        <v>0</v>
      </c>
      <c r="T281" t="s">
        <v>47</v>
      </c>
    </row>
    <row r="282" spans="1:20" x14ac:dyDescent="0.35">
      <c r="A282" s="1" t="s">
        <v>621</v>
      </c>
      <c r="B282" t="s">
        <v>14</v>
      </c>
      <c r="C282" s="18">
        <v>5</v>
      </c>
      <c r="D282" t="s">
        <v>632</v>
      </c>
      <c r="E282">
        <v>1</v>
      </c>
      <c r="F282" t="s">
        <v>45</v>
      </c>
      <c r="G282">
        <v>0</v>
      </c>
      <c r="H282" t="s">
        <v>47</v>
      </c>
      <c r="I282">
        <v>0</v>
      </c>
      <c r="J282" t="s">
        <v>47</v>
      </c>
      <c r="K282">
        <v>0</v>
      </c>
      <c r="L282" t="s">
        <v>47</v>
      </c>
      <c r="M282">
        <v>0</v>
      </c>
      <c r="N282" t="s">
        <v>47</v>
      </c>
      <c r="O282">
        <v>0</v>
      </c>
      <c r="P282" t="s">
        <v>47</v>
      </c>
      <c r="Q282">
        <v>0</v>
      </c>
      <c r="R282" t="s">
        <v>47</v>
      </c>
      <c r="S282">
        <v>0</v>
      </c>
      <c r="T282" t="s">
        <v>47</v>
      </c>
    </row>
    <row r="283" spans="1:20" x14ac:dyDescent="0.35">
      <c r="A283" s="1" t="s">
        <v>622</v>
      </c>
      <c r="B283" t="s">
        <v>14</v>
      </c>
      <c r="C283" s="19">
        <v>5</v>
      </c>
      <c r="D283" t="s">
        <v>562</v>
      </c>
      <c r="E283">
        <v>0</v>
      </c>
      <c r="F283" t="s">
        <v>47</v>
      </c>
      <c r="G283">
        <v>1</v>
      </c>
      <c r="H283" t="s">
        <v>45</v>
      </c>
      <c r="I283">
        <v>0</v>
      </c>
      <c r="J283" t="s">
        <v>47</v>
      </c>
      <c r="K283">
        <v>0</v>
      </c>
      <c r="L283" t="s">
        <v>47</v>
      </c>
      <c r="M283">
        <v>0</v>
      </c>
      <c r="N283" t="s">
        <v>47</v>
      </c>
      <c r="O283">
        <v>0</v>
      </c>
      <c r="P283" t="s">
        <v>47</v>
      </c>
      <c r="Q283">
        <v>0</v>
      </c>
      <c r="R283" t="s">
        <v>47</v>
      </c>
      <c r="S283">
        <v>0</v>
      </c>
      <c r="T283" t="s">
        <v>47</v>
      </c>
    </row>
    <row r="284" spans="1:20" x14ac:dyDescent="0.35">
      <c r="A284" s="1" t="s">
        <v>623</v>
      </c>
      <c r="B284" t="s">
        <v>14</v>
      </c>
      <c r="C284">
        <v>5</v>
      </c>
      <c r="D284" t="s">
        <v>563</v>
      </c>
      <c r="E284">
        <v>1</v>
      </c>
      <c r="F284" t="s">
        <v>45</v>
      </c>
      <c r="G284">
        <v>0</v>
      </c>
      <c r="H284" t="s">
        <v>47</v>
      </c>
      <c r="I284">
        <v>0</v>
      </c>
      <c r="J284" t="s">
        <v>47</v>
      </c>
      <c r="K284">
        <v>0</v>
      </c>
      <c r="L284" t="s">
        <v>47</v>
      </c>
      <c r="M284">
        <v>0</v>
      </c>
      <c r="N284" t="s">
        <v>47</v>
      </c>
      <c r="O284">
        <v>0</v>
      </c>
      <c r="P284" t="s">
        <v>47</v>
      </c>
      <c r="Q284">
        <v>0</v>
      </c>
      <c r="R284" t="s">
        <v>47</v>
      </c>
      <c r="S284">
        <v>0</v>
      </c>
      <c r="T284" t="s">
        <v>47</v>
      </c>
    </row>
    <row r="285" spans="1:20" x14ac:dyDescent="0.35">
      <c r="A285" s="1" t="s">
        <v>624</v>
      </c>
      <c r="B285" t="s">
        <v>14</v>
      </c>
      <c r="C285">
        <v>5</v>
      </c>
      <c r="D285" t="s">
        <v>564</v>
      </c>
      <c r="E285">
        <v>1</v>
      </c>
      <c r="F285" t="s">
        <v>45</v>
      </c>
      <c r="G285">
        <v>0</v>
      </c>
      <c r="H285" t="s">
        <v>47</v>
      </c>
      <c r="I285">
        <v>0</v>
      </c>
      <c r="J285" t="s">
        <v>47</v>
      </c>
      <c r="K285">
        <v>0</v>
      </c>
      <c r="L285" t="s">
        <v>47</v>
      </c>
      <c r="M285">
        <v>0</v>
      </c>
      <c r="N285" t="s">
        <v>47</v>
      </c>
      <c r="O285">
        <v>0</v>
      </c>
      <c r="P285" t="s">
        <v>47</v>
      </c>
      <c r="Q285">
        <v>0</v>
      </c>
      <c r="R285" t="s">
        <v>47</v>
      </c>
      <c r="S285">
        <v>0</v>
      </c>
      <c r="T285" t="s">
        <v>47</v>
      </c>
    </row>
    <row r="286" spans="1:20" x14ac:dyDescent="0.35">
      <c r="A286" s="1" t="s">
        <v>625</v>
      </c>
      <c r="B286" t="s">
        <v>14</v>
      </c>
      <c r="C286">
        <v>5</v>
      </c>
      <c r="D286" t="s">
        <v>565</v>
      </c>
      <c r="E286">
        <v>1</v>
      </c>
      <c r="F286" t="s">
        <v>45</v>
      </c>
      <c r="G286">
        <v>0</v>
      </c>
      <c r="H286" t="s">
        <v>47</v>
      </c>
      <c r="I286">
        <v>0</v>
      </c>
      <c r="J286" t="s">
        <v>47</v>
      </c>
      <c r="K286">
        <v>0</v>
      </c>
      <c r="L286" t="s">
        <v>47</v>
      </c>
      <c r="M286">
        <v>0</v>
      </c>
      <c r="N286" t="s">
        <v>47</v>
      </c>
      <c r="O286">
        <v>0</v>
      </c>
      <c r="P286" t="s">
        <v>47</v>
      </c>
      <c r="Q286">
        <v>0</v>
      </c>
      <c r="R286" t="s">
        <v>47</v>
      </c>
      <c r="S286">
        <v>0</v>
      </c>
      <c r="T286" t="s">
        <v>47</v>
      </c>
    </row>
    <row r="287" spans="1:20" x14ac:dyDescent="0.35">
      <c r="A287" s="1" t="s">
        <v>626</v>
      </c>
      <c r="B287" t="s">
        <v>14</v>
      </c>
      <c r="C287">
        <v>5</v>
      </c>
      <c r="D287" t="s">
        <v>566</v>
      </c>
      <c r="E287">
        <v>1</v>
      </c>
      <c r="F287" t="s">
        <v>45</v>
      </c>
      <c r="G287">
        <v>0</v>
      </c>
      <c r="H287" t="s">
        <v>47</v>
      </c>
      <c r="I287">
        <v>0</v>
      </c>
      <c r="J287" t="s">
        <v>47</v>
      </c>
      <c r="K287">
        <v>0</v>
      </c>
      <c r="L287" t="s">
        <v>47</v>
      </c>
      <c r="M287">
        <v>0</v>
      </c>
      <c r="N287" t="s">
        <v>47</v>
      </c>
      <c r="O287">
        <v>0</v>
      </c>
      <c r="P287" t="s">
        <v>47</v>
      </c>
      <c r="Q287">
        <v>0</v>
      </c>
      <c r="R287" t="s">
        <v>47</v>
      </c>
      <c r="S287">
        <v>0</v>
      </c>
      <c r="T287" t="s">
        <v>47</v>
      </c>
    </row>
    <row r="288" spans="1:20" x14ac:dyDescent="0.35">
      <c r="A288" s="1" t="s">
        <v>627</v>
      </c>
      <c r="B288" t="s">
        <v>14</v>
      </c>
      <c r="C288">
        <v>5</v>
      </c>
      <c r="D288" t="s">
        <v>567</v>
      </c>
      <c r="E288">
        <v>1</v>
      </c>
      <c r="F288" t="s">
        <v>45</v>
      </c>
      <c r="G288">
        <v>0</v>
      </c>
      <c r="H288" t="s">
        <v>47</v>
      </c>
      <c r="I288">
        <v>0</v>
      </c>
      <c r="J288" t="s">
        <v>47</v>
      </c>
      <c r="K288">
        <v>0</v>
      </c>
      <c r="L288" t="s">
        <v>47</v>
      </c>
      <c r="M288">
        <v>0</v>
      </c>
      <c r="N288" t="s">
        <v>47</v>
      </c>
      <c r="O288">
        <v>1</v>
      </c>
      <c r="P288" t="s">
        <v>45</v>
      </c>
      <c r="Q288">
        <v>0</v>
      </c>
      <c r="R288" t="s">
        <v>47</v>
      </c>
      <c r="S288">
        <v>0</v>
      </c>
      <c r="T288" t="s">
        <v>47</v>
      </c>
    </row>
    <row r="289" spans="1:20" x14ac:dyDescent="0.35">
      <c r="A289" s="1" t="s">
        <v>628</v>
      </c>
      <c r="B289" t="s">
        <v>14</v>
      </c>
      <c r="C289">
        <v>5</v>
      </c>
      <c r="D289" t="s">
        <v>568</v>
      </c>
      <c r="E289">
        <v>1</v>
      </c>
      <c r="F289" t="s">
        <v>45</v>
      </c>
      <c r="G289">
        <v>0</v>
      </c>
      <c r="H289" t="s">
        <v>47</v>
      </c>
      <c r="I289">
        <v>0</v>
      </c>
      <c r="J289" t="s">
        <v>47</v>
      </c>
      <c r="K289">
        <v>0</v>
      </c>
      <c r="L289" t="s">
        <v>47</v>
      </c>
      <c r="M289">
        <v>0</v>
      </c>
      <c r="N289" t="s">
        <v>47</v>
      </c>
      <c r="O289">
        <v>0</v>
      </c>
      <c r="P289" t="s">
        <v>47</v>
      </c>
      <c r="Q289">
        <v>0</v>
      </c>
      <c r="R289" t="s">
        <v>47</v>
      </c>
      <c r="S289">
        <v>0</v>
      </c>
      <c r="T289" t="s">
        <v>47</v>
      </c>
    </row>
    <row r="290" spans="1:20" x14ac:dyDescent="0.35">
      <c r="A290" s="1" t="s">
        <v>629</v>
      </c>
      <c r="B290" t="s">
        <v>14</v>
      </c>
      <c r="C290">
        <v>5</v>
      </c>
      <c r="D290" t="s">
        <v>569</v>
      </c>
      <c r="E290">
        <v>1</v>
      </c>
      <c r="F290" t="s">
        <v>45</v>
      </c>
      <c r="G290">
        <v>0</v>
      </c>
      <c r="H290" t="s">
        <v>47</v>
      </c>
      <c r="I290">
        <v>0</v>
      </c>
      <c r="J290" t="s">
        <v>47</v>
      </c>
      <c r="K290">
        <v>0</v>
      </c>
      <c r="L290" t="s">
        <v>47</v>
      </c>
      <c r="M290">
        <v>0</v>
      </c>
      <c r="N290" t="s">
        <v>47</v>
      </c>
      <c r="O290">
        <v>1</v>
      </c>
      <c r="P290" t="s">
        <v>45</v>
      </c>
      <c r="Q290">
        <v>0</v>
      </c>
      <c r="R290" t="s">
        <v>47</v>
      </c>
      <c r="S290">
        <v>0</v>
      </c>
      <c r="T290" t="s">
        <v>47</v>
      </c>
    </row>
    <row r="291" spans="1:20" x14ac:dyDescent="0.35">
      <c r="A291" s="1" t="s">
        <v>630</v>
      </c>
      <c r="B291" t="s">
        <v>14</v>
      </c>
      <c r="C291">
        <v>5</v>
      </c>
      <c r="D291" t="s">
        <v>570</v>
      </c>
      <c r="E291">
        <v>0</v>
      </c>
      <c r="F291" t="s">
        <v>47</v>
      </c>
      <c r="G291">
        <v>0</v>
      </c>
      <c r="H291" t="s">
        <v>47</v>
      </c>
      <c r="I291">
        <v>0</v>
      </c>
      <c r="J291" t="s">
        <v>47</v>
      </c>
      <c r="K291">
        <v>0</v>
      </c>
      <c r="L291" t="s">
        <v>47</v>
      </c>
      <c r="M291">
        <v>0</v>
      </c>
      <c r="N291" t="s">
        <v>47</v>
      </c>
      <c r="O291">
        <v>0</v>
      </c>
      <c r="P291" t="s">
        <v>47</v>
      </c>
      <c r="Q291">
        <v>1</v>
      </c>
      <c r="R291" t="s">
        <v>45</v>
      </c>
      <c r="S291">
        <v>0</v>
      </c>
      <c r="T291" t="s">
        <v>47</v>
      </c>
    </row>
    <row r="292" spans="1:20" x14ac:dyDescent="0.35">
      <c r="A292" s="1" t="s">
        <v>631</v>
      </c>
      <c r="B292" t="s">
        <v>14</v>
      </c>
      <c r="C292">
        <v>5</v>
      </c>
      <c r="D292" t="s">
        <v>571</v>
      </c>
      <c r="E292">
        <v>1</v>
      </c>
      <c r="F292" t="s">
        <v>45</v>
      </c>
      <c r="G292">
        <v>0</v>
      </c>
      <c r="H292" t="s">
        <v>47</v>
      </c>
      <c r="I292">
        <v>0</v>
      </c>
      <c r="J292" t="s">
        <v>47</v>
      </c>
      <c r="K292">
        <v>0</v>
      </c>
      <c r="L292" t="s">
        <v>47</v>
      </c>
      <c r="M292">
        <v>0</v>
      </c>
      <c r="N292" t="s">
        <v>47</v>
      </c>
      <c r="O292">
        <v>0</v>
      </c>
      <c r="P292" t="s">
        <v>47</v>
      </c>
      <c r="Q292">
        <v>0</v>
      </c>
      <c r="R292" t="s">
        <v>47</v>
      </c>
      <c r="S292">
        <v>0</v>
      </c>
      <c r="T292" t="s">
        <v>47</v>
      </c>
    </row>
    <row r="293" spans="1:20" x14ac:dyDescent="0.35">
      <c r="A293" s="1" t="s">
        <v>683</v>
      </c>
      <c r="B293" t="s">
        <v>14</v>
      </c>
      <c r="C293">
        <v>5</v>
      </c>
      <c r="D293" t="s">
        <v>633</v>
      </c>
      <c r="E293">
        <v>1</v>
      </c>
      <c r="F293" t="s">
        <v>45</v>
      </c>
      <c r="G293">
        <v>0</v>
      </c>
      <c r="H293" t="s">
        <v>47</v>
      </c>
      <c r="I293">
        <v>0</v>
      </c>
      <c r="J293" t="s">
        <v>47</v>
      </c>
      <c r="K293">
        <v>0</v>
      </c>
      <c r="L293" t="s">
        <v>47</v>
      </c>
      <c r="M293">
        <v>0</v>
      </c>
      <c r="N293" t="s">
        <v>47</v>
      </c>
      <c r="O293">
        <v>0</v>
      </c>
      <c r="P293" t="s">
        <v>47</v>
      </c>
      <c r="Q293">
        <v>0</v>
      </c>
      <c r="R293" t="s">
        <v>47</v>
      </c>
      <c r="S293">
        <v>0</v>
      </c>
      <c r="T293" t="s">
        <v>47</v>
      </c>
    </row>
    <row r="294" spans="1:20" x14ac:dyDescent="0.35">
      <c r="A294" s="1" t="s">
        <v>684</v>
      </c>
      <c r="B294" t="s">
        <v>16</v>
      </c>
      <c r="C294">
        <v>5</v>
      </c>
      <c r="D294" t="s">
        <v>634</v>
      </c>
      <c r="E294">
        <v>1</v>
      </c>
      <c r="F294" t="s">
        <v>45</v>
      </c>
      <c r="G294">
        <v>1</v>
      </c>
      <c r="H294" t="s">
        <v>45</v>
      </c>
      <c r="I294">
        <v>0</v>
      </c>
      <c r="J294" t="s">
        <v>47</v>
      </c>
      <c r="K294">
        <v>0</v>
      </c>
      <c r="L294" t="s">
        <v>47</v>
      </c>
      <c r="M294">
        <v>0</v>
      </c>
      <c r="N294" t="s">
        <v>47</v>
      </c>
      <c r="O294">
        <v>0</v>
      </c>
      <c r="P294" t="s">
        <v>47</v>
      </c>
      <c r="Q294">
        <v>0</v>
      </c>
      <c r="R294" t="s">
        <v>47</v>
      </c>
      <c r="S294">
        <v>0</v>
      </c>
      <c r="T294" t="s">
        <v>47</v>
      </c>
    </row>
    <row r="295" spans="1:20" x14ac:dyDescent="0.35">
      <c r="A295" s="1" t="s">
        <v>685</v>
      </c>
      <c r="B295" t="s">
        <v>14</v>
      </c>
      <c r="C295">
        <v>5</v>
      </c>
      <c r="D295" t="s">
        <v>635</v>
      </c>
      <c r="E295">
        <v>1</v>
      </c>
      <c r="F295" t="s">
        <v>45</v>
      </c>
      <c r="G295">
        <v>0</v>
      </c>
      <c r="H295" t="s">
        <v>47</v>
      </c>
      <c r="I295">
        <v>0</v>
      </c>
      <c r="J295" t="s">
        <v>47</v>
      </c>
      <c r="K295">
        <v>0</v>
      </c>
      <c r="L295" t="s">
        <v>47</v>
      </c>
      <c r="M295">
        <v>0</v>
      </c>
      <c r="N295" t="s">
        <v>47</v>
      </c>
      <c r="O295">
        <v>0</v>
      </c>
      <c r="P295" t="s">
        <v>47</v>
      </c>
      <c r="Q295">
        <v>0</v>
      </c>
      <c r="R295" t="s">
        <v>47</v>
      </c>
      <c r="S295">
        <v>0</v>
      </c>
      <c r="T295" t="s">
        <v>47</v>
      </c>
    </row>
    <row r="296" spans="1:20" x14ac:dyDescent="0.35">
      <c r="A296" s="1" t="s">
        <v>686</v>
      </c>
      <c r="B296" t="s">
        <v>16</v>
      </c>
      <c r="C296">
        <v>5</v>
      </c>
      <c r="D296" t="s">
        <v>636</v>
      </c>
      <c r="E296">
        <v>1</v>
      </c>
      <c r="F296" t="s">
        <v>45</v>
      </c>
      <c r="G296">
        <v>0</v>
      </c>
      <c r="H296" t="s">
        <v>47</v>
      </c>
      <c r="I296">
        <v>0</v>
      </c>
      <c r="J296" t="s">
        <v>47</v>
      </c>
      <c r="K296">
        <v>0</v>
      </c>
      <c r="L296" t="s">
        <v>47</v>
      </c>
      <c r="M296">
        <v>0</v>
      </c>
      <c r="N296" t="s">
        <v>47</v>
      </c>
      <c r="O296">
        <v>0</v>
      </c>
      <c r="P296" t="s">
        <v>47</v>
      </c>
      <c r="Q296">
        <v>0</v>
      </c>
      <c r="R296" t="s">
        <v>47</v>
      </c>
      <c r="S296">
        <v>0</v>
      </c>
      <c r="T296" t="s">
        <v>47</v>
      </c>
    </row>
    <row r="297" spans="1:20" x14ac:dyDescent="0.35">
      <c r="A297" s="1" t="s">
        <v>687</v>
      </c>
      <c r="B297" t="s">
        <v>16</v>
      </c>
      <c r="C297">
        <v>1</v>
      </c>
      <c r="D297" t="s">
        <v>637</v>
      </c>
      <c r="E297">
        <v>0</v>
      </c>
      <c r="F297" t="s">
        <v>47</v>
      </c>
      <c r="G297">
        <v>1</v>
      </c>
      <c r="H297" t="s">
        <v>48</v>
      </c>
      <c r="I297">
        <v>0</v>
      </c>
      <c r="J297" t="s">
        <v>47</v>
      </c>
      <c r="K297">
        <v>1</v>
      </c>
      <c r="L297" t="s">
        <v>45</v>
      </c>
      <c r="M297">
        <v>1</v>
      </c>
      <c r="N297" t="s">
        <v>48</v>
      </c>
      <c r="O297">
        <v>0</v>
      </c>
      <c r="P297" t="s">
        <v>47</v>
      </c>
      <c r="Q297">
        <v>0</v>
      </c>
      <c r="R297" t="s">
        <v>47</v>
      </c>
      <c r="S297">
        <v>0</v>
      </c>
      <c r="T297" t="s">
        <v>47</v>
      </c>
    </row>
    <row r="298" spans="1:20" x14ac:dyDescent="0.35">
      <c r="A298" s="1" t="s">
        <v>688</v>
      </c>
      <c r="B298" t="s">
        <v>16</v>
      </c>
      <c r="C298">
        <v>1</v>
      </c>
      <c r="D298" t="s">
        <v>638</v>
      </c>
      <c r="E298">
        <v>1</v>
      </c>
      <c r="F298" t="s">
        <v>48</v>
      </c>
      <c r="G298">
        <v>0</v>
      </c>
      <c r="H298" t="s">
        <v>47</v>
      </c>
      <c r="I298">
        <v>0</v>
      </c>
      <c r="J298" t="s">
        <v>47</v>
      </c>
      <c r="K298">
        <v>0</v>
      </c>
      <c r="L298" t="s">
        <v>47</v>
      </c>
      <c r="M298">
        <v>0</v>
      </c>
      <c r="N298" t="s">
        <v>47</v>
      </c>
      <c r="O298">
        <v>0</v>
      </c>
      <c r="P298" t="s">
        <v>47</v>
      </c>
      <c r="Q298">
        <v>0</v>
      </c>
      <c r="R298" t="s">
        <v>47</v>
      </c>
      <c r="S298">
        <v>0</v>
      </c>
      <c r="T298" t="s">
        <v>47</v>
      </c>
    </row>
    <row r="299" spans="1:20" x14ac:dyDescent="0.35">
      <c r="A299" s="1" t="s">
        <v>689</v>
      </c>
      <c r="B299" t="s">
        <v>14</v>
      </c>
      <c r="C299">
        <v>3</v>
      </c>
      <c r="D299" t="s">
        <v>639</v>
      </c>
      <c r="E299">
        <v>1</v>
      </c>
      <c r="F299" t="s">
        <v>45</v>
      </c>
      <c r="G299">
        <v>1</v>
      </c>
      <c r="H299" t="s">
        <v>48</v>
      </c>
      <c r="I299">
        <v>0</v>
      </c>
      <c r="J299" t="s">
        <v>47</v>
      </c>
      <c r="K299">
        <v>0</v>
      </c>
      <c r="L299" t="s">
        <v>47</v>
      </c>
      <c r="M299">
        <v>0</v>
      </c>
      <c r="N299" t="s">
        <v>47</v>
      </c>
      <c r="O299">
        <v>0</v>
      </c>
      <c r="P299" t="s">
        <v>47</v>
      </c>
      <c r="Q299">
        <v>1</v>
      </c>
      <c r="R299" t="s">
        <v>48</v>
      </c>
      <c r="S299">
        <v>0</v>
      </c>
      <c r="T299" t="s">
        <v>47</v>
      </c>
    </row>
    <row r="300" spans="1:20" x14ac:dyDescent="0.35">
      <c r="A300" s="1" t="s">
        <v>690</v>
      </c>
      <c r="B300" t="s">
        <v>14</v>
      </c>
      <c r="C300">
        <v>1</v>
      </c>
      <c r="D300" t="s">
        <v>640</v>
      </c>
      <c r="E300">
        <v>0</v>
      </c>
      <c r="F300" t="s">
        <v>47</v>
      </c>
      <c r="G300">
        <v>1</v>
      </c>
      <c r="H300" t="s">
        <v>48</v>
      </c>
      <c r="I300">
        <v>0</v>
      </c>
      <c r="J300" t="s">
        <v>47</v>
      </c>
      <c r="K300">
        <v>0</v>
      </c>
      <c r="L300" t="s">
        <v>47</v>
      </c>
      <c r="M300">
        <v>0</v>
      </c>
      <c r="N300" t="s">
        <v>47</v>
      </c>
      <c r="O300">
        <v>1</v>
      </c>
      <c r="P300" t="s">
        <v>48</v>
      </c>
      <c r="Q300">
        <v>0</v>
      </c>
      <c r="R300" t="s">
        <v>47</v>
      </c>
      <c r="S300">
        <v>0</v>
      </c>
      <c r="T300" t="s">
        <v>47</v>
      </c>
    </row>
    <row r="301" spans="1:20" x14ac:dyDescent="0.35">
      <c r="A301" s="1" t="s">
        <v>691</v>
      </c>
      <c r="B301" t="s">
        <v>16</v>
      </c>
      <c r="C301">
        <v>2</v>
      </c>
      <c r="D301" t="s">
        <v>641</v>
      </c>
      <c r="E301">
        <v>1</v>
      </c>
      <c r="F301" t="s">
        <v>48</v>
      </c>
      <c r="G301">
        <v>0</v>
      </c>
      <c r="H301" t="s">
        <v>47</v>
      </c>
      <c r="I301">
        <v>0</v>
      </c>
      <c r="J301" t="s">
        <v>47</v>
      </c>
      <c r="K301">
        <v>1</v>
      </c>
      <c r="L301" t="s">
        <v>48</v>
      </c>
      <c r="M301">
        <v>0</v>
      </c>
      <c r="N301" t="s">
        <v>47</v>
      </c>
      <c r="O301">
        <v>0</v>
      </c>
      <c r="P301" t="s">
        <v>47</v>
      </c>
      <c r="Q301">
        <v>0</v>
      </c>
      <c r="R301" t="s">
        <v>47</v>
      </c>
      <c r="S301">
        <v>0</v>
      </c>
      <c r="T301" t="s">
        <v>47</v>
      </c>
    </row>
    <row r="302" spans="1:20" x14ac:dyDescent="0.35">
      <c r="A302" s="1" t="s">
        <v>692</v>
      </c>
      <c r="B302" t="s">
        <v>16</v>
      </c>
      <c r="C302">
        <v>2</v>
      </c>
      <c r="D302" t="s">
        <v>642</v>
      </c>
      <c r="E302">
        <v>1</v>
      </c>
      <c r="F302" t="s">
        <v>45</v>
      </c>
      <c r="G302">
        <v>1</v>
      </c>
      <c r="H302" t="s">
        <v>48</v>
      </c>
      <c r="I302">
        <v>0</v>
      </c>
      <c r="J302" t="s">
        <v>47</v>
      </c>
      <c r="K302">
        <v>0</v>
      </c>
      <c r="L302" t="s">
        <v>47</v>
      </c>
      <c r="M302">
        <v>0</v>
      </c>
      <c r="N302" t="s">
        <v>47</v>
      </c>
      <c r="O302">
        <v>0</v>
      </c>
      <c r="P302" t="s">
        <v>47</v>
      </c>
      <c r="Q302">
        <v>0</v>
      </c>
      <c r="R302" t="s">
        <v>47</v>
      </c>
      <c r="S302">
        <v>0</v>
      </c>
      <c r="T302" t="s">
        <v>47</v>
      </c>
    </row>
    <row r="303" spans="1:20" x14ac:dyDescent="0.35">
      <c r="A303" s="1" t="s">
        <v>693</v>
      </c>
      <c r="B303" t="s">
        <v>16</v>
      </c>
      <c r="C303">
        <v>1</v>
      </c>
      <c r="D303" t="s">
        <v>643</v>
      </c>
      <c r="E303">
        <v>0</v>
      </c>
      <c r="F303" t="s">
        <v>47</v>
      </c>
      <c r="G303">
        <v>1</v>
      </c>
      <c r="H303" t="s">
        <v>48</v>
      </c>
      <c r="I303">
        <v>0</v>
      </c>
      <c r="J303" t="s">
        <v>47</v>
      </c>
      <c r="K303">
        <v>0</v>
      </c>
      <c r="L303" t="s">
        <v>47</v>
      </c>
      <c r="M303">
        <v>0</v>
      </c>
      <c r="N303" t="s">
        <v>47</v>
      </c>
      <c r="O303">
        <v>0</v>
      </c>
      <c r="P303" t="s">
        <v>47</v>
      </c>
      <c r="Q303">
        <v>1</v>
      </c>
      <c r="R303" t="s">
        <v>48</v>
      </c>
      <c r="S303">
        <v>0</v>
      </c>
      <c r="T303" t="s">
        <v>47</v>
      </c>
    </row>
    <row r="304" spans="1:20" x14ac:dyDescent="0.35">
      <c r="A304" s="1" t="s">
        <v>694</v>
      </c>
      <c r="B304" t="s">
        <v>16</v>
      </c>
      <c r="C304">
        <v>2</v>
      </c>
      <c r="D304" t="s">
        <v>644</v>
      </c>
      <c r="E304">
        <v>1</v>
      </c>
      <c r="F304" t="s">
        <v>45</v>
      </c>
      <c r="G304">
        <v>1</v>
      </c>
      <c r="H304" t="s">
        <v>48</v>
      </c>
      <c r="I304">
        <v>0</v>
      </c>
      <c r="J304" t="s">
        <v>47</v>
      </c>
      <c r="K304">
        <v>0</v>
      </c>
      <c r="L304" t="s">
        <v>47</v>
      </c>
      <c r="M304">
        <v>0</v>
      </c>
      <c r="N304" t="s">
        <v>47</v>
      </c>
      <c r="O304">
        <v>0</v>
      </c>
      <c r="P304" t="s">
        <v>47</v>
      </c>
      <c r="Q304">
        <v>0</v>
      </c>
      <c r="R304" t="s">
        <v>47</v>
      </c>
      <c r="S304">
        <v>0</v>
      </c>
      <c r="T304" t="s">
        <v>47</v>
      </c>
    </row>
    <row r="305" spans="1:20" x14ac:dyDescent="0.35">
      <c r="A305" s="1" t="s">
        <v>695</v>
      </c>
      <c r="B305" t="s">
        <v>16</v>
      </c>
      <c r="C305">
        <v>1</v>
      </c>
      <c r="D305" t="s">
        <v>645</v>
      </c>
      <c r="E305">
        <v>1</v>
      </c>
      <c r="F305" t="s">
        <v>48</v>
      </c>
      <c r="G305">
        <v>0</v>
      </c>
      <c r="H305" t="s">
        <v>47</v>
      </c>
      <c r="I305">
        <v>0</v>
      </c>
      <c r="J305" t="s">
        <v>47</v>
      </c>
      <c r="K305">
        <v>1</v>
      </c>
      <c r="L305" t="s">
        <v>48</v>
      </c>
      <c r="M305">
        <v>0</v>
      </c>
      <c r="N305" t="s">
        <v>47</v>
      </c>
      <c r="O305">
        <v>0</v>
      </c>
      <c r="P305" t="s">
        <v>47</v>
      </c>
      <c r="Q305">
        <v>0</v>
      </c>
      <c r="R305" t="s">
        <v>47</v>
      </c>
      <c r="S305">
        <v>0</v>
      </c>
      <c r="T305" t="s">
        <v>47</v>
      </c>
    </row>
    <row r="306" spans="1:20" x14ac:dyDescent="0.35">
      <c r="A306" s="1" t="s">
        <v>696</v>
      </c>
      <c r="B306" t="s">
        <v>16</v>
      </c>
      <c r="C306">
        <v>1</v>
      </c>
      <c r="D306" t="s">
        <v>646</v>
      </c>
      <c r="E306">
        <v>0</v>
      </c>
      <c r="F306" t="s">
        <v>47</v>
      </c>
      <c r="G306">
        <v>1</v>
      </c>
      <c r="H306" t="s">
        <v>48</v>
      </c>
      <c r="I306">
        <v>0</v>
      </c>
      <c r="J306" t="s">
        <v>47</v>
      </c>
      <c r="K306">
        <v>0</v>
      </c>
      <c r="L306" t="s">
        <v>47</v>
      </c>
      <c r="M306">
        <v>0</v>
      </c>
      <c r="N306" t="s">
        <v>47</v>
      </c>
      <c r="O306">
        <v>0</v>
      </c>
      <c r="P306" t="s">
        <v>47</v>
      </c>
      <c r="Q306">
        <v>0</v>
      </c>
      <c r="R306" t="s">
        <v>47</v>
      </c>
      <c r="S306">
        <v>0</v>
      </c>
      <c r="T306" t="s">
        <v>47</v>
      </c>
    </row>
    <row r="307" spans="1:20" x14ac:dyDescent="0.35">
      <c r="A307" s="1" t="s">
        <v>697</v>
      </c>
      <c r="B307" t="s">
        <v>16</v>
      </c>
      <c r="C307">
        <v>2</v>
      </c>
      <c r="D307" t="s">
        <v>647</v>
      </c>
      <c r="E307">
        <v>1</v>
      </c>
      <c r="F307" t="s">
        <v>45</v>
      </c>
      <c r="G307">
        <v>1</v>
      </c>
      <c r="H307" t="s">
        <v>48</v>
      </c>
      <c r="I307">
        <v>0</v>
      </c>
      <c r="J307" t="s">
        <v>47</v>
      </c>
      <c r="K307">
        <v>0</v>
      </c>
      <c r="L307" t="s">
        <v>47</v>
      </c>
      <c r="M307">
        <v>0</v>
      </c>
      <c r="N307" t="s">
        <v>47</v>
      </c>
      <c r="O307">
        <v>0</v>
      </c>
      <c r="P307" t="s">
        <v>47</v>
      </c>
      <c r="Q307">
        <v>0</v>
      </c>
      <c r="R307" t="s">
        <v>47</v>
      </c>
      <c r="S307">
        <v>0</v>
      </c>
      <c r="T307" t="s">
        <v>47</v>
      </c>
    </row>
    <row r="308" spans="1:20" x14ac:dyDescent="0.35">
      <c r="A308" s="1" t="s">
        <v>698</v>
      </c>
      <c r="B308" t="s">
        <v>16</v>
      </c>
      <c r="C308">
        <v>1</v>
      </c>
      <c r="D308" t="s">
        <v>648</v>
      </c>
      <c r="E308">
        <v>0</v>
      </c>
      <c r="F308" t="s">
        <v>47</v>
      </c>
      <c r="G308">
        <v>1</v>
      </c>
      <c r="H308" t="s">
        <v>48</v>
      </c>
      <c r="I308">
        <v>0</v>
      </c>
      <c r="J308" t="s">
        <v>47</v>
      </c>
      <c r="K308">
        <v>0</v>
      </c>
      <c r="L308" t="s">
        <v>47</v>
      </c>
      <c r="M308">
        <v>0</v>
      </c>
      <c r="N308" t="s">
        <v>47</v>
      </c>
      <c r="O308">
        <v>0</v>
      </c>
      <c r="P308" t="s">
        <v>47</v>
      </c>
      <c r="Q308">
        <v>0</v>
      </c>
      <c r="R308" t="s">
        <v>47</v>
      </c>
      <c r="S308">
        <v>0</v>
      </c>
      <c r="T308" t="s">
        <v>47</v>
      </c>
    </row>
    <row r="309" spans="1:20" x14ac:dyDescent="0.35">
      <c r="A309" s="1" t="s">
        <v>699</v>
      </c>
      <c r="B309" t="s">
        <v>16</v>
      </c>
      <c r="C309">
        <v>1</v>
      </c>
      <c r="D309" t="s">
        <v>649</v>
      </c>
      <c r="E309">
        <v>0</v>
      </c>
      <c r="F309" t="s">
        <v>47</v>
      </c>
      <c r="G309">
        <v>1</v>
      </c>
      <c r="H309" t="s">
        <v>48</v>
      </c>
      <c r="I309">
        <v>0</v>
      </c>
      <c r="J309" t="s">
        <v>47</v>
      </c>
      <c r="K309">
        <v>0</v>
      </c>
      <c r="L309" t="s">
        <v>47</v>
      </c>
      <c r="M309">
        <v>0</v>
      </c>
      <c r="N309" t="s">
        <v>47</v>
      </c>
      <c r="O309">
        <v>0</v>
      </c>
      <c r="P309" t="s">
        <v>47</v>
      </c>
      <c r="Q309">
        <v>0</v>
      </c>
      <c r="R309" t="s">
        <v>47</v>
      </c>
      <c r="S309">
        <v>0</v>
      </c>
      <c r="T309" t="s">
        <v>47</v>
      </c>
    </row>
    <row r="310" spans="1:20" x14ac:dyDescent="0.35">
      <c r="A310" s="1" t="s">
        <v>700</v>
      </c>
      <c r="B310" t="s">
        <v>16</v>
      </c>
      <c r="C310">
        <v>1</v>
      </c>
      <c r="D310" t="s">
        <v>650</v>
      </c>
      <c r="E310">
        <v>0</v>
      </c>
      <c r="F310" t="s">
        <v>47</v>
      </c>
      <c r="G310">
        <v>1</v>
      </c>
      <c r="H310" t="s">
        <v>48</v>
      </c>
      <c r="I310">
        <v>0</v>
      </c>
      <c r="J310" t="s">
        <v>47</v>
      </c>
      <c r="K310">
        <v>0</v>
      </c>
      <c r="L310" t="s">
        <v>47</v>
      </c>
      <c r="M310">
        <v>0</v>
      </c>
      <c r="N310" t="s">
        <v>47</v>
      </c>
      <c r="O310">
        <v>0</v>
      </c>
      <c r="P310" t="s">
        <v>47</v>
      </c>
      <c r="Q310">
        <v>0</v>
      </c>
      <c r="R310" t="s">
        <v>47</v>
      </c>
      <c r="S310">
        <v>0</v>
      </c>
      <c r="T310" t="s">
        <v>47</v>
      </c>
    </row>
    <row r="311" spans="1:20" x14ac:dyDescent="0.35">
      <c r="A311" s="1" t="s">
        <v>701</v>
      </c>
      <c r="B311" t="s">
        <v>14</v>
      </c>
      <c r="C311">
        <v>1</v>
      </c>
      <c r="D311" t="s">
        <v>651</v>
      </c>
      <c r="E311">
        <v>0</v>
      </c>
      <c r="F311" t="s">
        <v>47</v>
      </c>
      <c r="G311">
        <v>0</v>
      </c>
      <c r="H311" t="s">
        <v>47</v>
      </c>
      <c r="I311">
        <v>0</v>
      </c>
      <c r="J311" t="s">
        <v>47</v>
      </c>
      <c r="K311">
        <v>0</v>
      </c>
      <c r="L311" t="s">
        <v>47</v>
      </c>
      <c r="M311">
        <v>0</v>
      </c>
      <c r="N311" t="s">
        <v>47</v>
      </c>
      <c r="O311">
        <v>1</v>
      </c>
      <c r="P311" t="s">
        <v>48</v>
      </c>
      <c r="Q311">
        <v>0</v>
      </c>
      <c r="R311" t="s">
        <v>47</v>
      </c>
      <c r="S311">
        <v>0</v>
      </c>
      <c r="T311" t="s">
        <v>47</v>
      </c>
    </row>
    <row r="312" spans="1:20" x14ac:dyDescent="0.35">
      <c r="A312" s="1" t="s">
        <v>702</v>
      </c>
      <c r="B312" t="s">
        <v>16</v>
      </c>
      <c r="C312">
        <v>1</v>
      </c>
      <c r="D312" t="s">
        <v>652</v>
      </c>
      <c r="E312">
        <v>0</v>
      </c>
      <c r="F312" t="s">
        <v>47</v>
      </c>
      <c r="G312">
        <v>1</v>
      </c>
      <c r="H312" t="s">
        <v>48</v>
      </c>
      <c r="I312">
        <v>0</v>
      </c>
      <c r="J312" t="s">
        <v>47</v>
      </c>
      <c r="K312">
        <v>0</v>
      </c>
      <c r="L312" t="s">
        <v>47</v>
      </c>
      <c r="M312">
        <v>0</v>
      </c>
      <c r="N312" t="s">
        <v>47</v>
      </c>
      <c r="O312">
        <v>0</v>
      </c>
      <c r="P312" t="s">
        <v>47</v>
      </c>
      <c r="Q312">
        <v>1</v>
      </c>
      <c r="R312" t="s">
        <v>48</v>
      </c>
      <c r="S312">
        <v>0</v>
      </c>
      <c r="T312" t="s">
        <v>47</v>
      </c>
    </row>
    <row r="313" spans="1:20" x14ac:dyDescent="0.35">
      <c r="A313" s="1" t="s">
        <v>703</v>
      </c>
      <c r="B313" t="s">
        <v>14</v>
      </c>
      <c r="C313">
        <v>1</v>
      </c>
      <c r="D313" t="s">
        <v>653</v>
      </c>
      <c r="E313">
        <v>0</v>
      </c>
      <c r="F313" t="s">
        <v>47</v>
      </c>
      <c r="G313">
        <v>1</v>
      </c>
      <c r="H313" t="s">
        <v>48</v>
      </c>
      <c r="I313">
        <v>0</v>
      </c>
      <c r="J313" t="s">
        <v>47</v>
      </c>
      <c r="K313">
        <v>0</v>
      </c>
      <c r="L313" t="s">
        <v>47</v>
      </c>
      <c r="M313">
        <v>0</v>
      </c>
      <c r="N313" t="s">
        <v>47</v>
      </c>
      <c r="O313">
        <v>0</v>
      </c>
      <c r="P313" t="s">
        <v>47</v>
      </c>
      <c r="Q313">
        <v>0</v>
      </c>
      <c r="R313" t="s">
        <v>47</v>
      </c>
      <c r="S313">
        <v>0</v>
      </c>
      <c r="T313" t="s">
        <v>47</v>
      </c>
    </row>
    <row r="314" spans="1:20" x14ac:dyDescent="0.35">
      <c r="A314" s="1" t="s">
        <v>704</v>
      </c>
      <c r="B314" t="s">
        <v>16</v>
      </c>
      <c r="C314">
        <v>3</v>
      </c>
      <c r="D314" t="s">
        <v>654</v>
      </c>
      <c r="E314">
        <v>1</v>
      </c>
      <c r="F314" t="s">
        <v>45</v>
      </c>
      <c r="G314">
        <v>1</v>
      </c>
      <c r="H314" t="s">
        <v>48</v>
      </c>
      <c r="I314">
        <v>0</v>
      </c>
      <c r="J314" t="s">
        <v>47</v>
      </c>
      <c r="K314">
        <v>0</v>
      </c>
      <c r="L314" t="s">
        <v>47</v>
      </c>
      <c r="M314">
        <v>0</v>
      </c>
      <c r="N314" t="s">
        <v>47</v>
      </c>
      <c r="O314">
        <v>0</v>
      </c>
      <c r="P314" t="s">
        <v>47</v>
      </c>
      <c r="Q314">
        <v>1</v>
      </c>
      <c r="R314" t="s">
        <v>48</v>
      </c>
      <c r="S314">
        <v>0</v>
      </c>
      <c r="T314" t="s">
        <v>47</v>
      </c>
    </row>
    <row r="315" spans="1:20" x14ac:dyDescent="0.35">
      <c r="A315" s="1" t="s">
        <v>705</v>
      </c>
      <c r="B315" t="s">
        <v>16</v>
      </c>
      <c r="C315">
        <v>3</v>
      </c>
      <c r="D315" t="s">
        <v>655</v>
      </c>
      <c r="E315">
        <v>1</v>
      </c>
      <c r="F315" t="s">
        <v>45</v>
      </c>
      <c r="G315">
        <v>0</v>
      </c>
      <c r="H315" t="s">
        <v>47</v>
      </c>
      <c r="I315">
        <v>1</v>
      </c>
      <c r="J315" t="s">
        <v>48</v>
      </c>
      <c r="K315">
        <v>0</v>
      </c>
      <c r="L315" t="s">
        <v>47</v>
      </c>
      <c r="M315">
        <v>0</v>
      </c>
      <c r="N315" t="s">
        <v>47</v>
      </c>
      <c r="O315">
        <v>0</v>
      </c>
      <c r="P315" t="s">
        <v>47</v>
      </c>
      <c r="Q315">
        <v>1</v>
      </c>
      <c r="R315" t="s">
        <v>45</v>
      </c>
      <c r="S315">
        <v>0</v>
      </c>
      <c r="T315" t="s">
        <v>47</v>
      </c>
    </row>
    <row r="316" spans="1:20" x14ac:dyDescent="0.35">
      <c r="A316" s="1" t="s">
        <v>706</v>
      </c>
      <c r="B316" t="s">
        <v>14</v>
      </c>
      <c r="C316">
        <v>1</v>
      </c>
      <c r="D316" t="s">
        <v>656</v>
      </c>
      <c r="E316">
        <v>0</v>
      </c>
      <c r="F316" t="s">
        <v>47</v>
      </c>
      <c r="G316">
        <v>0</v>
      </c>
      <c r="H316" t="s">
        <v>47</v>
      </c>
      <c r="I316">
        <v>0</v>
      </c>
      <c r="J316" t="s">
        <v>47</v>
      </c>
      <c r="K316">
        <v>0</v>
      </c>
      <c r="L316" t="s">
        <v>47</v>
      </c>
      <c r="M316">
        <v>0</v>
      </c>
      <c r="N316" t="s">
        <v>47</v>
      </c>
      <c r="O316">
        <v>1</v>
      </c>
      <c r="P316" t="s">
        <v>48</v>
      </c>
      <c r="Q316">
        <v>0</v>
      </c>
      <c r="R316" t="s">
        <v>47</v>
      </c>
      <c r="S316">
        <v>0</v>
      </c>
      <c r="T316" t="s">
        <v>47</v>
      </c>
    </row>
    <row r="317" spans="1:20" x14ac:dyDescent="0.35">
      <c r="A317" s="1" t="s">
        <v>707</v>
      </c>
      <c r="B317" t="s">
        <v>16</v>
      </c>
      <c r="C317">
        <v>1</v>
      </c>
      <c r="D317" t="s">
        <v>657</v>
      </c>
      <c r="E317">
        <v>1</v>
      </c>
      <c r="F317" t="s">
        <v>48</v>
      </c>
      <c r="G317">
        <v>1</v>
      </c>
      <c r="H317" t="s">
        <v>48</v>
      </c>
      <c r="I317">
        <v>0</v>
      </c>
      <c r="J317" t="s">
        <v>47</v>
      </c>
      <c r="K317">
        <v>0</v>
      </c>
      <c r="L317" t="s">
        <v>47</v>
      </c>
      <c r="M317">
        <v>0</v>
      </c>
      <c r="N317" t="s">
        <v>47</v>
      </c>
      <c r="O317">
        <v>0</v>
      </c>
      <c r="P317" t="s">
        <v>47</v>
      </c>
      <c r="Q317">
        <v>0</v>
      </c>
      <c r="R317" t="s">
        <v>47</v>
      </c>
      <c r="S317">
        <v>0</v>
      </c>
      <c r="T317" t="s">
        <v>47</v>
      </c>
    </row>
    <row r="318" spans="1:20" x14ac:dyDescent="0.35">
      <c r="A318" s="1" t="s">
        <v>708</v>
      </c>
      <c r="B318" t="s">
        <v>16</v>
      </c>
      <c r="C318">
        <v>2</v>
      </c>
      <c r="D318" t="s">
        <v>658</v>
      </c>
      <c r="E318">
        <v>1</v>
      </c>
      <c r="F318" t="s">
        <v>48</v>
      </c>
      <c r="G318">
        <v>0</v>
      </c>
      <c r="H318" t="s">
        <v>47</v>
      </c>
      <c r="I318">
        <v>0</v>
      </c>
      <c r="J318" t="s">
        <v>47</v>
      </c>
      <c r="K318">
        <v>0</v>
      </c>
      <c r="L318" t="s">
        <v>47</v>
      </c>
      <c r="M318">
        <v>0</v>
      </c>
      <c r="N318" t="s">
        <v>47</v>
      </c>
      <c r="O318">
        <v>0</v>
      </c>
      <c r="P318" t="s">
        <v>47</v>
      </c>
      <c r="Q318">
        <v>1</v>
      </c>
      <c r="R318" t="s">
        <v>48</v>
      </c>
      <c r="S318">
        <v>1</v>
      </c>
      <c r="T318" t="s">
        <v>45</v>
      </c>
    </row>
    <row r="319" spans="1:20" x14ac:dyDescent="0.35">
      <c r="A319" s="1" t="s">
        <v>709</v>
      </c>
      <c r="B319" t="s">
        <v>16</v>
      </c>
      <c r="C319">
        <v>2</v>
      </c>
      <c r="D319" t="s">
        <v>659</v>
      </c>
      <c r="E319">
        <v>1</v>
      </c>
      <c r="F319" t="s">
        <v>48</v>
      </c>
      <c r="G319">
        <v>0</v>
      </c>
      <c r="H319" t="s">
        <v>47</v>
      </c>
      <c r="I319">
        <v>0</v>
      </c>
      <c r="J319" t="s">
        <v>47</v>
      </c>
      <c r="K319">
        <v>0</v>
      </c>
      <c r="L319" t="s">
        <v>47</v>
      </c>
      <c r="M319">
        <v>0</v>
      </c>
      <c r="N319" t="s">
        <v>47</v>
      </c>
      <c r="O319">
        <v>0</v>
      </c>
      <c r="P319" t="s">
        <v>47</v>
      </c>
      <c r="Q319">
        <v>0</v>
      </c>
      <c r="R319" t="s">
        <v>47</v>
      </c>
      <c r="S319">
        <v>0</v>
      </c>
      <c r="T319" t="s">
        <v>47</v>
      </c>
    </row>
    <row r="320" spans="1:20" x14ac:dyDescent="0.35">
      <c r="A320" s="1" t="s">
        <v>710</v>
      </c>
      <c r="B320" t="s">
        <v>14</v>
      </c>
      <c r="C320">
        <v>1</v>
      </c>
      <c r="D320" t="s">
        <v>660</v>
      </c>
      <c r="E320">
        <v>0</v>
      </c>
      <c r="F320" t="s">
        <v>47</v>
      </c>
      <c r="G320">
        <v>1</v>
      </c>
      <c r="H320" t="s">
        <v>48</v>
      </c>
      <c r="I320">
        <v>0</v>
      </c>
      <c r="J320" t="s">
        <v>47</v>
      </c>
      <c r="K320">
        <v>0</v>
      </c>
      <c r="L320" t="s">
        <v>47</v>
      </c>
      <c r="M320">
        <v>0</v>
      </c>
      <c r="N320" t="s">
        <v>47</v>
      </c>
      <c r="O320">
        <v>1</v>
      </c>
      <c r="P320" t="s">
        <v>48</v>
      </c>
      <c r="Q320">
        <v>0</v>
      </c>
      <c r="R320" t="s">
        <v>47</v>
      </c>
      <c r="S320">
        <v>0</v>
      </c>
      <c r="T320" t="s">
        <v>47</v>
      </c>
    </row>
    <row r="321" spans="1:23" x14ac:dyDescent="0.35">
      <c r="A321" s="1" t="s">
        <v>711</v>
      </c>
      <c r="B321" t="s">
        <v>14</v>
      </c>
      <c r="C321">
        <v>2</v>
      </c>
      <c r="D321" t="s">
        <v>661</v>
      </c>
      <c r="E321">
        <v>0</v>
      </c>
      <c r="F321" t="s">
        <v>47</v>
      </c>
      <c r="G321">
        <v>0</v>
      </c>
      <c r="H321" t="s">
        <v>47</v>
      </c>
      <c r="I321">
        <v>0</v>
      </c>
      <c r="J321" t="s">
        <v>47</v>
      </c>
      <c r="K321">
        <v>0</v>
      </c>
      <c r="L321" t="s">
        <v>47</v>
      </c>
      <c r="M321">
        <v>0</v>
      </c>
      <c r="N321" t="s">
        <v>47</v>
      </c>
      <c r="O321">
        <v>0</v>
      </c>
      <c r="P321" t="s">
        <v>47</v>
      </c>
      <c r="Q321">
        <v>1</v>
      </c>
      <c r="R321" t="s">
        <v>48</v>
      </c>
      <c r="S321">
        <v>0</v>
      </c>
      <c r="T321" t="s">
        <v>47</v>
      </c>
    </row>
    <row r="322" spans="1:23" x14ac:dyDescent="0.35">
      <c r="A322" s="1" t="s">
        <v>712</v>
      </c>
      <c r="B322" t="s">
        <v>14</v>
      </c>
      <c r="C322">
        <v>1</v>
      </c>
      <c r="D322" t="s">
        <v>662</v>
      </c>
      <c r="E322">
        <v>0</v>
      </c>
      <c r="F322" t="s">
        <v>47</v>
      </c>
      <c r="G322">
        <v>1</v>
      </c>
      <c r="H322" t="s">
        <v>48</v>
      </c>
      <c r="I322">
        <v>0</v>
      </c>
      <c r="J322" t="s">
        <v>47</v>
      </c>
      <c r="K322">
        <v>0</v>
      </c>
      <c r="L322" t="s">
        <v>47</v>
      </c>
      <c r="M322">
        <v>0</v>
      </c>
      <c r="N322" t="s">
        <v>47</v>
      </c>
      <c r="O322">
        <v>0</v>
      </c>
      <c r="P322" t="s">
        <v>47</v>
      </c>
      <c r="Q322">
        <v>1</v>
      </c>
      <c r="R322" t="s">
        <v>45</v>
      </c>
      <c r="S322">
        <v>0</v>
      </c>
      <c r="T322" t="s">
        <v>47</v>
      </c>
    </row>
    <row r="323" spans="1:23" x14ac:dyDescent="0.35">
      <c r="A323" s="1" t="s">
        <v>713</v>
      </c>
      <c r="B323" t="s">
        <v>16</v>
      </c>
      <c r="C323">
        <v>2</v>
      </c>
      <c r="D323" t="s">
        <v>663</v>
      </c>
      <c r="E323">
        <v>0</v>
      </c>
      <c r="F323" t="s">
        <v>47</v>
      </c>
      <c r="G323">
        <v>1</v>
      </c>
      <c r="H323" t="s">
        <v>48</v>
      </c>
      <c r="I323">
        <v>0</v>
      </c>
      <c r="J323" t="s">
        <v>47</v>
      </c>
      <c r="K323">
        <v>0</v>
      </c>
      <c r="L323" t="s">
        <v>47</v>
      </c>
      <c r="M323">
        <v>0</v>
      </c>
      <c r="N323" t="s">
        <v>47</v>
      </c>
      <c r="O323">
        <v>0</v>
      </c>
      <c r="P323" t="s">
        <v>47</v>
      </c>
      <c r="Q323">
        <v>1</v>
      </c>
      <c r="R323" t="s">
        <v>48</v>
      </c>
      <c r="S323">
        <v>0</v>
      </c>
      <c r="T323" t="s">
        <v>47</v>
      </c>
    </row>
    <row r="324" spans="1:23" x14ac:dyDescent="0.35">
      <c r="A324" s="1" t="s">
        <v>714</v>
      </c>
      <c r="B324" t="s">
        <v>16</v>
      </c>
      <c r="C324">
        <v>2</v>
      </c>
      <c r="D324" t="s">
        <v>664</v>
      </c>
      <c r="E324">
        <v>0</v>
      </c>
      <c r="F324" t="s">
        <v>47</v>
      </c>
      <c r="G324">
        <v>1</v>
      </c>
      <c r="H324" t="s">
        <v>48</v>
      </c>
      <c r="I324">
        <v>0</v>
      </c>
      <c r="J324" t="s">
        <v>47</v>
      </c>
      <c r="K324">
        <v>0</v>
      </c>
      <c r="L324" t="s">
        <v>47</v>
      </c>
      <c r="M324">
        <v>0</v>
      </c>
      <c r="N324" t="s">
        <v>47</v>
      </c>
      <c r="O324">
        <v>0</v>
      </c>
      <c r="P324" t="s">
        <v>47</v>
      </c>
      <c r="Q324">
        <v>0</v>
      </c>
      <c r="R324" t="s">
        <v>47</v>
      </c>
      <c r="S324">
        <v>0</v>
      </c>
      <c r="T324" t="s">
        <v>47</v>
      </c>
    </row>
    <row r="325" spans="1:23" x14ac:dyDescent="0.35">
      <c r="A325" s="1" t="s">
        <v>715</v>
      </c>
      <c r="B325" t="s">
        <v>16</v>
      </c>
      <c r="C325">
        <v>1</v>
      </c>
      <c r="D325" t="s">
        <v>665</v>
      </c>
      <c r="E325" t="s">
        <v>16</v>
      </c>
      <c r="F325" t="s">
        <v>47</v>
      </c>
      <c r="G325" t="s">
        <v>657</v>
      </c>
      <c r="H325">
        <v>1</v>
      </c>
      <c r="I325" t="s">
        <v>55</v>
      </c>
      <c r="J325">
        <v>1</v>
      </c>
      <c r="K325" t="s">
        <v>48</v>
      </c>
      <c r="L325">
        <v>0</v>
      </c>
      <c r="M325" t="s">
        <v>47</v>
      </c>
      <c r="N325">
        <v>0</v>
      </c>
      <c r="O325" t="s">
        <v>47</v>
      </c>
      <c r="P325">
        <v>1</v>
      </c>
      <c r="Q325" t="s">
        <v>48</v>
      </c>
      <c r="R325">
        <v>1</v>
      </c>
      <c r="S325" t="s">
        <v>48</v>
      </c>
      <c r="T325">
        <v>1</v>
      </c>
      <c r="U325" t="s">
        <v>45</v>
      </c>
      <c r="V325">
        <v>0</v>
      </c>
      <c r="W325" t="s">
        <v>47</v>
      </c>
    </row>
    <row r="326" spans="1:23" x14ac:dyDescent="0.35">
      <c r="A326" s="1" t="s">
        <v>716</v>
      </c>
      <c r="B326" t="s">
        <v>16</v>
      </c>
      <c r="C326">
        <v>1</v>
      </c>
      <c r="D326" t="s">
        <v>666</v>
      </c>
      <c r="E326">
        <v>0</v>
      </c>
      <c r="F326" t="s">
        <v>47</v>
      </c>
      <c r="G326">
        <v>1</v>
      </c>
      <c r="H326" t="s">
        <v>48</v>
      </c>
      <c r="I326">
        <v>0</v>
      </c>
      <c r="J326" t="s">
        <v>47</v>
      </c>
      <c r="K326">
        <v>0</v>
      </c>
      <c r="L326" t="s">
        <v>47</v>
      </c>
      <c r="M326">
        <v>0</v>
      </c>
      <c r="N326" t="s">
        <v>47</v>
      </c>
      <c r="O326">
        <v>1</v>
      </c>
      <c r="P326" t="s">
        <v>48</v>
      </c>
      <c r="Q326">
        <v>0</v>
      </c>
      <c r="R326" t="s">
        <v>47</v>
      </c>
      <c r="S326">
        <v>0</v>
      </c>
      <c r="T326" t="s">
        <v>47</v>
      </c>
    </row>
    <row r="327" spans="1:23" x14ac:dyDescent="0.35">
      <c r="A327" s="1" t="s">
        <v>717</v>
      </c>
      <c r="B327" t="s">
        <v>14</v>
      </c>
      <c r="C327">
        <v>3</v>
      </c>
      <c r="D327" t="s">
        <v>667</v>
      </c>
      <c r="E327">
        <v>1</v>
      </c>
      <c r="F327" t="s">
        <v>48</v>
      </c>
      <c r="G327">
        <v>1</v>
      </c>
      <c r="H327" t="s">
        <v>48</v>
      </c>
      <c r="I327">
        <v>0</v>
      </c>
      <c r="J327" t="s">
        <v>47</v>
      </c>
      <c r="K327">
        <v>0</v>
      </c>
      <c r="L327" t="s">
        <v>47</v>
      </c>
      <c r="M327">
        <v>0</v>
      </c>
      <c r="N327" t="s">
        <v>47</v>
      </c>
      <c r="O327">
        <v>0</v>
      </c>
      <c r="P327" t="s">
        <v>47</v>
      </c>
      <c r="Q327">
        <v>1</v>
      </c>
      <c r="R327" t="s">
        <v>45</v>
      </c>
      <c r="S327">
        <v>0</v>
      </c>
      <c r="T327" t="s">
        <v>47</v>
      </c>
    </row>
    <row r="328" spans="1:23" x14ac:dyDescent="0.35">
      <c r="A328" s="1" t="s">
        <v>718</v>
      </c>
      <c r="B328" t="s">
        <v>14</v>
      </c>
      <c r="C328">
        <v>2</v>
      </c>
      <c r="D328" t="s">
        <v>668</v>
      </c>
      <c r="E328">
        <v>0</v>
      </c>
      <c r="F328" t="s">
        <v>47</v>
      </c>
      <c r="G328">
        <v>1</v>
      </c>
      <c r="H328" t="s">
        <v>48</v>
      </c>
      <c r="I328">
        <v>0</v>
      </c>
      <c r="J328" t="s">
        <v>47</v>
      </c>
      <c r="K328">
        <v>0</v>
      </c>
      <c r="L328" t="s">
        <v>47</v>
      </c>
      <c r="M328">
        <v>0</v>
      </c>
      <c r="N328" t="s">
        <v>47</v>
      </c>
      <c r="O328">
        <v>0</v>
      </c>
      <c r="P328" t="s">
        <v>47</v>
      </c>
      <c r="Q328">
        <v>0</v>
      </c>
      <c r="R328" t="s">
        <v>47</v>
      </c>
      <c r="S328">
        <v>0</v>
      </c>
      <c r="T328" t="s">
        <v>47</v>
      </c>
    </row>
    <row r="329" spans="1:23" x14ac:dyDescent="0.35">
      <c r="A329" s="1" t="s">
        <v>719</v>
      </c>
      <c r="B329" t="s">
        <v>16</v>
      </c>
      <c r="C329">
        <v>3</v>
      </c>
      <c r="D329" t="s">
        <v>669</v>
      </c>
      <c r="E329">
        <v>1</v>
      </c>
      <c r="F329" t="s">
        <v>55</v>
      </c>
      <c r="G329">
        <v>0</v>
      </c>
      <c r="H329" t="s">
        <v>47</v>
      </c>
      <c r="I329">
        <v>0</v>
      </c>
      <c r="J329" t="s">
        <v>47</v>
      </c>
      <c r="K329">
        <v>0</v>
      </c>
      <c r="L329" t="s">
        <v>47</v>
      </c>
      <c r="M329">
        <v>0</v>
      </c>
      <c r="N329" t="s">
        <v>47</v>
      </c>
      <c r="O329">
        <v>1</v>
      </c>
      <c r="P329" t="s">
        <v>48</v>
      </c>
      <c r="Q329">
        <v>1</v>
      </c>
      <c r="R329" t="s">
        <v>55</v>
      </c>
      <c r="S329">
        <v>0</v>
      </c>
      <c r="T329" t="s">
        <v>47</v>
      </c>
    </row>
    <row r="330" spans="1:23" x14ac:dyDescent="0.35">
      <c r="A330" s="1" t="s">
        <v>720</v>
      </c>
      <c r="B330" t="s">
        <v>16</v>
      </c>
      <c r="C330">
        <v>3</v>
      </c>
      <c r="D330" t="s">
        <v>670</v>
      </c>
      <c r="E330">
        <v>0</v>
      </c>
      <c r="F330" t="s">
        <v>47</v>
      </c>
      <c r="G330">
        <v>1</v>
      </c>
      <c r="H330" t="s">
        <v>48</v>
      </c>
      <c r="I330">
        <v>0</v>
      </c>
      <c r="J330" t="s">
        <v>47</v>
      </c>
      <c r="K330">
        <v>0</v>
      </c>
      <c r="L330" t="s">
        <v>47</v>
      </c>
      <c r="M330">
        <v>0</v>
      </c>
      <c r="N330" t="s">
        <v>47</v>
      </c>
      <c r="O330">
        <v>0</v>
      </c>
      <c r="P330" t="s">
        <v>47</v>
      </c>
      <c r="Q330">
        <v>0</v>
      </c>
      <c r="R330" t="s">
        <v>47</v>
      </c>
      <c r="S330">
        <v>0</v>
      </c>
      <c r="T330" t="s">
        <v>47</v>
      </c>
    </row>
    <row r="331" spans="1:23" x14ac:dyDescent="0.35">
      <c r="A331" s="1" t="s">
        <v>721</v>
      </c>
      <c r="B331" t="s">
        <v>14</v>
      </c>
      <c r="C331">
        <v>1</v>
      </c>
      <c r="D331" t="s">
        <v>671</v>
      </c>
      <c r="E331">
        <v>0</v>
      </c>
      <c r="F331" t="s">
        <v>47</v>
      </c>
      <c r="G331">
        <v>0</v>
      </c>
      <c r="H331" t="s">
        <v>47</v>
      </c>
      <c r="I331">
        <v>0</v>
      </c>
      <c r="J331" t="s">
        <v>47</v>
      </c>
      <c r="K331">
        <v>0</v>
      </c>
      <c r="L331" t="s">
        <v>47</v>
      </c>
      <c r="M331">
        <v>1</v>
      </c>
      <c r="N331" t="s">
        <v>48</v>
      </c>
      <c r="O331">
        <v>0</v>
      </c>
      <c r="P331" t="s">
        <v>47</v>
      </c>
      <c r="Q331">
        <v>0</v>
      </c>
      <c r="R331" t="s">
        <v>47</v>
      </c>
      <c r="S331">
        <v>0</v>
      </c>
      <c r="T331" t="s">
        <v>47</v>
      </c>
    </row>
    <row r="332" spans="1:23" x14ac:dyDescent="0.35">
      <c r="A332" s="1" t="s">
        <v>722</v>
      </c>
      <c r="B332" t="s">
        <v>14</v>
      </c>
      <c r="C332">
        <v>2</v>
      </c>
      <c r="D332" t="s">
        <v>672</v>
      </c>
      <c r="E332">
        <v>1</v>
      </c>
      <c r="F332" t="s">
        <v>48</v>
      </c>
      <c r="G332">
        <v>0</v>
      </c>
      <c r="H332" t="s">
        <v>47</v>
      </c>
      <c r="I332">
        <v>0</v>
      </c>
      <c r="J332" t="s">
        <v>47</v>
      </c>
      <c r="K332">
        <v>0</v>
      </c>
      <c r="L332" t="s">
        <v>47</v>
      </c>
      <c r="M332">
        <v>0</v>
      </c>
      <c r="N332" t="s">
        <v>47</v>
      </c>
      <c r="O332">
        <v>0</v>
      </c>
      <c r="P332" t="s">
        <v>47</v>
      </c>
      <c r="Q332">
        <v>0</v>
      </c>
      <c r="R332" t="s">
        <v>47</v>
      </c>
      <c r="S332">
        <v>0</v>
      </c>
      <c r="T332" t="s">
        <v>47</v>
      </c>
    </row>
    <row r="333" spans="1:23" x14ac:dyDescent="0.35">
      <c r="A333" s="1" t="s">
        <v>723</v>
      </c>
      <c r="B333" t="s">
        <v>14</v>
      </c>
      <c r="C333">
        <v>1</v>
      </c>
      <c r="D333" t="s">
        <v>673</v>
      </c>
      <c r="E333">
        <v>0</v>
      </c>
      <c r="F333" t="s">
        <v>47</v>
      </c>
      <c r="G333">
        <v>1</v>
      </c>
      <c r="H333" t="s">
        <v>48</v>
      </c>
      <c r="I333">
        <v>0</v>
      </c>
      <c r="J333" t="s">
        <v>47</v>
      </c>
      <c r="K333">
        <v>0</v>
      </c>
      <c r="L333" t="s">
        <v>47</v>
      </c>
      <c r="M333">
        <v>0</v>
      </c>
      <c r="N333" t="s">
        <v>47</v>
      </c>
      <c r="O333">
        <v>0</v>
      </c>
      <c r="P333" t="s">
        <v>47</v>
      </c>
      <c r="Q333">
        <v>0</v>
      </c>
      <c r="R333" t="s">
        <v>47</v>
      </c>
      <c r="S333">
        <v>0</v>
      </c>
      <c r="T333" t="s">
        <v>47</v>
      </c>
    </row>
    <row r="334" spans="1:23" x14ac:dyDescent="0.35">
      <c r="A334" s="1" t="s">
        <v>724</v>
      </c>
      <c r="B334" t="s">
        <v>16</v>
      </c>
      <c r="C334">
        <v>2</v>
      </c>
      <c r="D334" t="s">
        <v>674</v>
      </c>
      <c r="E334">
        <v>0</v>
      </c>
      <c r="F334" t="s">
        <v>47</v>
      </c>
      <c r="G334">
        <v>0</v>
      </c>
      <c r="H334" t="s">
        <v>47</v>
      </c>
      <c r="I334">
        <v>0</v>
      </c>
      <c r="J334" t="s">
        <v>47</v>
      </c>
      <c r="K334">
        <v>0</v>
      </c>
      <c r="L334" t="s">
        <v>47</v>
      </c>
      <c r="M334">
        <v>0</v>
      </c>
      <c r="N334" t="s">
        <v>47</v>
      </c>
      <c r="O334">
        <v>1</v>
      </c>
      <c r="P334" t="s">
        <v>48</v>
      </c>
      <c r="Q334">
        <v>0</v>
      </c>
      <c r="R334" t="s">
        <v>47</v>
      </c>
      <c r="S334">
        <v>0</v>
      </c>
      <c r="T334" t="s">
        <v>47</v>
      </c>
    </row>
    <row r="335" spans="1:23" x14ac:dyDescent="0.35">
      <c r="A335" s="1" t="s">
        <v>725</v>
      </c>
      <c r="B335" t="s">
        <v>16</v>
      </c>
      <c r="C335">
        <v>3</v>
      </c>
      <c r="D335" t="s">
        <v>675</v>
      </c>
      <c r="E335">
        <v>1</v>
      </c>
      <c r="F335" t="s">
        <v>55</v>
      </c>
      <c r="G335">
        <v>0</v>
      </c>
      <c r="H335" t="s">
        <v>47</v>
      </c>
      <c r="I335">
        <v>0</v>
      </c>
      <c r="J335" t="s">
        <v>47</v>
      </c>
      <c r="K335">
        <v>0</v>
      </c>
      <c r="L335" t="s">
        <v>47</v>
      </c>
      <c r="M335">
        <v>0</v>
      </c>
      <c r="N335" t="s">
        <v>47</v>
      </c>
      <c r="O335">
        <v>0</v>
      </c>
      <c r="P335" t="s">
        <v>47</v>
      </c>
      <c r="Q335">
        <v>0</v>
      </c>
      <c r="R335" t="s">
        <v>47</v>
      </c>
      <c r="S335">
        <v>0</v>
      </c>
      <c r="T335" t="s">
        <v>47</v>
      </c>
    </row>
    <row r="336" spans="1:23" x14ac:dyDescent="0.35">
      <c r="A336" s="1" t="s">
        <v>726</v>
      </c>
      <c r="B336" t="s">
        <v>14</v>
      </c>
      <c r="C336">
        <v>1</v>
      </c>
      <c r="D336" t="s">
        <v>676</v>
      </c>
      <c r="E336">
        <v>0</v>
      </c>
      <c r="F336" t="s">
        <v>47</v>
      </c>
      <c r="G336">
        <v>1</v>
      </c>
      <c r="H336" t="s">
        <v>45</v>
      </c>
      <c r="I336">
        <v>0</v>
      </c>
      <c r="J336" t="s">
        <v>47</v>
      </c>
      <c r="K336">
        <v>0</v>
      </c>
      <c r="L336" t="s">
        <v>47</v>
      </c>
      <c r="M336">
        <v>0</v>
      </c>
      <c r="N336" t="s">
        <v>47</v>
      </c>
      <c r="O336">
        <v>0</v>
      </c>
      <c r="P336" t="s">
        <v>47</v>
      </c>
      <c r="Q336">
        <v>0</v>
      </c>
      <c r="R336" t="s">
        <v>47</v>
      </c>
      <c r="S336">
        <v>0</v>
      </c>
      <c r="T336" t="s">
        <v>47</v>
      </c>
    </row>
    <row r="337" spans="1:20" x14ac:dyDescent="0.35">
      <c r="A337" s="1" t="s">
        <v>727</v>
      </c>
      <c r="B337" t="s">
        <v>16</v>
      </c>
      <c r="C337">
        <v>3</v>
      </c>
      <c r="D337" t="s">
        <v>677</v>
      </c>
      <c r="E337">
        <v>1</v>
      </c>
      <c r="F337" t="s">
        <v>48</v>
      </c>
      <c r="G337">
        <v>0</v>
      </c>
      <c r="H337" t="s">
        <v>47</v>
      </c>
      <c r="I337">
        <v>0</v>
      </c>
      <c r="J337" t="s">
        <v>47</v>
      </c>
      <c r="K337">
        <v>0</v>
      </c>
      <c r="L337" t="s">
        <v>47</v>
      </c>
      <c r="M337">
        <v>0</v>
      </c>
      <c r="N337" t="s">
        <v>47</v>
      </c>
      <c r="O337">
        <v>0</v>
      </c>
      <c r="P337" t="s">
        <v>47</v>
      </c>
      <c r="Q337">
        <v>0</v>
      </c>
      <c r="R337" t="s">
        <v>47</v>
      </c>
      <c r="S337">
        <v>0</v>
      </c>
      <c r="T337" t="s">
        <v>47</v>
      </c>
    </row>
    <row r="338" spans="1:20" x14ac:dyDescent="0.35">
      <c r="A338" s="1" t="s">
        <v>728</v>
      </c>
      <c r="B338" t="s">
        <v>14</v>
      </c>
      <c r="C338">
        <v>1</v>
      </c>
      <c r="D338" t="s">
        <v>678</v>
      </c>
      <c r="E338">
        <v>0</v>
      </c>
      <c r="F338" t="s">
        <v>47</v>
      </c>
      <c r="G338">
        <v>0</v>
      </c>
      <c r="H338" t="s">
        <v>47</v>
      </c>
      <c r="I338">
        <v>0</v>
      </c>
      <c r="J338" t="s">
        <v>47</v>
      </c>
      <c r="K338">
        <v>0</v>
      </c>
      <c r="L338" t="s">
        <v>47</v>
      </c>
      <c r="M338">
        <v>1</v>
      </c>
      <c r="N338" t="s">
        <v>48</v>
      </c>
      <c r="O338">
        <v>0</v>
      </c>
      <c r="P338" t="s">
        <v>47</v>
      </c>
      <c r="Q338">
        <v>0</v>
      </c>
      <c r="R338" t="s">
        <v>47</v>
      </c>
      <c r="S338">
        <v>0</v>
      </c>
      <c r="T338" t="s">
        <v>47</v>
      </c>
    </row>
    <row r="339" spans="1:20" x14ac:dyDescent="0.35">
      <c r="A339" s="1" t="s">
        <v>729</v>
      </c>
      <c r="B339" t="s">
        <v>14</v>
      </c>
      <c r="C339">
        <v>3</v>
      </c>
      <c r="D339" t="s">
        <v>679</v>
      </c>
      <c r="E339">
        <v>1</v>
      </c>
      <c r="F339" t="s">
        <v>45</v>
      </c>
      <c r="G339">
        <v>1</v>
      </c>
      <c r="H339" t="s">
        <v>48</v>
      </c>
      <c r="I339">
        <v>0</v>
      </c>
      <c r="J339" t="s">
        <v>47</v>
      </c>
      <c r="K339">
        <v>0</v>
      </c>
      <c r="L339" t="s">
        <v>47</v>
      </c>
      <c r="M339">
        <v>0</v>
      </c>
      <c r="N339" t="s">
        <v>47</v>
      </c>
      <c r="O339">
        <v>0</v>
      </c>
      <c r="P339" t="s">
        <v>47</v>
      </c>
      <c r="Q339">
        <v>0</v>
      </c>
      <c r="R339" t="s">
        <v>47</v>
      </c>
      <c r="S339">
        <v>0</v>
      </c>
      <c r="T339" t="s">
        <v>47</v>
      </c>
    </row>
    <row r="340" spans="1:20" x14ac:dyDescent="0.35">
      <c r="A340" s="1" t="s">
        <v>730</v>
      </c>
      <c r="B340" t="s">
        <v>16</v>
      </c>
      <c r="C340">
        <v>1</v>
      </c>
      <c r="D340" t="s">
        <v>680</v>
      </c>
      <c r="E340">
        <v>1</v>
      </c>
      <c r="F340" t="s">
        <v>48</v>
      </c>
      <c r="G340">
        <v>1</v>
      </c>
      <c r="H340" t="s">
        <v>48</v>
      </c>
      <c r="I340">
        <v>0</v>
      </c>
      <c r="J340" t="s">
        <v>47</v>
      </c>
      <c r="K340">
        <v>0</v>
      </c>
      <c r="L340" t="s">
        <v>47</v>
      </c>
      <c r="M340">
        <v>0</v>
      </c>
      <c r="N340" t="s">
        <v>47</v>
      </c>
      <c r="O340">
        <v>0</v>
      </c>
      <c r="P340" t="s">
        <v>47</v>
      </c>
      <c r="Q340">
        <v>0</v>
      </c>
      <c r="R340" t="s">
        <v>47</v>
      </c>
      <c r="S340">
        <v>0</v>
      </c>
      <c r="T340" t="s">
        <v>47</v>
      </c>
    </row>
    <row r="341" spans="1:20" x14ac:dyDescent="0.35">
      <c r="A341" s="1" t="s">
        <v>731</v>
      </c>
      <c r="B341" t="s">
        <v>14</v>
      </c>
      <c r="C341">
        <v>2</v>
      </c>
      <c r="D341" t="s">
        <v>681</v>
      </c>
      <c r="E341">
        <v>0</v>
      </c>
      <c r="F341" t="s">
        <v>47</v>
      </c>
      <c r="G341">
        <v>0</v>
      </c>
      <c r="H341" t="s">
        <v>47</v>
      </c>
      <c r="I341">
        <v>0</v>
      </c>
      <c r="J341" t="s">
        <v>47</v>
      </c>
      <c r="K341">
        <v>0</v>
      </c>
      <c r="L341" t="s">
        <v>47</v>
      </c>
      <c r="M341">
        <v>0</v>
      </c>
      <c r="N341" t="s">
        <v>47</v>
      </c>
      <c r="O341">
        <v>0</v>
      </c>
      <c r="P341" t="s">
        <v>47</v>
      </c>
      <c r="Q341">
        <v>1</v>
      </c>
      <c r="R341" t="s">
        <v>48</v>
      </c>
      <c r="S341">
        <v>0</v>
      </c>
      <c r="T341" t="s">
        <v>47</v>
      </c>
    </row>
    <row r="342" spans="1:20" x14ac:dyDescent="0.35">
      <c r="A342" s="1" t="s">
        <v>732</v>
      </c>
      <c r="B342" t="s">
        <v>16</v>
      </c>
      <c r="C342">
        <v>2</v>
      </c>
      <c r="D342" t="s">
        <v>674</v>
      </c>
      <c r="E342">
        <v>0</v>
      </c>
      <c r="F342" t="s">
        <v>47</v>
      </c>
      <c r="G342">
        <v>0</v>
      </c>
      <c r="H342" t="s">
        <v>47</v>
      </c>
      <c r="I342">
        <v>0</v>
      </c>
      <c r="J342" t="s">
        <v>47</v>
      </c>
      <c r="K342">
        <v>0</v>
      </c>
      <c r="L342" t="s">
        <v>47</v>
      </c>
      <c r="M342">
        <v>0</v>
      </c>
      <c r="N342" t="s">
        <v>47</v>
      </c>
      <c r="O342">
        <v>1</v>
      </c>
      <c r="P342" t="s">
        <v>48</v>
      </c>
      <c r="Q342">
        <v>0</v>
      </c>
      <c r="R342" t="s">
        <v>47</v>
      </c>
      <c r="S342">
        <v>0</v>
      </c>
      <c r="T342" t="s">
        <v>47</v>
      </c>
    </row>
    <row r="343" spans="1:20" x14ac:dyDescent="0.35">
      <c r="A343" s="1" t="s">
        <v>733</v>
      </c>
      <c r="B343" t="s">
        <v>14</v>
      </c>
      <c r="C343">
        <v>2</v>
      </c>
      <c r="D343" t="s">
        <v>682</v>
      </c>
      <c r="E343">
        <v>1</v>
      </c>
      <c r="F343" t="s">
        <v>48</v>
      </c>
      <c r="G343">
        <v>0</v>
      </c>
      <c r="H343" t="s">
        <v>47</v>
      </c>
      <c r="I343">
        <v>0</v>
      </c>
      <c r="J343" t="s">
        <v>47</v>
      </c>
      <c r="K343">
        <v>0</v>
      </c>
      <c r="L343" t="s">
        <v>47</v>
      </c>
      <c r="M343">
        <v>0</v>
      </c>
      <c r="N343" t="s">
        <v>47</v>
      </c>
      <c r="O343">
        <v>0</v>
      </c>
      <c r="P343" t="s">
        <v>47</v>
      </c>
      <c r="Q343">
        <v>0</v>
      </c>
      <c r="R343" t="s">
        <v>47</v>
      </c>
      <c r="S343">
        <v>0</v>
      </c>
      <c r="T343" t="s">
        <v>47</v>
      </c>
    </row>
    <row r="344" spans="1:20" x14ac:dyDescent="0.35">
      <c r="A344" s="1" t="s">
        <v>852</v>
      </c>
      <c r="B344" t="s">
        <v>16</v>
      </c>
      <c r="C344">
        <v>1</v>
      </c>
      <c r="D344" t="s">
        <v>734</v>
      </c>
      <c r="E344">
        <v>1</v>
      </c>
      <c r="F344" t="s">
        <v>48</v>
      </c>
      <c r="G344">
        <v>0</v>
      </c>
      <c r="H344" t="s">
        <v>47</v>
      </c>
      <c r="I344">
        <v>0</v>
      </c>
      <c r="J344" t="s">
        <v>47</v>
      </c>
      <c r="K344">
        <v>1</v>
      </c>
      <c r="L344" t="s">
        <v>48</v>
      </c>
      <c r="M344">
        <v>0</v>
      </c>
      <c r="N344" t="s">
        <v>47</v>
      </c>
      <c r="O344">
        <v>0</v>
      </c>
      <c r="P344" t="s">
        <v>47</v>
      </c>
      <c r="Q344">
        <v>0</v>
      </c>
      <c r="R344" t="s">
        <v>47</v>
      </c>
      <c r="S344">
        <v>0</v>
      </c>
      <c r="T344" t="s">
        <v>47</v>
      </c>
    </row>
    <row r="345" spans="1:20" x14ac:dyDescent="0.35">
      <c r="A345" s="1" t="s">
        <v>853</v>
      </c>
      <c r="B345" t="s">
        <v>16</v>
      </c>
      <c r="C345">
        <v>3</v>
      </c>
      <c r="D345" t="s">
        <v>735</v>
      </c>
      <c r="E345">
        <v>1</v>
      </c>
      <c r="F345" t="s">
        <v>55</v>
      </c>
      <c r="G345">
        <v>0</v>
      </c>
      <c r="H345" t="s">
        <v>47</v>
      </c>
      <c r="I345">
        <v>0</v>
      </c>
      <c r="J345" t="s">
        <v>47</v>
      </c>
      <c r="K345">
        <v>0</v>
      </c>
      <c r="L345" t="s">
        <v>47</v>
      </c>
      <c r="M345">
        <v>0</v>
      </c>
      <c r="N345" t="s">
        <v>47</v>
      </c>
      <c r="O345">
        <v>0</v>
      </c>
      <c r="P345" t="s">
        <v>47</v>
      </c>
      <c r="Q345">
        <v>0</v>
      </c>
      <c r="R345" t="s">
        <v>47</v>
      </c>
      <c r="S345">
        <v>0</v>
      </c>
      <c r="T345" t="s">
        <v>47</v>
      </c>
    </row>
    <row r="346" spans="1:20" x14ac:dyDescent="0.35">
      <c r="A346" s="1" t="s">
        <v>854</v>
      </c>
      <c r="B346" t="s">
        <v>14</v>
      </c>
      <c r="C346">
        <v>2</v>
      </c>
      <c r="D346" t="s">
        <v>736</v>
      </c>
      <c r="E346">
        <v>0</v>
      </c>
      <c r="F346" t="s">
        <v>47</v>
      </c>
      <c r="G346">
        <v>0</v>
      </c>
      <c r="H346" t="s">
        <v>47</v>
      </c>
      <c r="I346">
        <v>0</v>
      </c>
      <c r="J346" t="s">
        <v>47</v>
      </c>
      <c r="K346">
        <v>0</v>
      </c>
      <c r="L346" t="s">
        <v>47</v>
      </c>
      <c r="M346">
        <v>0</v>
      </c>
      <c r="N346" t="s">
        <v>47</v>
      </c>
      <c r="O346">
        <v>0</v>
      </c>
      <c r="P346" t="s">
        <v>47</v>
      </c>
      <c r="Q346">
        <v>1</v>
      </c>
      <c r="R346" t="s">
        <v>48</v>
      </c>
      <c r="S346">
        <v>0</v>
      </c>
      <c r="T346" t="s">
        <v>47</v>
      </c>
    </row>
    <row r="347" spans="1:20" x14ac:dyDescent="0.35">
      <c r="A347" s="1" t="s">
        <v>855</v>
      </c>
      <c r="B347" t="s">
        <v>14</v>
      </c>
      <c r="C347">
        <v>3</v>
      </c>
      <c r="D347" t="s">
        <v>737</v>
      </c>
      <c r="E347">
        <v>1</v>
      </c>
      <c r="F347" t="s">
        <v>45</v>
      </c>
      <c r="G347">
        <v>0</v>
      </c>
      <c r="H347" t="s">
        <v>47</v>
      </c>
      <c r="I347">
        <v>0</v>
      </c>
      <c r="J347" t="s">
        <v>47</v>
      </c>
      <c r="K347">
        <v>0</v>
      </c>
      <c r="L347" t="s">
        <v>47</v>
      </c>
      <c r="M347">
        <v>1</v>
      </c>
      <c r="N347" t="s">
        <v>48</v>
      </c>
      <c r="O347">
        <v>0</v>
      </c>
      <c r="P347" t="s">
        <v>47</v>
      </c>
      <c r="Q347">
        <v>0</v>
      </c>
      <c r="R347" t="s">
        <v>47</v>
      </c>
      <c r="S347">
        <v>0</v>
      </c>
      <c r="T347" t="s">
        <v>47</v>
      </c>
    </row>
    <row r="348" spans="1:20" x14ac:dyDescent="0.35">
      <c r="A348" s="1" t="s">
        <v>856</v>
      </c>
      <c r="B348" t="s">
        <v>14</v>
      </c>
      <c r="C348">
        <v>1</v>
      </c>
      <c r="D348" t="s">
        <v>738</v>
      </c>
      <c r="E348">
        <v>1</v>
      </c>
      <c r="F348" t="s">
        <v>48</v>
      </c>
      <c r="G348">
        <v>0</v>
      </c>
      <c r="H348" t="s">
        <v>47</v>
      </c>
      <c r="I348">
        <v>0</v>
      </c>
      <c r="J348" t="s">
        <v>47</v>
      </c>
      <c r="K348">
        <v>1</v>
      </c>
      <c r="L348" t="s">
        <v>48</v>
      </c>
      <c r="M348">
        <v>0</v>
      </c>
      <c r="N348" t="s">
        <v>47</v>
      </c>
      <c r="O348">
        <v>0</v>
      </c>
      <c r="P348" t="s">
        <v>47</v>
      </c>
      <c r="Q348">
        <v>0</v>
      </c>
      <c r="R348" t="s">
        <v>47</v>
      </c>
      <c r="S348">
        <v>0</v>
      </c>
      <c r="T348" t="s">
        <v>47</v>
      </c>
    </row>
    <row r="349" spans="1:20" x14ac:dyDescent="0.35">
      <c r="A349" s="1" t="s">
        <v>857</v>
      </c>
      <c r="B349" t="s">
        <v>14</v>
      </c>
      <c r="C349">
        <v>5</v>
      </c>
      <c r="D349" t="s">
        <v>739</v>
      </c>
      <c r="E349">
        <v>0</v>
      </c>
      <c r="F349" t="s">
        <v>47</v>
      </c>
      <c r="G349">
        <v>1</v>
      </c>
      <c r="H349" t="s">
        <v>45</v>
      </c>
      <c r="I349">
        <v>0</v>
      </c>
      <c r="J349" t="s">
        <v>47</v>
      </c>
      <c r="K349">
        <v>0</v>
      </c>
      <c r="L349" t="s">
        <v>47</v>
      </c>
      <c r="M349">
        <v>0</v>
      </c>
      <c r="N349" t="s">
        <v>47</v>
      </c>
      <c r="O349">
        <v>0</v>
      </c>
      <c r="P349" t="s">
        <v>47</v>
      </c>
      <c r="Q349">
        <v>0</v>
      </c>
      <c r="R349" t="s">
        <v>47</v>
      </c>
      <c r="S349">
        <v>0</v>
      </c>
      <c r="T349" t="s">
        <v>47</v>
      </c>
    </row>
    <row r="350" spans="1:20" x14ac:dyDescent="0.35">
      <c r="A350" s="1" t="s">
        <v>858</v>
      </c>
      <c r="B350" t="s">
        <v>16</v>
      </c>
      <c r="C350">
        <v>1</v>
      </c>
      <c r="D350" t="s">
        <v>740</v>
      </c>
      <c r="E350">
        <v>0</v>
      </c>
      <c r="F350" t="s">
        <v>47</v>
      </c>
      <c r="G350">
        <v>0</v>
      </c>
      <c r="H350" t="s">
        <v>47</v>
      </c>
      <c r="I350">
        <v>0</v>
      </c>
      <c r="J350" t="s">
        <v>47</v>
      </c>
      <c r="K350">
        <v>0</v>
      </c>
      <c r="L350" t="s">
        <v>47</v>
      </c>
      <c r="M350">
        <v>0</v>
      </c>
      <c r="N350" t="s">
        <v>47</v>
      </c>
      <c r="O350">
        <v>0</v>
      </c>
      <c r="P350" t="s">
        <v>47</v>
      </c>
      <c r="Q350">
        <v>1</v>
      </c>
      <c r="R350" t="s">
        <v>48</v>
      </c>
      <c r="S350">
        <v>0</v>
      </c>
      <c r="T350" t="s">
        <v>47</v>
      </c>
    </row>
    <row r="351" spans="1:20" x14ac:dyDescent="0.35">
      <c r="A351" s="1" t="s">
        <v>859</v>
      </c>
      <c r="B351" t="s">
        <v>16</v>
      </c>
      <c r="C351">
        <v>1</v>
      </c>
      <c r="D351" t="s">
        <v>741</v>
      </c>
      <c r="E351">
        <v>0</v>
      </c>
      <c r="F351" t="s">
        <v>47</v>
      </c>
      <c r="G351">
        <v>0</v>
      </c>
      <c r="H351" t="s">
        <v>47</v>
      </c>
      <c r="I351">
        <v>0</v>
      </c>
      <c r="J351" t="s">
        <v>47</v>
      </c>
      <c r="K351">
        <v>0</v>
      </c>
      <c r="L351" t="s">
        <v>47</v>
      </c>
      <c r="M351">
        <v>1</v>
      </c>
      <c r="N351" t="s">
        <v>48</v>
      </c>
      <c r="O351">
        <v>0</v>
      </c>
      <c r="P351" t="s">
        <v>47</v>
      </c>
      <c r="Q351">
        <v>0</v>
      </c>
      <c r="R351" t="s">
        <v>47</v>
      </c>
      <c r="S351">
        <v>0</v>
      </c>
      <c r="T351" t="s">
        <v>47</v>
      </c>
    </row>
    <row r="352" spans="1:20" x14ac:dyDescent="0.35">
      <c r="A352" s="1" t="s">
        <v>860</v>
      </c>
      <c r="B352" t="s">
        <v>14</v>
      </c>
      <c r="C352">
        <v>2</v>
      </c>
      <c r="D352" t="s">
        <v>745</v>
      </c>
      <c r="E352">
        <v>1</v>
      </c>
      <c r="F352" t="s">
        <v>48</v>
      </c>
      <c r="G352">
        <v>0</v>
      </c>
      <c r="H352" t="s">
        <v>47</v>
      </c>
      <c r="I352">
        <v>0</v>
      </c>
      <c r="J352" t="s">
        <v>47</v>
      </c>
      <c r="K352">
        <v>0</v>
      </c>
      <c r="L352" t="s">
        <v>47</v>
      </c>
      <c r="M352">
        <v>0</v>
      </c>
      <c r="N352" t="s">
        <v>47</v>
      </c>
      <c r="O352">
        <v>0</v>
      </c>
      <c r="P352" t="s">
        <v>47</v>
      </c>
      <c r="Q352">
        <v>0</v>
      </c>
      <c r="R352" t="s">
        <v>47</v>
      </c>
      <c r="S352">
        <v>0</v>
      </c>
      <c r="T352" t="s">
        <v>47</v>
      </c>
    </row>
    <row r="353" spans="1:20" x14ac:dyDescent="0.35">
      <c r="A353" s="1" t="s">
        <v>861</v>
      </c>
      <c r="B353" t="s">
        <v>14</v>
      </c>
      <c r="C353">
        <v>3</v>
      </c>
      <c r="D353" t="s">
        <v>746</v>
      </c>
      <c r="E353">
        <v>0</v>
      </c>
      <c r="F353" t="s">
        <v>47</v>
      </c>
      <c r="G353">
        <v>0</v>
      </c>
      <c r="H353" t="s">
        <v>47</v>
      </c>
      <c r="I353">
        <v>0</v>
      </c>
      <c r="J353" t="s">
        <v>47</v>
      </c>
      <c r="K353">
        <v>0</v>
      </c>
      <c r="L353" t="s">
        <v>47</v>
      </c>
      <c r="M353">
        <v>0</v>
      </c>
      <c r="N353" t="s">
        <v>47</v>
      </c>
      <c r="O353">
        <v>0</v>
      </c>
      <c r="P353" t="s">
        <v>47</v>
      </c>
      <c r="Q353">
        <v>1</v>
      </c>
      <c r="R353" t="s">
        <v>48</v>
      </c>
      <c r="S353">
        <v>0</v>
      </c>
      <c r="T353" t="s">
        <v>47</v>
      </c>
    </row>
    <row r="354" spans="1:20" x14ac:dyDescent="0.35">
      <c r="A354" s="1" t="s">
        <v>862</v>
      </c>
      <c r="B354" t="s">
        <v>16</v>
      </c>
      <c r="C354">
        <v>1</v>
      </c>
      <c r="D354" t="s">
        <v>747</v>
      </c>
      <c r="E354">
        <v>0</v>
      </c>
      <c r="F354" t="s">
        <v>47</v>
      </c>
      <c r="G354">
        <v>1</v>
      </c>
      <c r="H354" t="s">
        <v>48</v>
      </c>
      <c r="I354">
        <v>1</v>
      </c>
      <c r="J354" t="s">
        <v>48</v>
      </c>
      <c r="K354">
        <v>0</v>
      </c>
      <c r="L354" t="s">
        <v>47</v>
      </c>
      <c r="M354">
        <v>1</v>
      </c>
      <c r="N354" t="s">
        <v>48</v>
      </c>
      <c r="O354">
        <v>0</v>
      </c>
      <c r="P354" t="s">
        <v>47</v>
      </c>
      <c r="Q354">
        <v>0</v>
      </c>
      <c r="R354" t="s">
        <v>47</v>
      </c>
      <c r="S354">
        <v>0</v>
      </c>
      <c r="T354" t="s">
        <v>47</v>
      </c>
    </row>
    <row r="355" spans="1:20" x14ac:dyDescent="0.35">
      <c r="A355" s="1" t="s">
        <v>863</v>
      </c>
      <c r="B355" t="s">
        <v>16</v>
      </c>
      <c r="C355">
        <v>1</v>
      </c>
      <c r="D355" t="s">
        <v>748</v>
      </c>
      <c r="E355">
        <v>0</v>
      </c>
      <c r="F355" t="s">
        <v>47</v>
      </c>
      <c r="G355">
        <v>1</v>
      </c>
      <c r="H355" t="s">
        <v>48</v>
      </c>
      <c r="I355">
        <v>0</v>
      </c>
      <c r="J355" t="s">
        <v>47</v>
      </c>
      <c r="K355">
        <v>0</v>
      </c>
      <c r="L355" t="s">
        <v>47</v>
      </c>
      <c r="M355">
        <v>1</v>
      </c>
      <c r="N355" t="s">
        <v>48</v>
      </c>
      <c r="O355">
        <v>0</v>
      </c>
      <c r="P355" t="s">
        <v>47</v>
      </c>
      <c r="Q355">
        <v>0</v>
      </c>
      <c r="R355" t="s">
        <v>47</v>
      </c>
      <c r="S355">
        <v>0</v>
      </c>
      <c r="T355" t="s">
        <v>47</v>
      </c>
    </row>
    <row r="356" spans="1:20" x14ac:dyDescent="0.35">
      <c r="A356" s="1" t="s">
        <v>864</v>
      </c>
      <c r="B356" t="s">
        <v>14</v>
      </c>
      <c r="C356">
        <v>1</v>
      </c>
      <c r="D356" t="s">
        <v>742</v>
      </c>
      <c r="E356">
        <v>0</v>
      </c>
      <c r="F356" t="s">
        <v>47</v>
      </c>
      <c r="G356">
        <v>1</v>
      </c>
      <c r="H356" t="s">
        <v>48</v>
      </c>
      <c r="I356">
        <v>0</v>
      </c>
      <c r="J356" t="s">
        <v>47</v>
      </c>
      <c r="K356">
        <v>0</v>
      </c>
      <c r="L356" t="s">
        <v>47</v>
      </c>
      <c r="M356">
        <v>0</v>
      </c>
      <c r="N356" t="s">
        <v>47</v>
      </c>
      <c r="O356">
        <v>0</v>
      </c>
      <c r="P356" t="s">
        <v>47</v>
      </c>
      <c r="Q356">
        <v>0</v>
      </c>
      <c r="R356" t="s">
        <v>47</v>
      </c>
      <c r="S356">
        <v>0</v>
      </c>
      <c r="T356" t="s">
        <v>47</v>
      </c>
    </row>
    <row r="357" spans="1:20" x14ac:dyDescent="0.35">
      <c r="A357" s="1" t="s">
        <v>865</v>
      </c>
      <c r="B357" t="s">
        <v>14</v>
      </c>
      <c r="C357">
        <v>1</v>
      </c>
      <c r="D357" t="s">
        <v>743</v>
      </c>
      <c r="E357">
        <v>1</v>
      </c>
      <c r="F357" t="s">
        <v>48</v>
      </c>
      <c r="G357">
        <v>0</v>
      </c>
      <c r="H357" t="s">
        <v>47</v>
      </c>
      <c r="I357">
        <v>0</v>
      </c>
      <c r="J357" t="s">
        <v>47</v>
      </c>
      <c r="K357">
        <v>0</v>
      </c>
      <c r="L357" t="s">
        <v>47</v>
      </c>
      <c r="M357">
        <v>0</v>
      </c>
      <c r="N357" t="s">
        <v>47</v>
      </c>
      <c r="O357">
        <v>0</v>
      </c>
      <c r="P357" t="s">
        <v>47</v>
      </c>
      <c r="Q357">
        <v>0</v>
      </c>
      <c r="R357" t="s">
        <v>47</v>
      </c>
      <c r="S357">
        <v>0</v>
      </c>
      <c r="T357" t="s">
        <v>47</v>
      </c>
    </row>
    <row r="358" spans="1:20" x14ac:dyDescent="0.35">
      <c r="A358" s="1" t="s">
        <v>866</v>
      </c>
      <c r="B358" t="s">
        <v>14</v>
      </c>
      <c r="C358">
        <v>2</v>
      </c>
      <c r="D358" t="s">
        <v>744</v>
      </c>
      <c r="E358">
        <v>0</v>
      </c>
      <c r="F358" t="s">
        <v>47</v>
      </c>
      <c r="G358">
        <v>0</v>
      </c>
      <c r="H358" t="s">
        <v>47</v>
      </c>
      <c r="I358">
        <v>0</v>
      </c>
      <c r="J358" t="s">
        <v>47</v>
      </c>
      <c r="K358">
        <v>0</v>
      </c>
      <c r="L358" t="s">
        <v>47</v>
      </c>
      <c r="M358">
        <v>0</v>
      </c>
      <c r="N358" t="s">
        <v>47</v>
      </c>
      <c r="O358">
        <v>0</v>
      </c>
      <c r="P358" t="s">
        <v>47</v>
      </c>
      <c r="Q358">
        <v>1</v>
      </c>
      <c r="R358" t="s">
        <v>48</v>
      </c>
      <c r="S358">
        <v>0</v>
      </c>
      <c r="T358" t="s">
        <v>47</v>
      </c>
    </row>
    <row r="359" spans="1:20" x14ac:dyDescent="0.35">
      <c r="A359" s="1" t="s">
        <v>867</v>
      </c>
      <c r="B359" t="s">
        <v>14</v>
      </c>
      <c r="C359">
        <v>2</v>
      </c>
      <c r="D359" t="s">
        <v>749</v>
      </c>
      <c r="E359">
        <v>1</v>
      </c>
      <c r="F359" t="s">
        <v>48</v>
      </c>
      <c r="G359">
        <v>0</v>
      </c>
      <c r="H359" t="s">
        <v>47</v>
      </c>
      <c r="I359">
        <v>0</v>
      </c>
      <c r="J359" t="s">
        <v>47</v>
      </c>
      <c r="K359">
        <v>0</v>
      </c>
      <c r="L359" t="s">
        <v>47</v>
      </c>
      <c r="M359">
        <v>1</v>
      </c>
      <c r="N359" t="s">
        <v>48</v>
      </c>
      <c r="O359">
        <v>0</v>
      </c>
      <c r="P359" t="s">
        <v>47</v>
      </c>
      <c r="Q359">
        <v>0</v>
      </c>
      <c r="R359" t="s">
        <v>47</v>
      </c>
      <c r="S359">
        <v>0</v>
      </c>
      <c r="T359" t="s">
        <v>47</v>
      </c>
    </row>
    <row r="360" spans="1:20" x14ac:dyDescent="0.35">
      <c r="A360" s="1" t="s">
        <v>868</v>
      </c>
      <c r="B360" t="s">
        <v>16</v>
      </c>
      <c r="C360">
        <v>1</v>
      </c>
      <c r="D360" t="s">
        <v>755</v>
      </c>
      <c r="E360">
        <v>1</v>
      </c>
      <c r="F360" t="s">
        <v>48</v>
      </c>
      <c r="G360">
        <v>0</v>
      </c>
      <c r="H360" t="s">
        <v>47</v>
      </c>
      <c r="I360">
        <v>0</v>
      </c>
      <c r="J360" t="s">
        <v>47</v>
      </c>
      <c r="K360">
        <v>0</v>
      </c>
      <c r="L360" t="s">
        <v>47</v>
      </c>
      <c r="M360">
        <v>1</v>
      </c>
      <c r="N360" t="s">
        <v>48</v>
      </c>
      <c r="O360">
        <v>0</v>
      </c>
      <c r="P360" t="s">
        <v>47</v>
      </c>
      <c r="Q360">
        <v>0</v>
      </c>
      <c r="R360" t="s">
        <v>47</v>
      </c>
      <c r="S360">
        <v>0</v>
      </c>
      <c r="T360" t="s">
        <v>47</v>
      </c>
    </row>
    <row r="361" spans="1:20" x14ac:dyDescent="0.35">
      <c r="A361" s="1" t="s">
        <v>869</v>
      </c>
      <c r="B361" t="s">
        <v>16</v>
      </c>
      <c r="C361">
        <v>3</v>
      </c>
      <c r="D361" t="s">
        <v>756</v>
      </c>
      <c r="E361">
        <v>1</v>
      </c>
      <c r="F361" t="s">
        <v>45</v>
      </c>
      <c r="G361">
        <v>1</v>
      </c>
      <c r="H361" t="s">
        <v>45</v>
      </c>
      <c r="I361">
        <v>0</v>
      </c>
      <c r="J361" t="s">
        <v>47</v>
      </c>
      <c r="K361">
        <v>1</v>
      </c>
      <c r="L361" t="s">
        <v>48</v>
      </c>
      <c r="M361">
        <v>0</v>
      </c>
      <c r="N361" t="s">
        <v>47</v>
      </c>
      <c r="O361">
        <v>0</v>
      </c>
      <c r="P361" t="s">
        <v>47</v>
      </c>
      <c r="Q361">
        <v>1</v>
      </c>
      <c r="R361" t="s">
        <v>48</v>
      </c>
      <c r="S361">
        <v>0</v>
      </c>
      <c r="T361" t="s">
        <v>47</v>
      </c>
    </row>
    <row r="362" spans="1:20" x14ac:dyDescent="0.35">
      <c r="A362" s="1" t="s">
        <v>870</v>
      </c>
      <c r="B362" t="s">
        <v>16</v>
      </c>
      <c r="C362">
        <v>1</v>
      </c>
      <c r="D362" t="s">
        <v>757</v>
      </c>
      <c r="E362">
        <v>1</v>
      </c>
      <c r="F362" t="s">
        <v>48</v>
      </c>
      <c r="G362">
        <v>0</v>
      </c>
      <c r="H362" t="s">
        <v>47</v>
      </c>
      <c r="I362">
        <v>0</v>
      </c>
      <c r="J362" t="s">
        <v>47</v>
      </c>
      <c r="K362">
        <v>0</v>
      </c>
      <c r="L362" t="s">
        <v>47</v>
      </c>
      <c r="M362">
        <v>0</v>
      </c>
      <c r="N362" t="s">
        <v>47</v>
      </c>
      <c r="O362">
        <v>1</v>
      </c>
      <c r="P362" t="s">
        <v>48</v>
      </c>
      <c r="Q362">
        <v>0</v>
      </c>
      <c r="R362" t="s">
        <v>47</v>
      </c>
      <c r="S362">
        <v>0</v>
      </c>
      <c r="T362" t="s">
        <v>47</v>
      </c>
    </row>
    <row r="363" spans="1:20" x14ac:dyDescent="0.35">
      <c r="A363" s="1" t="s">
        <v>871</v>
      </c>
      <c r="B363" t="s">
        <v>14</v>
      </c>
      <c r="C363">
        <v>1</v>
      </c>
      <c r="D363" t="s">
        <v>758</v>
      </c>
      <c r="E363">
        <v>0</v>
      </c>
      <c r="F363" t="s">
        <v>47</v>
      </c>
      <c r="G363">
        <v>1</v>
      </c>
      <c r="H363" t="s">
        <v>48</v>
      </c>
      <c r="I363">
        <v>0</v>
      </c>
      <c r="J363" t="s">
        <v>47</v>
      </c>
      <c r="K363">
        <v>0</v>
      </c>
      <c r="L363" t="s">
        <v>47</v>
      </c>
      <c r="M363">
        <v>0</v>
      </c>
      <c r="N363" t="s">
        <v>47</v>
      </c>
      <c r="O363">
        <v>0</v>
      </c>
      <c r="P363" t="s">
        <v>47</v>
      </c>
      <c r="Q363">
        <v>1</v>
      </c>
      <c r="R363" t="s">
        <v>48</v>
      </c>
      <c r="S363">
        <v>0</v>
      </c>
      <c r="T363" t="s">
        <v>47</v>
      </c>
    </row>
    <row r="364" spans="1:20" x14ac:dyDescent="0.35">
      <c r="A364" s="1" t="s">
        <v>872</v>
      </c>
      <c r="B364" t="s">
        <v>16</v>
      </c>
      <c r="C364">
        <v>2</v>
      </c>
      <c r="D364" t="s">
        <v>759</v>
      </c>
      <c r="E364">
        <v>1</v>
      </c>
      <c r="F364" t="s">
        <v>48</v>
      </c>
      <c r="G364">
        <v>0</v>
      </c>
      <c r="H364" t="s">
        <v>47</v>
      </c>
      <c r="I364">
        <v>0</v>
      </c>
      <c r="J364" t="s">
        <v>47</v>
      </c>
      <c r="K364">
        <v>0</v>
      </c>
      <c r="L364" t="s">
        <v>47</v>
      </c>
      <c r="M364">
        <v>0</v>
      </c>
      <c r="N364" t="s">
        <v>47</v>
      </c>
      <c r="O364">
        <v>0</v>
      </c>
      <c r="P364" t="s">
        <v>47</v>
      </c>
      <c r="Q364">
        <v>0</v>
      </c>
      <c r="R364" t="s">
        <v>47</v>
      </c>
      <c r="S364">
        <v>0</v>
      </c>
      <c r="T364" t="s">
        <v>47</v>
      </c>
    </row>
    <row r="365" spans="1:20" x14ac:dyDescent="0.35">
      <c r="A365" s="1" t="s">
        <v>873</v>
      </c>
      <c r="B365" t="s">
        <v>16</v>
      </c>
      <c r="C365">
        <v>1</v>
      </c>
      <c r="D365" t="s">
        <v>760</v>
      </c>
      <c r="E365">
        <v>0</v>
      </c>
      <c r="F365" t="s">
        <v>47</v>
      </c>
      <c r="G365">
        <v>1</v>
      </c>
      <c r="H365" t="s">
        <v>48</v>
      </c>
      <c r="I365">
        <v>0</v>
      </c>
      <c r="J365" t="s">
        <v>47</v>
      </c>
      <c r="K365">
        <v>0</v>
      </c>
      <c r="L365" t="s">
        <v>47</v>
      </c>
      <c r="M365">
        <v>0</v>
      </c>
      <c r="N365" t="s">
        <v>47</v>
      </c>
      <c r="O365">
        <v>0</v>
      </c>
      <c r="P365" t="s">
        <v>47</v>
      </c>
      <c r="Q365">
        <v>0</v>
      </c>
      <c r="R365" t="s">
        <v>47</v>
      </c>
      <c r="S365">
        <v>0</v>
      </c>
      <c r="T365" t="s">
        <v>47</v>
      </c>
    </row>
    <row r="366" spans="1:20" x14ac:dyDescent="0.35">
      <c r="A366" s="1" t="s">
        <v>874</v>
      </c>
      <c r="B366" t="s">
        <v>14</v>
      </c>
      <c r="C366">
        <v>3</v>
      </c>
      <c r="D366" t="s">
        <v>750</v>
      </c>
      <c r="E366">
        <v>1</v>
      </c>
      <c r="F366" t="s">
        <v>55</v>
      </c>
      <c r="G366">
        <v>0</v>
      </c>
      <c r="H366" t="s">
        <v>47</v>
      </c>
      <c r="I366">
        <v>0</v>
      </c>
      <c r="J366" t="s">
        <v>47</v>
      </c>
      <c r="K366">
        <v>0</v>
      </c>
      <c r="L366" t="s">
        <v>47</v>
      </c>
      <c r="M366">
        <v>0</v>
      </c>
      <c r="N366" t="s">
        <v>47</v>
      </c>
      <c r="O366">
        <v>0</v>
      </c>
      <c r="P366" t="s">
        <v>47</v>
      </c>
      <c r="Q366">
        <v>0</v>
      </c>
      <c r="R366" t="s">
        <v>47</v>
      </c>
      <c r="S366">
        <v>0</v>
      </c>
      <c r="T366" t="s">
        <v>47</v>
      </c>
    </row>
    <row r="367" spans="1:20" x14ac:dyDescent="0.35">
      <c r="A367" s="1" t="s">
        <v>875</v>
      </c>
      <c r="B367" t="s">
        <v>14</v>
      </c>
      <c r="C367">
        <v>1</v>
      </c>
      <c r="D367" t="s">
        <v>751</v>
      </c>
      <c r="E367">
        <v>0</v>
      </c>
      <c r="F367" t="s">
        <v>47</v>
      </c>
      <c r="G367">
        <v>0</v>
      </c>
      <c r="H367" t="s">
        <v>47</v>
      </c>
      <c r="I367">
        <v>0</v>
      </c>
      <c r="J367" t="s">
        <v>47</v>
      </c>
      <c r="K367">
        <v>1</v>
      </c>
      <c r="L367" t="s">
        <v>48</v>
      </c>
      <c r="M367">
        <v>0</v>
      </c>
      <c r="N367" t="s">
        <v>47</v>
      </c>
      <c r="O367">
        <v>1</v>
      </c>
      <c r="P367" t="s">
        <v>48</v>
      </c>
      <c r="Q367">
        <v>0</v>
      </c>
      <c r="R367" t="s">
        <v>47</v>
      </c>
      <c r="S367">
        <v>0</v>
      </c>
      <c r="T367" t="s">
        <v>47</v>
      </c>
    </row>
    <row r="368" spans="1:20" x14ac:dyDescent="0.35">
      <c r="A368" s="1" t="s">
        <v>876</v>
      </c>
      <c r="B368" t="s">
        <v>16</v>
      </c>
      <c r="C368">
        <v>2</v>
      </c>
      <c r="D368" t="s">
        <v>752</v>
      </c>
      <c r="E368">
        <v>0</v>
      </c>
      <c r="F368" t="s">
        <v>47</v>
      </c>
      <c r="G368">
        <v>0</v>
      </c>
      <c r="H368" t="s">
        <v>47</v>
      </c>
      <c r="I368">
        <v>0</v>
      </c>
      <c r="J368" t="s">
        <v>47</v>
      </c>
      <c r="K368">
        <v>0</v>
      </c>
      <c r="L368" t="s">
        <v>47</v>
      </c>
      <c r="M368">
        <v>0</v>
      </c>
      <c r="N368" t="s">
        <v>47</v>
      </c>
      <c r="O368">
        <v>1</v>
      </c>
      <c r="P368" t="s">
        <v>48</v>
      </c>
      <c r="Q368">
        <v>0</v>
      </c>
      <c r="R368" t="s">
        <v>47</v>
      </c>
      <c r="S368">
        <v>0</v>
      </c>
      <c r="T368" t="s">
        <v>47</v>
      </c>
    </row>
    <row r="369" spans="1:20" x14ac:dyDescent="0.35">
      <c r="A369" s="1" t="s">
        <v>877</v>
      </c>
      <c r="B369" t="s">
        <v>16</v>
      </c>
      <c r="C369">
        <v>3</v>
      </c>
      <c r="D369" t="s">
        <v>753</v>
      </c>
      <c r="E369">
        <v>0</v>
      </c>
      <c r="F369" t="s">
        <v>47</v>
      </c>
      <c r="G369">
        <v>1</v>
      </c>
      <c r="H369" t="s">
        <v>45</v>
      </c>
      <c r="I369">
        <v>0</v>
      </c>
      <c r="J369" t="s">
        <v>47</v>
      </c>
      <c r="K369">
        <v>0</v>
      </c>
      <c r="L369" t="s">
        <v>47</v>
      </c>
      <c r="M369">
        <v>0</v>
      </c>
      <c r="N369" t="s">
        <v>47</v>
      </c>
      <c r="O369">
        <v>0</v>
      </c>
      <c r="P369" t="s">
        <v>47</v>
      </c>
      <c r="Q369">
        <v>0</v>
      </c>
      <c r="R369" t="s">
        <v>47</v>
      </c>
      <c r="S369">
        <v>0</v>
      </c>
      <c r="T369" t="s">
        <v>47</v>
      </c>
    </row>
    <row r="370" spans="1:20" x14ac:dyDescent="0.35">
      <c r="A370" s="1" t="s">
        <v>878</v>
      </c>
      <c r="B370" t="s">
        <v>16</v>
      </c>
      <c r="C370">
        <v>3</v>
      </c>
      <c r="D370" t="s">
        <v>754</v>
      </c>
      <c r="E370">
        <v>1</v>
      </c>
      <c r="F370" t="s">
        <v>48</v>
      </c>
      <c r="G370">
        <v>0</v>
      </c>
      <c r="H370" t="s">
        <v>47</v>
      </c>
      <c r="I370">
        <v>0</v>
      </c>
      <c r="J370" t="s">
        <v>47</v>
      </c>
      <c r="K370">
        <v>0</v>
      </c>
      <c r="L370" t="s">
        <v>47</v>
      </c>
      <c r="M370">
        <v>1</v>
      </c>
      <c r="N370" t="s">
        <v>48</v>
      </c>
      <c r="O370">
        <v>0</v>
      </c>
      <c r="P370" t="s">
        <v>47</v>
      </c>
      <c r="Q370">
        <v>0</v>
      </c>
      <c r="R370" t="s">
        <v>47</v>
      </c>
      <c r="S370">
        <v>0</v>
      </c>
      <c r="T370" t="s">
        <v>47</v>
      </c>
    </row>
    <row r="371" spans="1:20" x14ac:dyDescent="0.35">
      <c r="A371" s="1" t="s">
        <v>879</v>
      </c>
      <c r="B371" t="s">
        <v>16</v>
      </c>
      <c r="C371" s="18">
        <v>1</v>
      </c>
      <c r="D371" t="s">
        <v>761</v>
      </c>
      <c r="E371">
        <v>1</v>
      </c>
      <c r="F371" t="s">
        <v>48</v>
      </c>
      <c r="G371">
        <v>0</v>
      </c>
      <c r="H371" t="s">
        <v>47</v>
      </c>
      <c r="I371">
        <v>0</v>
      </c>
      <c r="J371" t="s">
        <v>47</v>
      </c>
      <c r="K371">
        <v>0</v>
      </c>
      <c r="L371" t="s">
        <v>47</v>
      </c>
      <c r="M371">
        <v>0</v>
      </c>
      <c r="N371" t="s">
        <v>47</v>
      </c>
      <c r="O371">
        <v>0</v>
      </c>
      <c r="P371" t="s">
        <v>47</v>
      </c>
      <c r="Q371">
        <v>0</v>
      </c>
      <c r="R371" t="s">
        <v>47</v>
      </c>
      <c r="S371">
        <v>0</v>
      </c>
      <c r="T371" t="s">
        <v>47</v>
      </c>
    </row>
    <row r="372" spans="1:20" x14ac:dyDescent="0.35">
      <c r="A372" s="1" t="s">
        <v>880</v>
      </c>
      <c r="B372" t="s">
        <v>14</v>
      </c>
      <c r="C372" s="19">
        <v>2</v>
      </c>
      <c r="D372" t="s">
        <v>762</v>
      </c>
      <c r="E372">
        <v>0</v>
      </c>
      <c r="F372" t="s">
        <v>47</v>
      </c>
      <c r="G372">
        <v>1</v>
      </c>
      <c r="H372" t="s">
        <v>48</v>
      </c>
      <c r="I372">
        <v>0</v>
      </c>
      <c r="J372" t="s">
        <v>47</v>
      </c>
      <c r="K372">
        <v>0</v>
      </c>
      <c r="L372" t="s">
        <v>47</v>
      </c>
      <c r="M372">
        <v>0</v>
      </c>
      <c r="N372" t="s">
        <v>47</v>
      </c>
      <c r="O372">
        <v>0</v>
      </c>
      <c r="P372" t="s">
        <v>47</v>
      </c>
      <c r="Q372">
        <v>0</v>
      </c>
      <c r="R372" t="s">
        <v>47</v>
      </c>
      <c r="S372">
        <v>0</v>
      </c>
      <c r="T372" t="s">
        <v>47</v>
      </c>
    </row>
    <row r="373" spans="1:20" x14ac:dyDescent="0.35">
      <c r="A373" s="1" t="s">
        <v>881</v>
      </c>
      <c r="B373" t="s">
        <v>16</v>
      </c>
      <c r="C373" s="18">
        <v>2</v>
      </c>
      <c r="D373" t="s">
        <v>763</v>
      </c>
      <c r="E373">
        <v>1</v>
      </c>
      <c r="F373" t="s">
        <v>55</v>
      </c>
      <c r="G373">
        <v>0</v>
      </c>
      <c r="H373" t="s">
        <v>47</v>
      </c>
      <c r="I373">
        <v>0</v>
      </c>
      <c r="J373" t="s">
        <v>47</v>
      </c>
      <c r="K373">
        <v>0</v>
      </c>
      <c r="L373" t="s">
        <v>47</v>
      </c>
      <c r="M373">
        <v>0</v>
      </c>
      <c r="N373" t="s">
        <v>47</v>
      </c>
      <c r="O373">
        <v>0</v>
      </c>
      <c r="P373" t="s">
        <v>47</v>
      </c>
      <c r="Q373">
        <v>0</v>
      </c>
      <c r="R373" t="s">
        <v>47</v>
      </c>
      <c r="S373">
        <v>0</v>
      </c>
      <c r="T373" t="s">
        <v>47</v>
      </c>
    </row>
    <row r="374" spans="1:20" x14ac:dyDescent="0.35">
      <c r="A374" s="1" t="s">
        <v>882</v>
      </c>
      <c r="B374" t="s">
        <v>14</v>
      </c>
      <c r="C374" s="19">
        <v>2</v>
      </c>
      <c r="D374" t="s">
        <v>764</v>
      </c>
      <c r="E374">
        <v>0</v>
      </c>
      <c r="F374" t="s">
        <v>47</v>
      </c>
      <c r="G374">
        <v>0</v>
      </c>
      <c r="H374" t="s">
        <v>47</v>
      </c>
      <c r="I374">
        <v>0</v>
      </c>
      <c r="J374" t="s">
        <v>47</v>
      </c>
      <c r="K374">
        <v>1</v>
      </c>
      <c r="L374" t="s">
        <v>48</v>
      </c>
      <c r="M374">
        <v>0</v>
      </c>
      <c r="N374" t="s">
        <v>47</v>
      </c>
      <c r="O374">
        <v>0</v>
      </c>
      <c r="P374" t="s">
        <v>47</v>
      </c>
      <c r="Q374">
        <v>0</v>
      </c>
      <c r="R374" t="s">
        <v>47</v>
      </c>
      <c r="S374">
        <v>0</v>
      </c>
      <c r="T374" t="s">
        <v>47</v>
      </c>
    </row>
    <row r="375" spans="1:20" x14ac:dyDescent="0.35">
      <c r="A375" s="1" t="s">
        <v>883</v>
      </c>
      <c r="B375" t="s">
        <v>14</v>
      </c>
      <c r="C375" s="18">
        <v>1</v>
      </c>
      <c r="D375" t="s">
        <v>765</v>
      </c>
      <c r="E375">
        <v>0</v>
      </c>
      <c r="F375" t="s">
        <v>47</v>
      </c>
      <c r="G375">
        <v>0</v>
      </c>
      <c r="H375" t="s">
        <v>47</v>
      </c>
      <c r="I375">
        <v>0</v>
      </c>
      <c r="J375" t="s">
        <v>47</v>
      </c>
      <c r="K375">
        <v>1</v>
      </c>
      <c r="L375" t="s">
        <v>48</v>
      </c>
      <c r="M375">
        <v>0</v>
      </c>
      <c r="N375" t="s">
        <v>47</v>
      </c>
      <c r="O375">
        <v>0</v>
      </c>
      <c r="P375" t="s">
        <v>47</v>
      </c>
      <c r="Q375">
        <v>0</v>
      </c>
      <c r="R375" t="s">
        <v>47</v>
      </c>
      <c r="S375">
        <v>0</v>
      </c>
      <c r="T375" t="s">
        <v>47</v>
      </c>
    </row>
    <row r="376" spans="1:20" x14ac:dyDescent="0.35">
      <c r="A376" s="1" t="s">
        <v>884</v>
      </c>
      <c r="B376" t="s">
        <v>16</v>
      </c>
      <c r="C376">
        <v>2</v>
      </c>
      <c r="D376" t="s">
        <v>766</v>
      </c>
      <c r="E376">
        <v>0</v>
      </c>
      <c r="F376" t="s">
        <v>47</v>
      </c>
      <c r="G376">
        <v>1</v>
      </c>
      <c r="H376" t="s">
        <v>48</v>
      </c>
      <c r="I376">
        <v>0</v>
      </c>
      <c r="J376" t="s">
        <v>47</v>
      </c>
      <c r="K376">
        <v>0</v>
      </c>
      <c r="L376" t="s">
        <v>47</v>
      </c>
      <c r="M376">
        <v>0</v>
      </c>
      <c r="N376" t="s">
        <v>47</v>
      </c>
      <c r="O376">
        <v>0</v>
      </c>
      <c r="P376" t="s">
        <v>47</v>
      </c>
      <c r="Q376">
        <v>0</v>
      </c>
      <c r="R376" t="s">
        <v>47</v>
      </c>
      <c r="S376">
        <v>0</v>
      </c>
      <c r="T376" t="s">
        <v>47</v>
      </c>
    </row>
    <row r="377" spans="1:20" x14ac:dyDescent="0.35">
      <c r="A377" s="1" t="s">
        <v>885</v>
      </c>
      <c r="B377" t="s">
        <v>14</v>
      </c>
      <c r="C377">
        <v>1</v>
      </c>
      <c r="D377" t="s">
        <v>767</v>
      </c>
      <c r="E377">
        <v>0</v>
      </c>
      <c r="F377" t="s">
        <v>47</v>
      </c>
      <c r="G377">
        <v>1</v>
      </c>
      <c r="H377" t="s">
        <v>48</v>
      </c>
      <c r="I377">
        <v>0</v>
      </c>
      <c r="J377" t="s">
        <v>47</v>
      </c>
      <c r="K377">
        <v>0</v>
      </c>
      <c r="L377" t="s">
        <v>47</v>
      </c>
      <c r="M377">
        <v>0</v>
      </c>
      <c r="N377" t="s">
        <v>47</v>
      </c>
      <c r="O377">
        <v>0</v>
      </c>
      <c r="P377" t="s">
        <v>47</v>
      </c>
      <c r="Q377">
        <v>1</v>
      </c>
      <c r="R377" t="s">
        <v>48</v>
      </c>
      <c r="S377">
        <v>0</v>
      </c>
      <c r="T377" t="s">
        <v>47</v>
      </c>
    </row>
    <row r="378" spans="1:20" x14ac:dyDescent="0.35">
      <c r="A378" s="1" t="s">
        <v>886</v>
      </c>
      <c r="B378" t="s">
        <v>16</v>
      </c>
      <c r="C378">
        <v>1</v>
      </c>
      <c r="D378" t="s">
        <v>768</v>
      </c>
      <c r="E378">
        <v>0</v>
      </c>
      <c r="F378" t="s">
        <v>47</v>
      </c>
      <c r="G378">
        <v>1</v>
      </c>
      <c r="H378" t="s">
        <v>48</v>
      </c>
      <c r="I378">
        <v>0</v>
      </c>
      <c r="J378" t="s">
        <v>47</v>
      </c>
      <c r="K378">
        <v>0</v>
      </c>
      <c r="L378" t="s">
        <v>47</v>
      </c>
      <c r="M378">
        <v>0</v>
      </c>
      <c r="N378" t="s">
        <v>47</v>
      </c>
      <c r="O378">
        <v>0</v>
      </c>
      <c r="P378" t="s">
        <v>47</v>
      </c>
      <c r="Q378">
        <v>0</v>
      </c>
      <c r="R378" t="s">
        <v>47</v>
      </c>
      <c r="S378">
        <v>0</v>
      </c>
      <c r="T378" t="s">
        <v>47</v>
      </c>
    </row>
    <row r="379" spans="1:20" x14ac:dyDescent="0.35">
      <c r="A379" s="1" t="s">
        <v>887</v>
      </c>
      <c r="B379" t="s">
        <v>16</v>
      </c>
      <c r="C379">
        <v>2</v>
      </c>
      <c r="D379" t="s">
        <v>769</v>
      </c>
      <c r="E379">
        <v>0</v>
      </c>
      <c r="F379" t="s">
        <v>47</v>
      </c>
      <c r="G379">
        <v>0</v>
      </c>
      <c r="H379" t="s">
        <v>47</v>
      </c>
      <c r="I379">
        <v>0</v>
      </c>
      <c r="J379" t="s">
        <v>47</v>
      </c>
      <c r="K379">
        <v>0</v>
      </c>
      <c r="L379" t="s">
        <v>47</v>
      </c>
      <c r="M379">
        <v>1</v>
      </c>
      <c r="N379" t="s">
        <v>48</v>
      </c>
      <c r="O379">
        <v>0</v>
      </c>
      <c r="P379" t="s">
        <v>47</v>
      </c>
      <c r="Q379">
        <v>0</v>
      </c>
      <c r="R379" t="s">
        <v>47</v>
      </c>
      <c r="S379">
        <v>0</v>
      </c>
      <c r="T379" t="s">
        <v>47</v>
      </c>
    </row>
    <row r="380" spans="1:20" x14ac:dyDescent="0.35">
      <c r="A380" s="1" t="s">
        <v>888</v>
      </c>
      <c r="B380" t="s">
        <v>16</v>
      </c>
      <c r="C380" s="18">
        <v>3</v>
      </c>
      <c r="D380" t="s">
        <v>770</v>
      </c>
      <c r="E380">
        <v>1</v>
      </c>
      <c r="F380" t="s">
        <v>48</v>
      </c>
      <c r="G380">
        <v>1</v>
      </c>
      <c r="H380" t="s">
        <v>48</v>
      </c>
      <c r="I380">
        <v>0</v>
      </c>
      <c r="J380" t="s">
        <v>47</v>
      </c>
      <c r="K380">
        <v>0</v>
      </c>
      <c r="L380" t="s">
        <v>47</v>
      </c>
      <c r="M380">
        <v>0</v>
      </c>
      <c r="N380" t="s">
        <v>47</v>
      </c>
      <c r="O380">
        <v>0</v>
      </c>
      <c r="P380" t="s">
        <v>47</v>
      </c>
      <c r="Q380">
        <v>0</v>
      </c>
      <c r="R380" t="s">
        <v>47</v>
      </c>
      <c r="S380">
        <v>0</v>
      </c>
      <c r="T380" t="s">
        <v>47</v>
      </c>
    </row>
    <row r="381" spans="1:20" x14ac:dyDescent="0.35">
      <c r="A381" s="1" t="s">
        <v>889</v>
      </c>
      <c r="B381" t="s">
        <v>16</v>
      </c>
      <c r="C381" s="19">
        <v>1</v>
      </c>
      <c r="D381" t="s">
        <v>771</v>
      </c>
      <c r="E381">
        <v>0</v>
      </c>
      <c r="F381" t="s">
        <v>47</v>
      </c>
      <c r="G381">
        <v>1</v>
      </c>
      <c r="H381" t="s">
        <v>48</v>
      </c>
      <c r="I381">
        <v>1</v>
      </c>
      <c r="J381" t="s">
        <v>48</v>
      </c>
      <c r="K381">
        <v>0</v>
      </c>
      <c r="L381" t="s">
        <v>47</v>
      </c>
      <c r="M381">
        <v>0</v>
      </c>
      <c r="N381" t="s">
        <v>47</v>
      </c>
      <c r="O381">
        <v>0</v>
      </c>
      <c r="P381" t="s">
        <v>47</v>
      </c>
      <c r="Q381">
        <v>0</v>
      </c>
      <c r="R381" t="s">
        <v>47</v>
      </c>
      <c r="S381">
        <v>0</v>
      </c>
      <c r="T381" t="s">
        <v>47</v>
      </c>
    </row>
    <row r="382" spans="1:20" x14ac:dyDescent="0.35">
      <c r="A382" s="1" t="s">
        <v>890</v>
      </c>
      <c r="B382" t="s">
        <v>16</v>
      </c>
      <c r="C382" s="18">
        <v>1</v>
      </c>
      <c r="D382" t="s">
        <v>772</v>
      </c>
      <c r="E382">
        <v>0</v>
      </c>
      <c r="F382" t="s">
        <v>47</v>
      </c>
      <c r="G382">
        <v>1</v>
      </c>
      <c r="H382" t="s">
        <v>48</v>
      </c>
      <c r="I382">
        <v>0</v>
      </c>
      <c r="J382" t="s">
        <v>47</v>
      </c>
      <c r="K382">
        <v>0</v>
      </c>
      <c r="L382" t="s">
        <v>47</v>
      </c>
      <c r="M382">
        <v>0</v>
      </c>
      <c r="N382" t="s">
        <v>47</v>
      </c>
      <c r="O382">
        <v>0</v>
      </c>
      <c r="P382" t="s">
        <v>47</v>
      </c>
      <c r="Q382">
        <v>0</v>
      </c>
      <c r="R382" t="s">
        <v>47</v>
      </c>
      <c r="S382">
        <v>0</v>
      </c>
      <c r="T382" t="s">
        <v>47</v>
      </c>
    </row>
    <row r="383" spans="1:20" x14ac:dyDescent="0.35">
      <c r="A383" s="1" t="s">
        <v>891</v>
      </c>
      <c r="B383" t="s">
        <v>16</v>
      </c>
      <c r="C383" s="19">
        <v>2</v>
      </c>
      <c r="D383" t="s">
        <v>773</v>
      </c>
      <c r="E383">
        <v>0</v>
      </c>
      <c r="F383" t="s">
        <v>47</v>
      </c>
      <c r="G383">
        <v>0</v>
      </c>
      <c r="H383" t="s">
        <v>47</v>
      </c>
      <c r="I383">
        <v>0</v>
      </c>
      <c r="J383" t="s">
        <v>47</v>
      </c>
      <c r="K383">
        <v>0</v>
      </c>
      <c r="L383" t="s">
        <v>47</v>
      </c>
      <c r="M383">
        <v>1</v>
      </c>
      <c r="N383" t="s">
        <v>48</v>
      </c>
      <c r="O383">
        <v>0</v>
      </c>
      <c r="P383" t="s">
        <v>47</v>
      </c>
      <c r="Q383">
        <v>0</v>
      </c>
      <c r="R383" t="s">
        <v>47</v>
      </c>
      <c r="S383">
        <v>0</v>
      </c>
      <c r="T383" t="s">
        <v>47</v>
      </c>
    </row>
    <row r="384" spans="1:20" x14ac:dyDescent="0.35">
      <c r="A384" s="1" t="s">
        <v>892</v>
      </c>
      <c r="B384" t="s">
        <v>16</v>
      </c>
      <c r="C384" s="18">
        <v>3</v>
      </c>
      <c r="D384" t="s">
        <v>774</v>
      </c>
      <c r="E384">
        <v>1</v>
      </c>
      <c r="F384" t="s">
        <v>55</v>
      </c>
      <c r="G384">
        <v>1</v>
      </c>
      <c r="H384" t="s">
        <v>45</v>
      </c>
      <c r="I384">
        <v>0</v>
      </c>
      <c r="J384" t="s">
        <v>47</v>
      </c>
      <c r="K384">
        <v>0</v>
      </c>
      <c r="L384" t="s">
        <v>47</v>
      </c>
      <c r="M384">
        <v>0</v>
      </c>
      <c r="N384" t="s">
        <v>47</v>
      </c>
      <c r="O384">
        <v>0</v>
      </c>
      <c r="P384" t="s">
        <v>47</v>
      </c>
      <c r="Q384">
        <v>0</v>
      </c>
      <c r="R384" t="s">
        <v>47</v>
      </c>
      <c r="S384">
        <v>0</v>
      </c>
      <c r="T384" t="s">
        <v>47</v>
      </c>
    </row>
    <row r="385" spans="1:20" x14ac:dyDescent="0.35">
      <c r="A385" s="1" t="s">
        <v>893</v>
      </c>
      <c r="B385" t="s">
        <v>14</v>
      </c>
      <c r="C385">
        <v>1</v>
      </c>
      <c r="D385" t="s">
        <v>775</v>
      </c>
      <c r="E385">
        <v>0</v>
      </c>
      <c r="F385" t="s">
        <v>47</v>
      </c>
      <c r="G385">
        <v>0</v>
      </c>
      <c r="H385" t="s">
        <v>47</v>
      </c>
      <c r="I385">
        <v>0</v>
      </c>
      <c r="J385" t="s">
        <v>47</v>
      </c>
      <c r="K385">
        <v>0</v>
      </c>
      <c r="L385" t="s">
        <v>47</v>
      </c>
      <c r="M385">
        <v>1</v>
      </c>
      <c r="N385" t="s">
        <v>48</v>
      </c>
      <c r="O385">
        <v>0</v>
      </c>
      <c r="P385" t="s">
        <v>47</v>
      </c>
      <c r="Q385">
        <v>0</v>
      </c>
      <c r="R385" t="s">
        <v>47</v>
      </c>
      <c r="S385">
        <v>0</v>
      </c>
      <c r="T385" t="s">
        <v>47</v>
      </c>
    </row>
    <row r="386" spans="1:20" x14ac:dyDescent="0.35">
      <c r="A386" s="1" t="s">
        <v>894</v>
      </c>
      <c r="B386" t="s">
        <v>16</v>
      </c>
      <c r="C386">
        <v>1</v>
      </c>
      <c r="D386" t="s">
        <v>776</v>
      </c>
      <c r="E386">
        <v>0</v>
      </c>
      <c r="F386" t="s">
        <v>47</v>
      </c>
      <c r="G386">
        <v>0</v>
      </c>
      <c r="H386" t="s">
        <v>47</v>
      </c>
      <c r="I386">
        <v>0</v>
      </c>
      <c r="J386" t="s">
        <v>47</v>
      </c>
      <c r="K386">
        <v>1</v>
      </c>
      <c r="L386" t="s">
        <v>48</v>
      </c>
      <c r="M386">
        <v>0</v>
      </c>
      <c r="N386" t="s">
        <v>47</v>
      </c>
      <c r="O386">
        <v>0</v>
      </c>
      <c r="P386" t="s">
        <v>47</v>
      </c>
      <c r="Q386">
        <v>0</v>
      </c>
      <c r="R386" t="s">
        <v>47</v>
      </c>
      <c r="S386">
        <v>0</v>
      </c>
      <c r="T386" t="s">
        <v>47</v>
      </c>
    </row>
    <row r="387" spans="1:20" x14ac:dyDescent="0.35">
      <c r="A387" s="1" t="s">
        <v>895</v>
      </c>
      <c r="B387" t="s">
        <v>16</v>
      </c>
      <c r="C387">
        <v>1</v>
      </c>
      <c r="D387" t="s">
        <v>777</v>
      </c>
      <c r="E387">
        <v>1</v>
      </c>
      <c r="F387" t="s">
        <v>48</v>
      </c>
      <c r="G387">
        <v>0</v>
      </c>
      <c r="H387" t="s">
        <v>47</v>
      </c>
      <c r="I387">
        <v>0</v>
      </c>
      <c r="J387" t="s">
        <v>47</v>
      </c>
      <c r="K387">
        <v>0</v>
      </c>
      <c r="L387" t="s">
        <v>47</v>
      </c>
      <c r="M387">
        <v>0</v>
      </c>
      <c r="N387" t="s">
        <v>47</v>
      </c>
      <c r="O387">
        <v>0</v>
      </c>
      <c r="P387" t="s">
        <v>47</v>
      </c>
      <c r="Q387">
        <v>0</v>
      </c>
      <c r="R387" t="s">
        <v>47</v>
      </c>
      <c r="S387">
        <v>0</v>
      </c>
      <c r="T387" t="s">
        <v>47</v>
      </c>
    </row>
    <row r="388" spans="1:20" x14ac:dyDescent="0.35">
      <c r="A388" s="1" t="s">
        <v>896</v>
      </c>
      <c r="B388" t="s">
        <v>16</v>
      </c>
      <c r="C388">
        <v>2</v>
      </c>
      <c r="D388" t="s">
        <v>778</v>
      </c>
      <c r="E388">
        <v>1</v>
      </c>
      <c r="F388" t="s">
        <v>48</v>
      </c>
      <c r="G388">
        <v>0</v>
      </c>
      <c r="H388" t="s">
        <v>47</v>
      </c>
      <c r="I388">
        <v>0</v>
      </c>
      <c r="J388" t="s">
        <v>47</v>
      </c>
      <c r="K388">
        <v>0</v>
      </c>
      <c r="L388" t="s">
        <v>47</v>
      </c>
      <c r="M388">
        <v>0</v>
      </c>
      <c r="N388" t="s">
        <v>47</v>
      </c>
      <c r="O388">
        <v>0</v>
      </c>
      <c r="P388" t="s">
        <v>47</v>
      </c>
      <c r="Q388">
        <v>1</v>
      </c>
      <c r="R388" t="s">
        <v>48</v>
      </c>
      <c r="S388">
        <v>0</v>
      </c>
      <c r="T388" t="s">
        <v>47</v>
      </c>
    </row>
    <row r="389" spans="1:20" x14ac:dyDescent="0.35">
      <c r="A389" s="1" t="s">
        <v>897</v>
      </c>
      <c r="B389" t="s">
        <v>14</v>
      </c>
      <c r="C389">
        <v>1</v>
      </c>
      <c r="D389" t="s">
        <v>779</v>
      </c>
      <c r="E389">
        <v>0</v>
      </c>
      <c r="F389" t="s">
        <v>47</v>
      </c>
      <c r="G389">
        <v>1</v>
      </c>
      <c r="H389" t="s">
        <v>48</v>
      </c>
      <c r="I389">
        <v>0</v>
      </c>
      <c r="J389" t="s">
        <v>47</v>
      </c>
      <c r="K389">
        <v>0</v>
      </c>
      <c r="L389" t="s">
        <v>47</v>
      </c>
      <c r="M389">
        <v>0</v>
      </c>
      <c r="N389" t="s">
        <v>47</v>
      </c>
      <c r="O389">
        <v>0</v>
      </c>
      <c r="P389" t="s">
        <v>47</v>
      </c>
      <c r="Q389">
        <v>0</v>
      </c>
      <c r="R389" t="s">
        <v>47</v>
      </c>
      <c r="S389">
        <v>0</v>
      </c>
      <c r="T389" t="s">
        <v>47</v>
      </c>
    </row>
    <row r="390" spans="1:20" x14ac:dyDescent="0.35">
      <c r="A390" s="1" t="s">
        <v>898</v>
      </c>
      <c r="B390" t="s">
        <v>14</v>
      </c>
      <c r="C390">
        <v>1</v>
      </c>
      <c r="D390" t="s">
        <v>780</v>
      </c>
      <c r="E390">
        <v>0</v>
      </c>
      <c r="F390" t="s">
        <v>47</v>
      </c>
      <c r="G390">
        <v>0</v>
      </c>
      <c r="H390" t="s">
        <v>47</v>
      </c>
      <c r="I390">
        <v>0</v>
      </c>
      <c r="J390" t="s">
        <v>47</v>
      </c>
      <c r="K390">
        <v>0</v>
      </c>
      <c r="L390" t="s">
        <v>47</v>
      </c>
      <c r="M390">
        <v>1</v>
      </c>
      <c r="N390" t="s">
        <v>48</v>
      </c>
      <c r="O390">
        <v>0</v>
      </c>
      <c r="P390" t="s">
        <v>47</v>
      </c>
      <c r="Q390">
        <v>0</v>
      </c>
      <c r="R390" t="s">
        <v>47</v>
      </c>
      <c r="S390">
        <v>0</v>
      </c>
      <c r="T390" t="s">
        <v>47</v>
      </c>
    </row>
    <row r="391" spans="1:20" x14ac:dyDescent="0.35">
      <c r="A391" s="1" t="s">
        <v>899</v>
      </c>
      <c r="B391" t="s">
        <v>14</v>
      </c>
      <c r="C391">
        <v>1</v>
      </c>
      <c r="D391" t="s">
        <v>781</v>
      </c>
      <c r="E391">
        <v>0</v>
      </c>
      <c r="F391" t="s">
        <v>47</v>
      </c>
      <c r="G391">
        <v>1</v>
      </c>
      <c r="H391" t="s">
        <v>48</v>
      </c>
      <c r="I391">
        <v>0</v>
      </c>
      <c r="J391" t="s">
        <v>47</v>
      </c>
      <c r="K391">
        <v>0</v>
      </c>
      <c r="L391" t="s">
        <v>47</v>
      </c>
      <c r="M391">
        <v>0</v>
      </c>
      <c r="N391" t="s">
        <v>47</v>
      </c>
      <c r="O391">
        <v>0</v>
      </c>
      <c r="P391" t="s">
        <v>47</v>
      </c>
      <c r="Q391">
        <v>0</v>
      </c>
      <c r="R391" t="s">
        <v>47</v>
      </c>
      <c r="S391">
        <v>0</v>
      </c>
      <c r="T391" t="s">
        <v>47</v>
      </c>
    </row>
    <row r="392" spans="1:20" x14ac:dyDescent="0.35">
      <c r="A392" s="1" t="s">
        <v>900</v>
      </c>
      <c r="B392" t="s">
        <v>14</v>
      </c>
      <c r="C392" s="19">
        <v>2</v>
      </c>
      <c r="D392" t="s">
        <v>782</v>
      </c>
      <c r="E392">
        <v>0</v>
      </c>
      <c r="F392" t="s">
        <v>47</v>
      </c>
      <c r="G392">
        <v>1</v>
      </c>
      <c r="H392" t="s">
        <v>48</v>
      </c>
      <c r="I392">
        <v>0</v>
      </c>
      <c r="J392" t="s">
        <v>47</v>
      </c>
      <c r="K392">
        <v>1</v>
      </c>
      <c r="L392" t="s">
        <v>48</v>
      </c>
      <c r="M392">
        <v>1</v>
      </c>
      <c r="N392" t="s">
        <v>48</v>
      </c>
      <c r="O392">
        <v>0</v>
      </c>
      <c r="P392" t="s">
        <v>47</v>
      </c>
      <c r="Q392">
        <v>0</v>
      </c>
      <c r="R392" t="s">
        <v>47</v>
      </c>
      <c r="S392">
        <v>0</v>
      </c>
      <c r="T392" t="s">
        <v>47</v>
      </c>
    </row>
    <row r="393" spans="1:20" x14ac:dyDescent="0.35">
      <c r="A393" s="1" t="s">
        <v>901</v>
      </c>
      <c r="B393" t="s">
        <v>14</v>
      </c>
      <c r="C393" s="18">
        <v>1</v>
      </c>
      <c r="D393" t="s">
        <v>783</v>
      </c>
      <c r="E393">
        <v>1</v>
      </c>
      <c r="F393" t="s">
        <v>48</v>
      </c>
      <c r="G393">
        <v>0</v>
      </c>
      <c r="H393" t="s">
        <v>47</v>
      </c>
      <c r="I393">
        <v>0</v>
      </c>
      <c r="J393" t="s">
        <v>47</v>
      </c>
      <c r="K393">
        <v>1</v>
      </c>
      <c r="L393" t="s">
        <v>48</v>
      </c>
      <c r="M393">
        <v>0</v>
      </c>
      <c r="N393" t="s">
        <v>47</v>
      </c>
      <c r="O393">
        <v>0</v>
      </c>
      <c r="P393" t="s">
        <v>47</v>
      </c>
      <c r="Q393">
        <v>0</v>
      </c>
      <c r="R393" t="s">
        <v>47</v>
      </c>
      <c r="S393">
        <v>0</v>
      </c>
      <c r="T393" t="s">
        <v>47</v>
      </c>
    </row>
    <row r="394" spans="1:20" x14ac:dyDescent="0.35">
      <c r="A394" s="1" t="s">
        <v>902</v>
      </c>
      <c r="B394" t="s">
        <v>16</v>
      </c>
      <c r="C394" s="19">
        <v>1</v>
      </c>
      <c r="D394" t="s">
        <v>784</v>
      </c>
      <c r="E394">
        <v>0</v>
      </c>
      <c r="F394" t="s">
        <v>47</v>
      </c>
      <c r="G394">
        <v>0</v>
      </c>
      <c r="H394" t="s">
        <v>47</v>
      </c>
      <c r="I394">
        <v>0</v>
      </c>
      <c r="J394" t="s">
        <v>47</v>
      </c>
      <c r="K394">
        <v>0</v>
      </c>
      <c r="L394" t="s">
        <v>47</v>
      </c>
      <c r="M394">
        <v>0</v>
      </c>
      <c r="N394" t="s">
        <v>47</v>
      </c>
      <c r="O394">
        <v>1</v>
      </c>
      <c r="P394" t="s">
        <v>48</v>
      </c>
      <c r="Q394">
        <v>0</v>
      </c>
      <c r="R394" t="s">
        <v>47</v>
      </c>
      <c r="S394">
        <v>0</v>
      </c>
      <c r="T394" t="s">
        <v>47</v>
      </c>
    </row>
    <row r="395" spans="1:20" x14ac:dyDescent="0.35">
      <c r="A395" s="1" t="s">
        <v>903</v>
      </c>
      <c r="B395" t="s">
        <v>16</v>
      </c>
      <c r="C395" s="18">
        <v>1</v>
      </c>
      <c r="D395" t="s">
        <v>785</v>
      </c>
      <c r="E395">
        <v>1</v>
      </c>
      <c r="F395" t="s">
        <v>48</v>
      </c>
      <c r="G395">
        <v>0</v>
      </c>
      <c r="H395" t="s">
        <v>47</v>
      </c>
      <c r="I395">
        <v>0</v>
      </c>
      <c r="J395" t="s">
        <v>47</v>
      </c>
      <c r="K395">
        <v>0</v>
      </c>
      <c r="L395" t="s">
        <v>47</v>
      </c>
      <c r="M395">
        <v>0</v>
      </c>
      <c r="N395" t="s">
        <v>47</v>
      </c>
      <c r="O395">
        <v>0</v>
      </c>
      <c r="P395" t="s">
        <v>47</v>
      </c>
      <c r="Q395">
        <v>0</v>
      </c>
      <c r="R395" t="s">
        <v>47</v>
      </c>
      <c r="S395">
        <v>0</v>
      </c>
      <c r="T395" t="s">
        <v>47</v>
      </c>
    </row>
    <row r="396" spans="1:20" x14ac:dyDescent="0.35">
      <c r="A396" s="1" t="s">
        <v>904</v>
      </c>
      <c r="B396" t="s">
        <v>14</v>
      </c>
      <c r="C396" s="19">
        <v>1</v>
      </c>
      <c r="D396" t="s">
        <v>786</v>
      </c>
      <c r="E396">
        <v>0</v>
      </c>
      <c r="F396" t="s">
        <v>47</v>
      </c>
      <c r="G396">
        <v>0</v>
      </c>
      <c r="H396" t="s">
        <v>47</v>
      </c>
      <c r="I396">
        <v>0</v>
      </c>
      <c r="J396" t="s">
        <v>47</v>
      </c>
      <c r="K396">
        <v>1</v>
      </c>
      <c r="L396" t="s">
        <v>48</v>
      </c>
      <c r="M396">
        <v>0</v>
      </c>
      <c r="N396" t="s">
        <v>47</v>
      </c>
      <c r="O396">
        <v>0</v>
      </c>
      <c r="P396" t="s">
        <v>47</v>
      </c>
      <c r="Q396">
        <v>0</v>
      </c>
      <c r="R396" t="s">
        <v>47</v>
      </c>
      <c r="S396">
        <v>0</v>
      </c>
      <c r="T396" t="s">
        <v>47</v>
      </c>
    </row>
    <row r="397" spans="1:20" x14ac:dyDescent="0.35">
      <c r="A397" s="1" t="s">
        <v>905</v>
      </c>
      <c r="B397" t="s">
        <v>14</v>
      </c>
      <c r="C397" s="18">
        <v>3</v>
      </c>
      <c r="D397" t="s">
        <v>787</v>
      </c>
      <c r="E397">
        <v>1</v>
      </c>
      <c r="F397" t="s">
        <v>45</v>
      </c>
      <c r="G397">
        <v>0</v>
      </c>
      <c r="H397" t="s">
        <v>47</v>
      </c>
      <c r="I397">
        <v>0</v>
      </c>
      <c r="J397" t="s">
        <v>47</v>
      </c>
      <c r="K397">
        <v>0</v>
      </c>
      <c r="L397" t="s">
        <v>47</v>
      </c>
      <c r="M397">
        <v>1</v>
      </c>
      <c r="N397" t="s">
        <v>45</v>
      </c>
      <c r="O397">
        <v>0</v>
      </c>
      <c r="P397" t="s">
        <v>47</v>
      </c>
      <c r="Q397">
        <v>0</v>
      </c>
      <c r="R397" t="s">
        <v>47</v>
      </c>
      <c r="S397">
        <v>0</v>
      </c>
      <c r="T397" t="s">
        <v>47</v>
      </c>
    </row>
    <row r="398" spans="1:20" x14ac:dyDescent="0.35">
      <c r="A398" s="1" t="s">
        <v>906</v>
      </c>
      <c r="B398" t="s">
        <v>16</v>
      </c>
      <c r="C398" s="19">
        <v>2</v>
      </c>
      <c r="D398" t="s">
        <v>788</v>
      </c>
      <c r="E398">
        <v>0</v>
      </c>
      <c r="F398" t="s">
        <v>47</v>
      </c>
      <c r="G398">
        <v>1</v>
      </c>
      <c r="H398" t="s">
        <v>48</v>
      </c>
      <c r="I398">
        <v>0</v>
      </c>
      <c r="J398" t="s">
        <v>47</v>
      </c>
      <c r="K398">
        <v>1</v>
      </c>
      <c r="L398" t="s">
        <v>48</v>
      </c>
      <c r="M398">
        <v>0</v>
      </c>
      <c r="N398" t="s">
        <v>47</v>
      </c>
      <c r="O398">
        <v>0</v>
      </c>
      <c r="P398" t="s">
        <v>47</v>
      </c>
      <c r="Q398">
        <v>0</v>
      </c>
      <c r="R398" t="s">
        <v>47</v>
      </c>
      <c r="S398">
        <v>0</v>
      </c>
      <c r="T398" t="s">
        <v>47</v>
      </c>
    </row>
    <row r="399" spans="1:20" x14ac:dyDescent="0.35">
      <c r="A399" s="1" t="s">
        <v>907</v>
      </c>
      <c r="B399" t="s">
        <v>16</v>
      </c>
      <c r="C399" s="18">
        <v>1</v>
      </c>
      <c r="D399" t="s">
        <v>789</v>
      </c>
      <c r="E399">
        <v>0</v>
      </c>
      <c r="F399" t="s">
        <v>47</v>
      </c>
      <c r="G399">
        <v>1</v>
      </c>
      <c r="H399" t="s">
        <v>48</v>
      </c>
      <c r="I399">
        <v>0</v>
      </c>
      <c r="J399" t="s">
        <v>47</v>
      </c>
      <c r="K399">
        <v>1</v>
      </c>
      <c r="L399" t="s">
        <v>48</v>
      </c>
      <c r="M399">
        <v>0</v>
      </c>
      <c r="N399" t="s">
        <v>47</v>
      </c>
      <c r="O399">
        <v>0</v>
      </c>
      <c r="P399" t="s">
        <v>47</v>
      </c>
      <c r="Q399">
        <v>0</v>
      </c>
      <c r="R399" t="s">
        <v>47</v>
      </c>
      <c r="S399">
        <v>0</v>
      </c>
      <c r="T399" t="s">
        <v>47</v>
      </c>
    </row>
    <row r="400" spans="1:20" x14ac:dyDescent="0.35">
      <c r="A400" s="1" t="s">
        <v>908</v>
      </c>
      <c r="B400" t="s">
        <v>16</v>
      </c>
      <c r="C400" s="19">
        <v>3</v>
      </c>
      <c r="D400" t="s">
        <v>790</v>
      </c>
      <c r="E400">
        <v>0</v>
      </c>
      <c r="F400" t="s">
        <v>47</v>
      </c>
      <c r="G400">
        <v>1</v>
      </c>
      <c r="H400" t="s">
        <v>48</v>
      </c>
      <c r="I400">
        <v>0</v>
      </c>
      <c r="J400" t="s">
        <v>47</v>
      </c>
      <c r="K400">
        <v>0</v>
      </c>
      <c r="L400" t="s">
        <v>47</v>
      </c>
      <c r="M400">
        <v>0</v>
      </c>
      <c r="N400" t="s">
        <v>47</v>
      </c>
      <c r="O400">
        <v>0</v>
      </c>
      <c r="P400" t="s">
        <v>47</v>
      </c>
      <c r="Q400">
        <v>0</v>
      </c>
      <c r="R400" t="s">
        <v>47</v>
      </c>
      <c r="S400">
        <v>0</v>
      </c>
      <c r="T400" t="s">
        <v>47</v>
      </c>
    </row>
    <row r="401" spans="1:20" x14ac:dyDescent="0.35">
      <c r="A401" s="1" t="s">
        <v>909</v>
      </c>
      <c r="B401" t="s">
        <v>16</v>
      </c>
      <c r="C401" s="18">
        <v>1</v>
      </c>
      <c r="D401" t="s">
        <v>791</v>
      </c>
      <c r="E401">
        <v>1</v>
      </c>
      <c r="F401" t="s">
        <v>55</v>
      </c>
      <c r="G401">
        <v>1</v>
      </c>
      <c r="H401" t="s">
        <v>48</v>
      </c>
      <c r="I401">
        <v>0</v>
      </c>
      <c r="J401" t="s">
        <v>47</v>
      </c>
      <c r="K401">
        <v>1</v>
      </c>
      <c r="L401" t="s">
        <v>48</v>
      </c>
      <c r="M401">
        <v>0</v>
      </c>
      <c r="N401" t="s">
        <v>47</v>
      </c>
      <c r="O401">
        <v>0</v>
      </c>
      <c r="P401" t="s">
        <v>47</v>
      </c>
      <c r="Q401">
        <v>0</v>
      </c>
      <c r="R401" t="s">
        <v>47</v>
      </c>
      <c r="S401">
        <v>0</v>
      </c>
      <c r="T401" t="s">
        <v>47</v>
      </c>
    </row>
    <row r="402" spans="1:20" x14ac:dyDescent="0.35">
      <c r="A402" s="1" t="s">
        <v>910</v>
      </c>
      <c r="B402" t="s">
        <v>14</v>
      </c>
      <c r="C402" s="19">
        <v>1</v>
      </c>
      <c r="D402" t="s">
        <v>792</v>
      </c>
      <c r="E402">
        <v>0</v>
      </c>
      <c r="F402" t="s">
        <v>47</v>
      </c>
      <c r="G402">
        <v>1</v>
      </c>
      <c r="H402" t="s">
        <v>48</v>
      </c>
      <c r="I402">
        <v>0</v>
      </c>
      <c r="J402" t="s">
        <v>47</v>
      </c>
      <c r="K402">
        <v>0</v>
      </c>
      <c r="L402" t="s">
        <v>47</v>
      </c>
      <c r="M402">
        <v>0</v>
      </c>
      <c r="N402" t="s">
        <v>47</v>
      </c>
      <c r="O402">
        <v>0</v>
      </c>
      <c r="P402" t="s">
        <v>47</v>
      </c>
      <c r="Q402">
        <v>0</v>
      </c>
      <c r="R402" t="s">
        <v>47</v>
      </c>
      <c r="S402">
        <v>0</v>
      </c>
      <c r="T402" t="s">
        <v>47</v>
      </c>
    </row>
    <row r="403" spans="1:20" x14ac:dyDescent="0.35">
      <c r="A403" s="1" t="s">
        <v>911</v>
      </c>
      <c r="B403" t="s">
        <v>14</v>
      </c>
      <c r="C403" s="18">
        <v>2</v>
      </c>
      <c r="D403" t="s">
        <v>793</v>
      </c>
      <c r="E403">
        <v>0</v>
      </c>
      <c r="F403" t="s">
        <v>47</v>
      </c>
      <c r="G403">
        <v>1</v>
      </c>
      <c r="H403" t="s">
        <v>48</v>
      </c>
      <c r="I403">
        <v>0</v>
      </c>
      <c r="J403" t="s">
        <v>47</v>
      </c>
      <c r="K403">
        <v>0</v>
      </c>
      <c r="L403" t="s">
        <v>47</v>
      </c>
      <c r="M403">
        <v>0</v>
      </c>
      <c r="N403" t="s">
        <v>47</v>
      </c>
      <c r="O403">
        <v>0</v>
      </c>
      <c r="P403" t="s">
        <v>47</v>
      </c>
      <c r="Q403">
        <v>0</v>
      </c>
      <c r="R403" t="s">
        <v>47</v>
      </c>
      <c r="S403">
        <v>0</v>
      </c>
      <c r="T403" t="s">
        <v>47</v>
      </c>
    </row>
    <row r="404" spans="1:20" x14ac:dyDescent="0.35">
      <c r="A404" s="1" t="s">
        <v>912</v>
      </c>
      <c r="B404" t="s">
        <v>16</v>
      </c>
      <c r="C404" s="19">
        <v>1</v>
      </c>
      <c r="D404" t="s">
        <v>794</v>
      </c>
      <c r="E404">
        <v>0</v>
      </c>
      <c r="F404" t="s">
        <v>47</v>
      </c>
      <c r="G404">
        <v>1</v>
      </c>
      <c r="H404" t="s">
        <v>48</v>
      </c>
      <c r="I404">
        <v>0</v>
      </c>
      <c r="J404" t="s">
        <v>47</v>
      </c>
      <c r="K404">
        <v>0</v>
      </c>
      <c r="L404" t="s">
        <v>47</v>
      </c>
      <c r="M404">
        <v>0</v>
      </c>
      <c r="N404" t="s">
        <v>47</v>
      </c>
      <c r="O404">
        <v>1</v>
      </c>
      <c r="P404" t="s">
        <v>48</v>
      </c>
      <c r="Q404">
        <v>0</v>
      </c>
      <c r="R404" t="s">
        <v>47</v>
      </c>
      <c r="S404">
        <v>0</v>
      </c>
      <c r="T404" t="s">
        <v>47</v>
      </c>
    </row>
    <row r="405" spans="1:20" x14ac:dyDescent="0.35">
      <c r="A405" s="1" t="s">
        <v>913</v>
      </c>
      <c r="B405" t="s">
        <v>16</v>
      </c>
      <c r="C405" s="18">
        <v>2</v>
      </c>
      <c r="D405" t="s">
        <v>795</v>
      </c>
      <c r="E405">
        <v>0</v>
      </c>
      <c r="F405" t="s">
        <v>47</v>
      </c>
      <c r="G405">
        <v>1</v>
      </c>
      <c r="H405" t="s">
        <v>48</v>
      </c>
      <c r="I405">
        <v>0</v>
      </c>
      <c r="J405" t="s">
        <v>47</v>
      </c>
      <c r="K405">
        <v>0</v>
      </c>
      <c r="L405" t="s">
        <v>47</v>
      </c>
      <c r="M405">
        <v>0</v>
      </c>
      <c r="N405" t="s">
        <v>47</v>
      </c>
      <c r="O405">
        <v>0</v>
      </c>
      <c r="P405" t="s">
        <v>47</v>
      </c>
      <c r="Q405">
        <v>0</v>
      </c>
      <c r="R405" t="s">
        <v>47</v>
      </c>
      <c r="S405">
        <v>0</v>
      </c>
      <c r="T405" t="s">
        <v>47</v>
      </c>
    </row>
    <row r="406" spans="1:20" x14ac:dyDescent="0.35">
      <c r="A406" s="1" t="s">
        <v>914</v>
      </c>
      <c r="B406" t="s">
        <v>16</v>
      </c>
      <c r="C406" s="19">
        <v>1</v>
      </c>
      <c r="D406" t="s">
        <v>796</v>
      </c>
      <c r="E406">
        <v>1</v>
      </c>
      <c r="F406" t="s">
        <v>48</v>
      </c>
      <c r="G406">
        <v>0</v>
      </c>
      <c r="H406" t="s">
        <v>47</v>
      </c>
      <c r="I406">
        <v>0</v>
      </c>
      <c r="J406" t="s">
        <v>47</v>
      </c>
      <c r="K406">
        <v>0</v>
      </c>
      <c r="L406" t="s">
        <v>47</v>
      </c>
      <c r="M406">
        <v>1</v>
      </c>
      <c r="N406" t="s">
        <v>48</v>
      </c>
      <c r="O406">
        <v>0</v>
      </c>
      <c r="P406" t="s">
        <v>47</v>
      </c>
      <c r="Q406">
        <v>0</v>
      </c>
      <c r="R406" t="s">
        <v>47</v>
      </c>
      <c r="S406">
        <v>0</v>
      </c>
      <c r="T406" t="s">
        <v>47</v>
      </c>
    </row>
    <row r="407" spans="1:20" x14ac:dyDescent="0.35">
      <c r="A407" s="1" t="s">
        <v>915</v>
      </c>
      <c r="B407" t="s">
        <v>16</v>
      </c>
      <c r="C407" s="18">
        <v>1</v>
      </c>
      <c r="D407" t="s">
        <v>797</v>
      </c>
      <c r="E407">
        <v>1</v>
      </c>
      <c r="F407" t="s">
        <v>48</v>
      </c>
      <c r="G407">
        <v>1</v>
      </c>
      <c r="H407" t="s">
        <v>48</v>
      </c>
      <c r="I407">
        <v>0</v>
      </c>
      <c r="J407" t="s">
        <v>47</v>
      </c>
      <c r="K407">
        <v>0</v>
      </c>
      <c r="L407" t="s">
        <v>47</v>
      </c>
      <c r="M407">
        <v>0</v>
      </c>
      <c r="N407" t="s">
        <v>47</v>
      </c>
      <c r="O407">
        <v>0</v>
      </c>
      <c r="P407" t="s">
        <v>47</v>
      </c>
      <c r="Q407">
        <v>0</v>
      </c>
      <c r="R407" t="s">
        <v>47</v>
      </c>
      <c r="S407">
        <v>0</v>
      </c>
      <c r="T407" t="s">
        <v>47</v>
      </c>
    </row>
    <row r="408" spans="1:20" x14ac:dyDescent="0.35">
      <c r="A408" s="1" t="s">
        <v>916</v>
      </c>
      <c r="B408" t="s">
        <v>14</v>
      </c>
      <c r="C408" s="19">
        <v>2</v>
      </c>
      <c r="D408" t="s">
        <v>798</v>
      </c>
      <c r="E408">
        <v>0</v>
      </c>
      <c r="F408" t="s">
        <v>47</v>
      </c>
      <c r="G408">
        <v>0</v>
      </c>
      <c r="H408" t="s">
        <v>47</v>
      </c>
      <c r="I408">
        <v>0</v>
      </c>
      <c r="J408" t="s">
        <v>47</v>
      </c>
      <c r="K408">
        <v>1</v>
      </c>
      <c r="L408" t="s">
        <v>48</v>
      </c>
      <c r="M408">
        <v>0</v>
      </c>
      <c r="N408" t="s">
        <v>47</v>
      </c>
      <c r="O408">
        <v>0</v>
      </c>
      <c r="P408" t="s">
        <v>47</v>
      </c>
      <c r="Q408">
        <v>0</v>
      </c>
      <c r="R408" t="s">
        <v>47</v>
      </c>
      <c r="S408">
        <v>0</v>
      </c>
      <c r="T408" t="s">
        <v>47</v>
      </c>
    </row>
    <row r="409" spans="1:20" x14ac:dyDescent="0.35">
      <c r="A409" s="1" t="s">
        <v>917</v>
      </c>
      <c r="B409" t="s">
        <v>14</v>
      </c>
      <c r="C409" s="18">
        <v>1</v>
      </c>
      <c r="D409" t="s">
        <v>799</v>
      </c>
      <c r="E409">
        <v>0</v>
      </c>
      <c r="F409" t="s">
        <v>47</v>
      </c>
      <c r="G409">
        <v>1</v>
      </c>
      <c r="H409" t="s">
        <v>48</v>
      </c>
      <c r="I409">
        <v>0</v>
      </c>
      <c r="J409" t="s">
        <v>47</v>
      </c>
      <c r="K409">
        <v>0</v>
      </c>
      <c r="L409" t="s">
        <v>47</v>
      </c>
      <c r="M409">
        <v>0</v>
      </c>
      <c r="N409" t="s">
        <v>47</v>
      </c>
      <c r="O409">
        <v>0</v>
      </c>
      <c r="P409" t="s">
        <v>47</v>
      </c>
      <c r="Q409">
        <v>0</v>
      </c>
      <c r="R409" t="s">
        <v>47</v>
      </c>
      <c r="S409">
        <v>0</v>
      </c>
      <c r="T409" t="s">
        <v>47</v>
      </c>
    </row>
    <row r="410" spans="1:20" x14ac:dyDescent="0.35">
      <c r="A410" s="1" t="s">
        <v>918</v>
      </c>
      <c r="B410" t="s">
        <v>14</v>
      </c>
      <c r="C410" s="19">
        <v>2</v>
      </c>
      <c r="D410" t="s">
        <v>800</v>
      </c>
      <c r="E410">
        <v>0</v>
      </c>
      <c r="F410" t="s">
        <v>47</v>
      </c>
      <c r="G410">
        <v>0</v>
      </c>
      <c r="H410" t="s">
        <v>47</v>
      </c>
      <c r="I410">
        <v>0</v>
      </c>
      <c r="J410" t="s">
        <v>47</v>
      </c>
      <c r="K410">
        <v>0</v>
      </c>
      <c r="L410" t="s">
        <v>47</v>
      </c>
      <c r="M410">
        <v>0</v>
      </c>
      <c r="N410" t="s">
        <v>47</v>
      </c>
      <c r="O410">
        <v>1</v>
      </c>
      <c r="P410" t="s">
        <v>48</v>
      </c>
      <c r="Q410">
        <v>0</v>
      </c>
      <c r="R410" t="s">
        <v>47</v>
      </c>
      <c r="S410">
        <v>0</v>
      </c>
      <c r="T410" t="s">
        <v>47</v>
      </c>
    </row>
    <row r="411" spans="1:20" x14ac:dyDescent="0.35">
      <c r="A411" s="1" t="s">
        <v>919</v>
      </c>
      <c r="B411" t="s">
        <v>14</v>
      </c>
      <c r="C411" s="18">
        <v>1</v>
      </c>
      <c r="D411" t="s">
        <v>801</v>
      </c>
      <c r="E411">
        <v>0</v>
      </c>
      <c r="F411" t="s">
        <v>47</v>
      </c>
      <c r="G411">
        <v>1</v>
      </c>
      <c r="H411" t="s">
        <v>48</v>
      </c>
      <c r="I411">
        <v>0</v>
      </c>
      <c r="J411" t="s">
        <v>47</v>
      </c>
      <c r="K411">
        <v>0</v>
      </c>
      <c r="L411" t="s">
        <v>47</v>
      </c>
      <c r="M411">
        <v>0</v>
      </c>
      <c r="N411" t="s">
        <v>47</v>
      </c>
      <c r="O411">
        <v>1</v>
      </c>
      <c r="P411" t="s">
        <v>48</v>
      </c>
      <c r="Q411">
        <v>0</v>
      </c>
      <c r="R411" t="s">
        <v>47</v>
      </c>
      <c r="S411">
        <v>0</v>
      </c>
      <c r="T411" t="s">
        <v>47</v>
      </c>
    </row>
    <row r="412" spans="1:20" x14ac:dyDescent="0.35">
      <c r="A412" s="1" t="s">
        <v>920</v>
      </c>
      <c r="B412" t="s">
        <v>14</v>
      </c>
      <c r="C412" s="19">
        <v>1</v>
      </c>
      <c r="D412" t="s">
        <v>802</v>
      </c>
      <c r="E412">
        <v>0</v>
      </c>
      <c r="F412" t="s">
        <v>47</v>
      </c>
      <c r="G412">
        <v>1</v>
      </c>
      <c r="H412" t="s">
        <v>48</v>
      </c>
      <c r="I412">
        <v>0</v>
      </c>
      <c r="J412" t="s">
        <v>47</v>
      </c>
      <c r="K412">
        <v>0</v>
      </c>
      <c r="L412" t="s">
        <v>47</v>
      </c>
      <c r="M412">
        <v>0</v>
      </c>
      <c r="N412" t="s">
        <v>47</v>
      </c>
      <c r="O412">
        <v>0</v>
      </c>
      <c r="P412" t="s">
        <v>47</v>
      </c>
      <c r="Q412">
        <v>0</v>
      </c>
      <c r="R412" t="s">
        <v>47</v>
      </c>
      <c r="S412">
        <v>0</v>
      </c>
      <c r="T412" t="s">
        <v>47</v>
      </c>
    </row>
    <row r="413" spans="1:20" x14ac:dyDescent="0.35">
      <c r="A413" s="1" t="s">
        <v>921</v>
      </c>
      <c r="B413" t="s">
        <v>14</v>
      </c>
      <c r="C413" s="18">
        <v>3</v>
      </c>
      <c r="D413" t="s">
        <v>803</v>
      </c>
      <c r="E413">
        <v>1</v>
      </c>
      <c r="F413" t="s">
        <v>55</v>
      </c>
      <c r="G413">
        <v>0</v>
      </c>
      <c r="H413" t="s">
        <v>47</v>
      </c>
      <c r="I413">
        <v>0</v>
      </c>
      <c r="J413" t="s">
        <v>47</v>
      </c>
      <c r="K413">
        <v>0</v>
      </c>
      <c r="L413" t="s">
        <v>47</v>
      </c>
      <c r="M413">
        <v>1</v>
      </c>
      <c r="N413" t="s">
        <v>45</v>
      </c>
      <c r="O413">
        <v>0</v>
      </c>
      <c r="P413" t="s">
        <v>47</v>
      </c>
      <c r="Q413">
        <v>0</v>
      </c>
      <c r="R413" t="s">
        <v>47</v>
      </c>
      <c r="S413">
        <v>0</v>
      </c>
      <c r="T413" t="s">
        <v>47</v>
      </c>
    </row>
    <row r="414" spans="1:20" x14ac:dyDescent="0.35">
      <c r="A414" s="1" t="s">
        <v>922</v>
      </c>
      <c r="B414" t="s">
        <v>14</v>
      </c>
      <c r="C414" s="19">
        <v>2</v>
      </c>
      <c r="D414" t="s">
        <v>804</v>
      </c>
      <c r="E414">
        <v>0</v>
      </c>
      <c r="F414" t="s">
        <v>47</v>
      </c>
      <c r="G414">
        <v>0</v>
      </c>
      <c r="H414" t="s">
        <v>47</v>
      </c>
      <c r="I414">
        <v>0</v>
      </c>
      <c r="J414" t="s">
        <v>47</v>
      </c>
      <c r="K414">
        <v>0</v>
      </c>
      <c r="L414" t="s">
        <v>47</v>
      </c>
      <c r="M414">
        <v>0</v>
      </c>
      <c r="N414" t="s">
        <v>47</v>
      </c>
      <c r="O414">
        <v>0</v>
      </c>
      <c r="P414" t="s">
        <v>47</v>
      </c>
      <c r="Q414">
        <v>1</v>
      </c>
      <c r="R414" t="s">
        <v>48</v>
      </c>
      <c r="S414">
        <v>0</v>
      </c>
      <c r="T414" t="s">
        <v>47</v>
      </c>
    </row>
    <row r="415" spans="1:20" x14ac:dyDescent="0.35">
      <c r="A415" s="1" t="s">
        <v>923</v>
      </c>
      <c r="B415" t="s">
        <v>16</v>
      </c>
      <c r="C415">
        <v>1</v>
      </c>
      <c r="D415" t="s">
        <v>805</v>
      </c>
      <c r="E415">
        <v>0</v>
      </c>
      <c r="F415" t="s">
        <v>47</v>
      </c>
      <c r="G415">
        <v>1</v>
      </c>
      <c r="H415" t="s">
        <v>48</v>
      </c>
      <c r="I415">
        <v>0</v>
      </c>
      <c r="J415" t="s">
        <v>47</v>
      </c>
      <c r="K415">
        <v>0</v>
      </c>
      <c r="L415" t="s">
        <v>47</v>
      </c>
      <c r="M415">
        <v>0</v>
      </c>
      <c r="N415" t="s">
        <v>47</v>
      </c>
      <c r="O415">
        <v>0</v>
      </c>
      <c r="P415" t="s">
        <v>47</v>
      </c>
      <c r="Q415">
        <v>0</v>
      </c>
      <c r="R415" t="s">
        <v>47</v>
      </c>
      <c r="S415">
        <v>0</v>
      </c>
      <c r="T415" t="s">
        <v>47</v>
      </c>
    </row>
    <row r="416" spans="1:20" x14ac:dyDescent="0.35">
      <c r="A416" s="1" t="s">
        <v>924</v>
      </c>
      <c r="B416" t="s">
        <v>16</v>
      </c>
      <c r="C416" s="18">
        <v>1</v>
      </c>
      <c r="D416" t="s">
        <v>806</v>
      </c>
      <c r="E416">
        <v>0</v>
      </c>
      <c r="F416" t="s">
        <v>47</v>
      </c>
      <c r="G416">
        <v>1</v>
      </c>
      <c r="H416" t="s">
        <v>48</v>
      </c>
      <c r="I416">
        <v>0</v>
      </c>
      <c r="J416" t="s">
        <v>47</v>
      </c>
      <c r="K416">
        <v>0</v>
      </c>
      <c r="L416" t="s">
        <v>47</v>
      </c>
      <c r="M416">
        <v>0</v>
      </c>
      <c r="N416" t="s">
        <v>47</v>
      </c>
      <c r="O416">
        <v>0</v>
      </c>
      <c r="P416" t="s">
        <v>47</v>
      </c>
      <c r="Q416">
        <v>0</v>
      </c>
      <c r="R416" t="s">
        <v>47</v>
      </c>
      <c r="S416">
        <v>0</v>
      </c>
      <c r="T416" t="s">
        <v>47</v>
      </c>
    </row>
    <row r="417" spans="1:20" x14ac:dyDescent="0.35">
      <c r="A417" s="1" t="s">
        <v>925</v>
      </c>
      <c r="B417" t="s">
        <v>16</v>
      </c>
      <c r="C417" s="19">
        <v>1</v>
      </c>
      <c r="D417" t="s">
        <v>807</v>
      </c>
      <c r="E417">
        <v>1</v>
      </c>
      <c r="F417" t="s">
        <v>55</v>
      </c>
      <c r="G417">
        <v>0</v>
      </c>
      <c r="H417" t="s">
        <v>47</v>
      </c>
      <c r="I417">
        <v>0</v>
      </c>
      <c r="J417" t="s">
        <v>47</v>
      </c>
      <c r="K417">
        <v>0</v>
      </c>
      <c r="L417" t="s">
        <v>47</v>
      </c>
      <c r="M417">
        <v>0</v>
      </c>
      <c r="N417" t="s">
        <v>47</v>
      </c>
      <c r="O417">
        <v>0</v>
      </c>
      <c r="P417" t="s">
        <v>47</v>
      </c>
      <c r="Q417">
        <v>0</v>
      </c>
      <c r="R417" t="s">
        <v>47</v>
      </c>
      <c r="S417">
        <v>0</v>
      </c>
      <c r="T417" t="s">
        <v>47</v>
      </c>
    </row>
    <row r="418" spans="1:20" x14ac:dyDescent="0.35">
      <c r="A418" s="1" t="s">
        <v>926</v>
      </c>
      <c r="B418" t="s">
        <v>16</v>
      </c>
      <c r="C418" s="18">
        <v>1</v>
      </c>
      <c r="D418" t="s">
        <v>808</v>
      </c>
      <c r="E418">
        <v>0</v>
      </c>
      <c r="F418" t="s">
        <v>47</v>
      </c>
      <c r="G418">
        <v>1</v>
      </c>
      <c r="H418" t="s">
        <v>48</v>
      </c>
      <c r="I418">
        <v>0</v>
      </c>
      <c r="J418" t="s">
        <v>47</v>
      </c>
      <c r="K418">
        <v>0</v>
      </c>
      <c r="L418" t="s">
        <v>47</v>
      </c>
      <c r="M418">
        <v>0</v>
      </c>
      <c r="N418" t="s">
        <v>47</v>
      </c>
      <c r="O418">
        <v>0</v>
      </c>
      <c r="P418" t="s">
        <v>47</v>
      </c>
      <c r="Q418">
        <v>0</v>
      </c>
      <c r="R418" t="s">
        <v>47</v>
      </c>
      <c r="S418">
        <v>0</v>
      </c>
      <c r="T418" t="s">
        <v>47</v>
      </c>
    </row>
    <row r="419" spans="1:20" x14ac:dyDescent="0.35">
      <c r="A419" s="1" t="s">
        <v>927</v>
      </c>
      <c r="B419" t="s">
        <v>16</v>
      </c>
      <c r="C419" s="19">
        <v>2</v>
      </c>
      <c r="D419" t="s">
        <v>809</v>
      </c>
      <c r="E419">
        <v>1</v>
      </c>
      <c r="F419" t="s">
        <v>48</v>
      </c>
      <c r="G419">
        <v>0</v>
      </c>
      <c r="H419" t="s">
        <v>47</v>
      </c>
      <c r="I419">
        <v>0</v>
      </c>
      <c r="J419" t="s">
        <v>47</v>
      </c>
      <c r="K419">
        <v>0</v>
      </c>
      <c r="L419" t="s">
        <v>47</v>
      </c>
      <c r="M419">
        <v>1</v>
      </c>
      <c r="N419" t="s">
        <v>48</v>
      </c>
      <c r="O419">
        <v>0</v>
      </c>
      <c r="P419" t="s">
        <v>47</v>
      </c>
      <c r="Q419">
        <v>1</v>
      </c>
      <c r="R419" t="s">
        <v>48</v>
      </c>
      <c r="S419">
        <v>0</v>
      </c>
      <c r="T419" t="s">
        <v>47</v>
      </c>
    </row>
    <row r="420" spans="1:20" x14ac:dyDescent="0.35">
      <c r="A420" s="1" t="s">
        <v>928</v>
      </c>
      <c r="B420" t="s">
        <v>16</v>
      </c>
      <c r="C420" s="18">
        <v>1</v>
      </c>
      <c r="D420" t="s">
        <v>816</v>
      </c>
      <c r="E420">
        <v>0</v>
      </c>
      <c r="F420" t="s">
        <v>47</v>
      </c>
      <c r="G420">
        <v>1</v>
      </c>
      <c r="H420" t="s">
        <v>48</v>
      </c>
      <c r="I420">
        <v>1</v>
      </c>
      <c r="J420" t="s">
        <v>48</v>
      </c>
      <c r="K420">
        <v>0</v>
      </c>
      <c r="L420" t="s">
        <v>47</v>
      </c>
      <c r="M420">
        <v>0</v>
      </c>
      <c r="N420" t="s">
        <v>47</v>
      </c>
      <c r="O420">
        <v>1</v>
      </c>
      <c r="P420" t="s">
        <v>48</v>
      </c>
      <c r="Q420">
        <v>0</v>
      </c>
      <c r="R420" t="s">
        <v>47</v>
      </c>
      <c r="S420">
        <v>0</v>
      </c>
      <c r="T420" t="s">
        <v>47</v>
      </c>
    </row>
    <row r="421" spans="1:20" x14ac:dyDescent="0.35">
      <c r="A421" s="1" t="s">
        <v>929</v>
      </c>
      <c r="B421" t="s">
        <v>16</v>
      </c>
      <c r="C421" s="19">
        <v>1</v>
      </c>
      <c r="D421" t="s">
        <v>817</v>
      </c>
      <c r="E421">
        <v>0</v>
      </c>
      <c r="F421" t="s">
        <v>47</v>
      </c>
      <c r="G421">
        <v>0</v>
      </c>
      <c r="H421" t="s">
        <v>47</v>
      </c>
      <c r="I421">
        <v>0</v>
      </c>
      <c r="J421" t="s">
        <v>47</v>
      </c>
      <c r="K421">
        <v>0</v>
      </c>
      <c r="L421" t="s">
        <v>47</v>
      </c>
      <c r="M421">
        <v>0</v>
      </c>
      <c r="N421" t="s">
        <v>47</v>
      </c>
      <c r="O421">
        <v>1</v>
      </c>
      <c r="P421" t="s">
        <v>48</v>
      </c>
      <c r="Q421">
        <v>0</v>
      </c>
      <c r="R421" t="s">
        <v>47</v>
      </c>
      <c r="S421">
        <v>0</v>
      </c>
      <c r="T421" t="s">
        <v>47</v>
      </c>
    </row>
    <row r="422" spans="1:20" x14ac:dyDescent="0.35">
      <c r="A422" s="1" t="s">
        <v>930</v>
      </c>
      <c r="B422" t="s">
        <v>16</v>
      </c>
      <c r="C422" s="18">
        <v>1</v>
      </c>
      <c r="D422" t="s">
        <v>818</v>
      </c>
      <c r="E422">
        <v>0</v>
      </c>
      <c r="F422" t="s">
        <v>47</v>
      </c>
      <c r="G422">
        <v>1</v>
      </c>
      <c r="H422" t="s">
        <v>48</v>
      </c>
      <c r="I422">
        <v>1</v>
      </c>
      <c r="J422" t="s">
        <v>48</v>
      </c>
      <c r="K422">
        <v>0</v>
      </c>
      <c r="L422" t="s">
        <v>47</v>
      </c>
      <c r="M422">
        <v>0</v>
      </c>
      <c r="N422" t="s">
        <v>47</v>
      </c>
      <c r="O422">
        <v>1</v>
      </c>
      <c r="P422" t="s">
        <v>48</v>
      </c>
      <c r="Q422">
        <v>0</v>
      </c>
      <c r="R422" t="s">
        <v>47</v>
      </c>
      <c r="S422">
        <v>0</v>
      </c>
      <c r="T422" t="s">
        <v>47</v>
      </c>
    </row>
    <row r="423" spans="1:20" x14ac:dyDescent="0.35">
      <c r="A423" s="1" t="s">
        <v>931</v>
      </c>
      <c r="B423" t="s">
        <v>14</v>
      </c>
      <c r="C423" s="19">
        <v>1</v>
      </c>
      <c r="D423" t="s">
        <v>819</v>
      </c>
      <c r="E423">
        <v>1</v>
      </c>
      <c r="F423" t="s">
        <v>48</v>
      </c>
      <c r="G423">
        <v>0</v>
      </c>
      <c r="H423" t="s">
        <v>47</v>
      </c>
      <c r="I423">
        <v>0</v>
      </c>
      <c r="J423" t="s">
        <v>47</v>
      </c>
      <c r="K423">
        <v>0</v>
      </c>
      <c r="L423" t="s">
        <v>47</v>
      </c>
      <c r="M423">
        <v>0</v>
      </c>
      <c r="N423" t="s">
        <v>47</v>
      </c>
      <c r="O423">
        <v>0</v>
      </c>
      <c r="P423" t="s">
        <v>47</v>
      </c>
      <c r="Q423">
        <v>0</v>
      </c>
      <c r="R423" t="s">
        <v>47</v>
      </c>
      <c r="S423">
        <v>0</v>
      </c>
      <c r="T423" t="s">
        <v>47</v>
      </c>
    </row>
    <row r="424" spans="1:20" x14ac:dyDescent="0.35">
      <c r="A424" s="1" t="s">
        <v>932</v>
      </c>
      <c r="B424" t="s">
        <v>14</v>
      </c>
      <c r="C424" s="18">
        <v>1</v>
      </c>
      <c r="D424" t="s">
        <v>820</v>
      </c>
      <c r="E424">
        <v>0</v>
      </c>
      <c r="F424" t="s">
        <v>47</v>
      </c>
      <c r="G424">
        <v>1</v>
      </c>
      <c r="H424" t="s">
        <v>48</v>
      </c>
      <c r="I424">
        <v>0</v>
      </c>
      <c r="J424" t="s">
        <v>47</v>
      </c>
      <c r="K424">
        <v>0</v>
      </c>
      <c r="L424" t="s">
        <v>47</v>
      </c>
      <c r="M424">
        <v>0</v>
      </c>
      <c r="N424" t="s">
        <v>47</v>
      </c>
      <c r="O424">
        <v>0</v>
      </c>
      <c r="P424" t="s">
        <v>47</v>
      </c>
      <c r="Q424">
        <v>0</v>
      </c>
      <c r="R424" t="s">
        <v>47</v>
      </c>
      <c r="S424">
        <v>0</v>
      </c>
      <c r="T424" t="s">
        <v>47</v>
      </c>
    </row>
    <row r="425" spans="1:20" x14ac:dyDescent="0.35">
      <c r="A425" s="1" t="s">
        <v>933</v>
      </c>
      <c r="B425" t="s">
        <v>16</v>
      </c>
      <c r="C425" s="19">
        <v>1</v>
      </c>
      <c r="D425" t="s">
        <v>810</v>
      </c>
      <c r="E425">
        <v>0</v>
      </c>
      <c r="F425" t="s">
        <v>47</v>
      </c>
      <c r="G425">
        <v>0</v>
      </c>
      <c r="H425" t="s">
        <v>47</v>
      </c>
      <c r="I425">
        <v>0</v>
      </c>
      <c r="J425" t="s">
        <v>47</v>
      </c>
      <c r="K425">
        <v>0</v>
      </c>
      <c r="L425" t="s">
        <v>47</v>
      </c>
      <c r="M425">
        <v>0</v>
      </c>
      <c r="N425" t="s">
        <v>47</v>
      </c>
      <c r="O425">
        <v>0</v>
      </c>
      <c r="P425" t="s">
        <v>47</v>
      </c>
      <c r="Q425">
        <v>1</v>
      </c>
      <c r="R425" t="s">
        <v>48</v>
      </c>
      <c r="S425">
        <v>0</v>
      </c>
      <c r="T425" t="s">
        <v>47</v>
      </c>
    </row>
    <row r="426" spans="1:20" x14ac:dyDescent="0.35">
      <c r="A426" s="1" t="s">
        <v>934</v>
      </c>
      <c r="B426" t="s">
        <v>16</v>
      </c>
      <c r="C426" s="18">
        <v>1</v>
      </c>
      <c r="D426" t="s">
        <v>811</v>
      </c>
      <c r="E426">
        <v>0</v>
      </c>
      <c r="F426" t="s">
        <v>47</v>
      </c>
      <c r="G426">
        <v>0</v>
      </c>
      <c r="H426" t="s">
        <v>47</v>
      </c>
      <c r="I426">
        <v>1</v>
      </c>
      <c r="J426" t="s">
        <v>48</v>
      </c>
      <c r="K426">
        <v>0</v>
      </c>
      <c r="L426" t="s">
        <v>47</v>
      </c>
      <c r="M426">
        <v>0</v>
      </c>
      <c r="N426" t="s">
        <v>47</v>
      </c>
      <c r="O426">
        <v>1</v>
      </c>
      <c r="P426" t="s">
        <v>48</v>
      </c>
      <c r="Q426">
        <v>0</v>
      </c>
      <c r="R426" t="s">
        <v>47</v>
      </c>
      <c r="S426">
        <v>0</v>
      </c>
      <c r="T426" t="s">
        <v>47</v>
      </c>
    </row>
    <row r="427" spans="1:20" x14ac:dyDescent="0.35">
      <c r="A427" s="1" t="s">
        <v>935</v>
      </c>
      <c r="B427" t="s">
        <v>16</v>
      </c>
      <c r="C427" s="19">
        <v>1</v>
      </c>
      <c r="D427" t="s">
        <v>812</v>
      </c>
      <c r="E427">
        <v>0</v>
      </c>
      <c r="F427" t="s">
        <v>47</v>
      </c>
      <c r="G427">
        <v>1</v>
      </c>
      <c r="H427" t="s">
        <v>48</v>
      </c>
      <c r="I427">
        <v>0</v>
      </c>
      <c r="J427" t="s">
        <v>47</v>
      </c>
      <c r="K427">
        <v>0</v>
      </c>
      <c r="L427" t="s">
        <v>47</v>
      </c>
      <c r="M427">
        <v>0</v>
      </c>
      <c r="N427" t="s">
        <v>47</v>
      </c>
      <c r="O427">
        <v>1</v>
      </c>
      <c r="P427" t="s">
        <v>48</v>
      </c>
      <c r="Q427">
        <v>0</v>
      </c>
      <c r="R427" t="s">
        <v>47</v>
      </c>
      <c r="S427">
        <v>0</v>
      </c>
      <c r="T427" t="s">
        <v>47</v>
      </c>
    </row>
    <row r="428" spans="1:20" x14ac:dyDescent="0.35">
      <c r="A428" s="1" t="s">
        <v>936</v>
      </c>
      <c r="B428" t="s">
        <v>16</v>
      </c>
      <c r="C428" s="18">
        <v>1</v>
      </c>
      <c r="D428" t="s">
        <v>813</v>
      </c>
      <c r="E428">
        <v>0</v>
      </c>
      <c r="F428" t="s">
        <v>47</v>
      </c>
      <c r="G428">
        <v>0</v>
      </c>
      <c r="H428" t="s">
        <v>47</v>
      </c>
      <c r="I428">
        <v>0</v>
      </c>
      <c r="J428" t="s">
        <v>47</v>
      </c>
      <c r="K428">
        <v>0</v>
      </c>
      <c r="L428" t="s">
        <v>47</v>
      </c>
      <c r="M428">
        <v>0</v>
      </c>
      <c r="N428" t="s">
        <v>47</v>
      </c>
      <c r="O428">
        <v>0</v>
      </c>
      <c r="P428" t="s">
        <v>47</v>
      </c>
      <c r="Q428">
        <v>1</v>
      </c>
      <c r="R428" t="s">
        <v>48</v>
      </c>
      <c r="S428">
        <v>0</v>
      </c>
      <c r="T428" t="s">
        <v>47</v>
      </c>
    </row>
    <row r="429" spans="1:20" x14ac:dyDescent="0.35">
      <c r="A429" s="1" t="s">
        <v>937</v>
      </c>
      <c r="B429" t="s">
        <v>14</v>
      </c>
      <c r="C429" s="19">
        <v>1</v>
      </c>
      <c r="D429" t="s">
        <v>814</v>
      </c>
      <c r="E429">
        <v>0</v>
      </c>
      <c r="F429" t="s">
        <v>47</v>
      </c>
      <c r="G429">
        <v>0</v>
      </c>
      <c r="H429" t="s">
        <v>47</v>
      </c>
      <c r="I429">
        <v>0</v>
      </c>
      <c r="J429" t="s">
        <v>47</v>
      </c>
      <c r="K429">
        <v>0</v>
      </c>
      <c r="L429" t="s">
        <v>47</v>
      </c>
      <c r="M429">
        <v>0</v>
      </c>
      <c r="N429" t="s">
        <v>47</v>
      </c>
      <c r="O429">
        <v>1</v>
      </c>
      <c r="P429" t="s">
        <v>48</v>
      </c>
      <c r="Q429">
        <v>0</v>
      </c>
      <c r="R429" t="s">
        <v>47</v>
      </c>
      <c r="S429">
        <v>0</v>
      </c>
      <c r="T429" t="s">
        <v>47</v>
      </c>
    </row>
    <row r="430" spans="1:20" x14ac:dyDescent="0.35">
      <c r="A430" s="1" t="s">
        <v>938</v>
      </c>
      <c r="B430" t="s">
        <v>16</v>
      </c>
      <c r="C430" s="18">
        <v>1</v>
      </c>
      <c r="D430" t="s">
        <v>815</v>
      </c>
      <c r="E430">
        <v>0</v>
      </c>
      <c r="F430" t="s">
        <v>47</v>
      </c>
      <c r="G430">
        <v>0</v>
      </c>
      <c r="H430" t="s">
        <v>47</v>
      </c>
      <c r="I430">
        <v>0</v>
      </c>
      <c r="J430" t="s">
        <v>47</v>
      </c>
      <c r="K430">
        <v>0</v>
      </c>
      <c r="L430" t="s">
        <v>47</v>
      </c>
      <c r="M430">
        <v>0</v>
      </c>
      <c r="N430" t="s">
        <v>47</v>
      </c>
      <c r="O430">
        <v>0</v>
      </c>
      <c r="P430" t="s">
        <v>47</v>
      </c>
      <c r="Q430">
        <v>1</v>
      </c>
      <c r="R430" t="s">
        <v>48</v>
      </c>
      <c r="S430">
        <v>0</v>
      </c>
      <c r="T430" t="s">
        <v>47</v>
      </c>
    </row>
    <row r="431" spans="1:20" x14ac:dyDescent="0.35">
      <c r="A431" s="1" t="s">
        <v>939</v>
      </c>
      <c r="B431" t="s">
        <v>16</v>
      </c>
      <c r="C431" s="19">
        <v>1</v>
      </c>
      <c r="D431" t="s">
        <v>825</v>
      </c>
      <c r="E431">
        <v>1</v>
      </c>
      <c r="F431" t="s">
        <v>48</v>
      </c>
      <c r="G431">
        <v>0</v>
      </c>
      <c r="H431" t="s">
        <v>47</v>
      </c>
      <c r="I431">
        <v>0</v>
      </c>
      <c r="J431" t="s">
        <v>47</v>
      </c>
      <c r="K431">
        <v>0</v>
      </c>
      <c r="L431" t="s">
        <v>47</v>
      </c>
      <c r="M431">
        <v>0</v>
      </c>
      <c r="N431" t="s">
        <v>47</v>
      </c>
      <c r="O431">
        <v>0</v>
      </c>
      <c r="P431" t="s">
        <v>47</v>
      </c>
      <c r="Q431">
        <v>0</v>
      </c>
      <c r="R431" t="s">
        <v>47</v>
      </c>
      <c r="S431">
        <v>0</v>
      </c>
      <c r="T431" t="s">
        <v>47</v>
      </c>
    </row>
    <row r="432" spans="1:20" x14ac:dyDescent="0.35">
      <c r="A432" s="1" t="s">
        <v>940</v>
      </c>
      <c r="B432" t="s">
        <v>16</v>
      </c>
      <c r="C432" s="18">
        <v>1</v>
      </c>
      <c r="D432" t="s">
        <v>826</v>
      </c>
      <c r="E432">
        <v>1</v>
      </c>
      <c r="F432" t="s">
        <v>48</v>
      </c>
      <c r="G432">
        <v>0</v>
      </c>
      <c r="H432" t="s">
        <v>47</v>
      </c>
      <c r="I432">
        <v>0</v>
      </c>
      <c r="J432" t="s">
        <v>47</v>
      </c>
      <c r="K432">
        <v>0</v>
      </c>
      <c r="L432" t="s">
        <v>47</v>
      </c>
      <c r="M432">
        <v>0</v>
      </c>
      <c r="N432" t="s">
        <v>47</v>
      </c>
      <c r="O432">
        <v>1</v>
      </c>
      <c r="P432" t="s">
        <v>48</v>
      </c>
      <c r="Q432">
        <v>0</v>
      </c>
      <c r="R432" t="s">
        <v>47</v>
      </c>
      <c r="S432">
        <v>0</v>
      </c>
      <c r="T432" t="s">
        <v>47</v>
      </c>
    </row>
    <row r="433" spans="1:20" x14ac:dyDescent="0.35">
      <c r="A433" s="1" t="s">
        <v>941</v>
      </c>
      <c r="B433" t="s">
        <v>14</v>
      </c>
      <c r="C433" s="19">
        <v>2</v>
      </c>
      <c r="D433" t="s">
        <v>827</v>
      </c>
      <c r="E433">
        <v>0</v>
      </c>
      <c r="F433" t="s">
        <v>47</v>
      </c>
      <c r="G433">
        <v>1</v>
      </c>
      <c r="H433" t="s">
        <v>48</v>
      </c>
      <c r="I433">
        <v>0</v>
      </c>
      <c r="J433" t="s">
        <v>47</v>
      </c>
      <c r="K433">
        <v>1</v>
      </c>
      <c r="L433" t="s">
        <v>48</v>
      </c>
      <c r="M433">
        <v>0</v>
      </c>
      <c r="N433" t="s">
        <v>47</v>
      </c>
      <c r="O433">
        <v>1</v>
      </c>
      <c r="P433" t="s">
        <v>48</v>
      </c>
      <c r="Q433">
        <v>0</v>
      </c>
      <c r="R433" t="s">
        <v>47</v>
      </c>
      <c r="S433">
        <v>0</v>
      </c>
      <c r="T433" t="s">
        <v>47</v>
      </c>
    </row>
    <row r="434" spans="1:20" x14ac:dyDescent="0.35">
      <c r="A434" s="1" t="s">
        <v>942</v>
      </c>
      <c r="B434" t="s">
        <v>16</v>
      </c>
      <c r="C434" s="18">
        <v>1</v>
      </c>
      <c r="D434" t="s">
        <v>828</v>
      </c>
      <c r="E434">
        <v>1</v>
      </c>
      <c r="F434" t="s">
        <v>48</v>
      </c>
      <c r="G434">
        <v>1</v>
      </c>
      <c r="H434" t="s">
        <v>48</v>
      </c>
      <c r="I434">
        <v>0</v>
      </c>
      <c r="J434" t="s">
        <v>47</v>
      </c>
      <c r="K434">
        <v>1</v>
      </c>
      <c r="L434" t="s">
        <v>48</v>
      </c>
      <c r="M434">
        <v>0</v>
      </c>
      <c r="N434" t="s">
        <v>47</v>
      </c>
      <c r="O434">
        <v>0</v>
      </c>
      <c r="P434" t="s">
        <v>47</v>
      </c>
      <c r="Q434">
        <v>0</v>
      </c>
      <c r="R434" t="s">
        <v>47</v>
      </c>
      <c r="S434">
        <v>0</v>
      </c>
      <c r="T434" t="s">
        <v>47</v>
      </c>
    </row>
    <row r="435" spans="1:20" x14ac:dyDescent="0.35">
      <c r="A435" s="1" t="s">
        <v>943</v>
      </c>
      <c r="B435" t="s">
        <v>16</v>
      </c>
      <c r="C435" s="19">
        <v>1</v>
      </c>
      <c r="D435" t="s">
        <v>829</v>
      </c>
      <c r="E435">
        <v>1</v>
      </c>
      <c r="F435" t="s">
        <v>48</v>
      </c>
      <c r="G435">
        <v>0</v>
      </c>
      <c r="H435" t="s">
        <v>47</v>
      </c>
      <c r="I435">
        <v>0</v>
      </c>
      <c r="J435" t="s">
        <v>47</v>
      </c>
      <c r="K435">
        <v>1</v>
      </c>
      <c r="L435" t="s">
        <v>48</v>
      </c>
      <c r="M435">
        <v>0</v>
      </c>
      <c r="N435" t="s">
        <v>47</v>
      </c>
      <c r="O435">
        <v>0</v>
      </c>
      <c r="P435" t="s">
        <v>47</v>
      </c>
      <c r="Q435">
        <v>0</v>
      </c>
      <c r="R435" t="s">
        <v>47</v>
      </c>
      <c r="S435">
        <v>0</v>
      </c>
      <c r="T435" t="s">
        <v>47</v>
      </c>
    </row>
    <row r="436" spans="1:20" x14ac:dyDescent="0.35">
      <c r="A436" s="1" t="s">
        <v>944</v>
      </c>
      <c r="B436" t="s">
        <v>14</v>
      </c>
      <c r="C436" s="18">
        <v>1</v>
      </c>
      <c r="D436" t="s">
        <v>830</v>
      </c>
      <c r="E436">
        <v>1</v>
      </c>
      <c r="F436" t="s">
        <v>45</v>
      </c>
      <c r="G436">
        <v>0</v>
      </c>
      <c r="H436" t="s">
        <v>47</v>
      </c>
      <c r="I436">
        <v>0</v>
      </c>
      <c r="J436" t="s">
        <v>47</v>
      </c>
      <c r="K436">
        <v>0</v>
      </c>
      <c r="L436" t="s">
        <v>47</v>
      </c>
      <c r="M436">
        <v>1</v>
      </c>
      <c r="N436" t="s">
        <v>48</v>
      </c>
      <c r="O436">
        <v>0</v>
      </c>
      <c r="P436" t="s">
        <v>47</v>
      </c>
      <c r="Q436">
        <v>0</v>
      </c>
      <c r="R436" t="s">
        <v>47</v>
      </c>
      <c r="S436">
        <v>0</v>
      </c>
      <c r="T436" t="s">
        <v>47</v>
      </c>
    </row>
    <row r="437" spans="1:20" x14ac:dyDescent="0.35">
      <c r="A437" s="1" t="s">
        <v>945</v>
      </c>
      <c r="B437" t="s">
        <v>16</v>
      </c>
      <c r="C437" s="19">
        <v>1</v>
      </c>
      <c r="D437" t="s">
        <v>821</v>
      </c>
      <c r="E437">
        <v>1</v>
      </c>
      <c r="F437" t="s">
        <v>48</v>
      </c>
      <c r="G437">
        <v>1</v>
      </c>
      <c r="H437" t="s">
        <v>48</v>
      </c>
      <c r="I437">
        <v>0</v>
      </c>
      <c r="J437" t="s">
        <v>47</v>
      </c>
      <c r="K437">
        <v>1</v>
      </c>
      <c r="L437" t="s">
        <v>48</v>
      </c>
      <c r="M437">
        <v>0</v>
      </c>
      <c r="N437" t="s">
        <v>47</v>
      </c>
      <c r="O437">
        <v>0</v>
      </c>
      <c r="P437" t="s">
        <v>47</v>
      </c>
      <c r="Q437">
        <v>0</v>
      </c>
      <c r="R437" t="s">
        <v>47</v>
      </c>
      <c r="S437">
        <v>0</v>
      </c>
      <c r="T437" t="s">
        <v>47</v>
      </c>
    </row>
    <row r="438" spans="1:20" x14ac:dyDescent="0.35">
      <c r="A438" s="1" t="s">
        <v>946</v>
      </c>
      <c r="B438" t="s">
        <v>16</v>
      </c>
      <c r="C438" s="18">
        <v>1</v>
      </c>
      <c r="D438" t="s">
        <v>822</v>
      </c>
      <c r="E438">
        <v>0</v>
      </c>
      <c r="F438" t="s">
        <v>47</v>
      </c>
      <c r="G438">
        <v>1</v>
      </c>
      <c r="H438" t="s">
        <v>48</v>
      </c>
      <c r="I438">
        <v>0</v>
      </c>
      <c r="J438" t="s">
        <v>47</v>
      </c>
      <c r="K438">
        <v>0</v>
      </c>
      <c r="L438" t="s">
        <v>47</v>
      </c>
      <c r="M438">
        <v>1</v>
      </c>
      <c r="N438" t="s">
        <v>48</v>
      </c>
      <c r="O438">
        <v>0</v>
      </c>
      <c r="P438" t="s">
        <v>47</v>
      </c>
      <c r="Q438">
        <v>0</v>
      </c>
      <c r="R438" t="s">
        <v>47</v>
      </c>
      <c r="S438">
        <v>0</v>
      </c>
      <c r="T438" t="s">
        <v>47</v>
      </c>
    </row>
    <row r="439" spans="1:20" x14ac:dyDescent="0.35">
      <c r="A439" s="1" t="s">
        <v>947</v>
      </c>
      <c r="B439" t="s">
        <v>16</v>
      </c>
      <c r="C439" s="19">
        <v>1</v>
      </c>
      <c r="D439" t="s">
        <v>831</v>
      </c>
      <c r="E439">
        <v>0</v>
      </c>
      <c r="F439" t="s">
        <v>47</v>
      </c>
      <c r="G439">
        <v>1</v>
      </c>
      <c r="H439" t="s">
        <v>48</v>
      </c>
      <c r="I439">
        <v>0</v>
      </c>
      <c r="J439" t="s">
        <v>47</v>
      </c>
      <c r="K439">
        <v>0</v>
      </c>
      <c r="L439" t="s">
        <v>47</v>
      </c>
      <c r="M439">
        <v>0</v>
      </c>
      <c r="N439" t="s">
        <v>47</v>
      </c>
      <c r="O439">
        <v>0</v>
      </c>
      <c r="P439" t="s">
        <v>47</v>
      </c>
      <c r="Q439">
        <v>0</v>
      </c>
      <c r="R439" t="s">
        <v>47</v>
      </c>
      <c r="S439">
        <v>0</v>
      </c>
      <c r="T439" t="s">
        <v>47</v>
      </c>
    </row>
    <row r="440" spans="1:20" x14ac:dyDescent="0.35">
      <c r="A440" s="1" t="s">
        <v>948</v>
      </c>
      <c r="B440" t="s">
        <v>16</v>
      </c>
      <c r="C440" s="18">
        <v>2</v>
      </c>
      <c r="D440" t="s">
        <v>823</v>
      </c>
      <c r="E440">
        <v>1</v>
      </c>
      <c r="F440" t="s">
        <v>45</v>
      </c>
      <c r="G440">
        <v>0</v>
      </c>
      <c r="H440" t="s">
        <v>47</v>
      </c>
      <c r="I440">
        <v>0</v>
      </c>
      <c r="J440" t="s">
        <v>47</v>
      </c>
      <c r="K440">
        <v>1</v>
      </c>
      <c r="L440" t="s">
        <v>48</v>
      </c>
      <c r="M440">
        <v>0</v>
      </c>
      <c r="N440" t="s">
        <v>47</v>
      </c>
      <c r="O440">
        <v>0</v>
      </c>
      <c r="P440" t="s">
        <v>47</v>
      </c>
      <c r="Q440">
        <v>0</v>
      </c>
      <c r="R440" t="s">
        <v>47</v>
      </c>
      <c r="S440">
        <v>0</v>
      </c>
      <c r="T440" t="s">
        <v>47</v>
      </c>
    </row>
    <row r="441" spans="1:20" x14ac:dyDescent="0.35">
      <c r="A441" s="1" t="s">
        <v>949</v>
      </c>
      <c r="B441" t="s">
        <v>14</v>
      </c>
      <c r="C441" s="19">
        <v>2</v>
      </c>
      <c r="D441" t="s">
        <v>824</v>
      </c>
      <c r="E441">
        <v>1</v>
      </c>
      <c r="F441" t="s">
        <v>48</v>
      </c>
      <c r="G441">
        <v>0</v>
      </c>
      <c r="H441" t="s">
        <v>47</v>
      </c>
      <c r="I441">
        <v>0</v>
      </c>
      <c r="J441" t="s">
        <v>47</v>
      </c>
      <c r="K441">
        <v>0</v>
      </c>
      <c r="L441" t="s">
        <v>47</v>
      </c>
      <c r="M441">
        <v>0</v>
      </c>
      <c r="N441" t="s">
        <v>47</v>
      </c>
      <c r="O441">
        <v>0</v>
      </c>
      <c r="P441" t="s">
        <v>47</v>
      </c>
      <c r="Q441">
        <v>0</v>
      </c>
      <c r="R441" t="s">
        <v>47</v>
      </c>
      <c r="S441">
        <v>0</v>
      </c>
      <c r="T441" t="s">
        <v>47</v>
      </c>
    </row>
    <row r="442" spans="1:20" x14ac:dyDescent="0.35">
      <c r="A442" s="1" t="s">
        <v>950</v>
      </c>
      <c r="B442" t="s">
        <v>16</v>
      </c>
      <c r="C442" s="18">
        <v>1</v>
      </c>
      <c r="D442" t="s">
        <v>832</v>
      </c>
      <c r="E442">
        <v>1</v>
      </c>
      <c r="F442" t="s">
        <v>48</v>
      </c>
      <c r="G442">
        <v>1</v>
      </c>
      <c r="H442" t="s">
        <v>48</v>
      </c>
      <c r="I442">
        <v>0</v>
      </c>
      <c r="J442" t="s">
        <v>47</v>
      </c>
      <c r="K442">
        <v>0</v>
      </c>
      <c r="L442" t="s">
        <v>47</v>
      </c>
      <c r="M442">
        <v>0</v>
      </c>
      <c r="N442" t="s">
        <v>47</v>
      </c>
      <c r="O442">
        <v>0</v>
      </c>
      <c r="P442" t="s">
        <v>47</v>
      </c>
      <c r="Q442">
        <v>0</v>
      </c>
      <c r="R442" t="s">
        <v>47</v>
      </c>
      <c r="S442">
        <v>0</v>
      </c>
      <c r="T442" t="s">
        <v>47</v>
      </c>
    </row>
    <row r="443" spans="1:20" x14ac:dyDescent="0.35">
      <c r="A443" s="1" t="s">
        <v>951</v>
      </c>
      <c r="B443" t="s">
        <v>16</v>
      </c>
      <c r="C443" s="19">
        <v>1</v>
      </c>
      <c r="D443" t="s">
        <v>833</v>
      </c>
      <c r="E443">
        <v>1</v>
      </c>
      <c r="F443" t="s">
        <v>48</v>
      </c>
      <c r="G443">
        <v>1</v>
      </c>
      <c r="H443" t="s">
        <v>48</v>
      </c>
      <c r="I443">
        <v>0</v>
      </c>
      <c r="J443" t="s">
        <v>47</v>
      </c>
      <c r="K443">
        <v>0</v>
      </c>
      <c r="L443" t="s">
        <v>47</v>
      </c>
      <c r="M443">
        <v>0</v>
      </c>
      <c r="N443" t="s">
        <v>47</v>
      </c>
      <c r="O443">
        <v>1</v>
      </c>
      <c r="P443" t="s">
        <v>48</v>
      </c>
      <c r="Q443">
        <v>0</v>
      </c>
      <c r="R443" t="s">
        <v>47</v>
      </c>
      <c r="S443">
        <v>0</v>
      </c>
      <c r="T443" t="s">
        <v>47</v>
      </c>
    </row>
    <row r="444" spans="1:20" x14ac:dyDescent="0.35">
      <c r="A444" s="1" t="s">
        <v>952</v>
      </c>
      <c r="B444" t="s">
        <v>16</v>
      </c>
      <c r="C444" s="18">
        <v>1</v>
      </c>
      <c r="D444" t="s">
        <v>834</v>
      </c>
      <c r="E444">
        <v>0</v>
      </c>
      <c r="F444" t="s">
        <v>47</v>
      </c>
      <c r="G444">
        <v>1</v>
      </c>
      <c r="H444" t="s">
        <v>48</v>
      </c>
      <c r="I444">
        <v>0</v>
      </c>
      <c r="J444" t="s">
        <v>47</v>
      </c>
      <c r="K444">
        <v>0</v>
      </c>
      <c r="L444" t="s">
        <v>47</v>
      </c>
      <c r="M444">
        <v>0</v>
      </c>
      <c r="N444" t="s">
        <v>47</v>
      </c>
      <c r="O444">
        <v>1</v>
      </c>
      <c r="P444" t="s">
        <v>48</v>
      </c>
      <c r="Q444">
        <v>0</v>
      </c>
      <c r="R444" t="s">
        <v>47</v>
      </c>
      <c r="S444">
        <v>0</v>
      </c>
      <c r="T444" t="s">
        <v>47</v>
      </c>
    </row>
    <row r="445" spans="1:20" x14ac:dyDescent="0.35">
      <c r="A445" s="1" t="s">
        <v>953</v>
      </c>
      <c r="B445" t="s">
        <v>16</v>
      </c>
      <c r="C445" s="19">
        <v>1</v>
      </c>
      <c r="D445" t="s">
        <v>835</v>
      </c>
      <c r="E445">
        <v>0</v>
      </c>
      <c r="F445" t="s">
        <v>47</v>
      </c>
      <c r="G445">
        <v>1</v>
      </c>
      <c r="H445" t="s">
        <v>48</v>
      </c>
      <c r="I445">
        <v>0</v>
      </c>
      <c r="J445" t="s">
        <v>47</v>
      </c>
      <c r="K445">
        <v>0</v>
      </c>
      <c r="L445" t="s">
        <v>47</v>
      </c>
      <c r="M445">
        <v>0</v>
      </c>
      <c r="N445" t="s">
        <v>47</v>
      </c>
      <c r="O445">
        <v>0</v>
      </c>
      <c r="P445" t="s">
        <v>47</v>
      </c>
      <c r="Q445">
        <v>0</v>
      </c>
      <c r="R445" t="s">
        <v>47</v>
      </c>
      <c r="S445">
        <v>0</v>
      </c>
      <c r="T445" t="s">
        <v>47</v>
      </c>
    </row>
    <row r="446" spans="1:20" x14ac:dyDescent="0.35">
      <c r="A446" s="1" t="s">
        <v>954</v>
      </c>
      <c r="B446" t="s">
        <v>14</v>
      </c>
      <c r="C446" s="18">
        <v>1</v>
      </c>
      <c r="D446" t="s">
        <v>836</v>
      </c>
      <c r="E446">
        <v>0</v>
      </c>
      <c r="F446" t="s">
        <v>47</v>
      </c>
      <c r="G446">
        <v>1</v>
      </c>
      <c r="H446" t="s">
        <v>48</v>
      </c>
      <c r="I446">
        <v>0</v>
      </c>
      <c r="J446" t="s">
        <v>47</v>
      </c>
      <c r="K446">
        <v>0</v>
      </c>
      <c r="L446" t="s">
        <v>47</v>
      </c>
      <c r="M446">
        <v>0</v>
      </c>
      <c r="N446" t="s">
        <v>47</v>
      </c>
      <c r="O446">
        <v>0</v>
      </c>
      <c r="P446" t="s">
        <v>47</v>
      </c>
      <c r="Q446">
        <v>0</v>
      </c>
      <c r="R446" t="s">
        <v>47</v>
      </c>
      <c r="S446">
        <v>0</v>
      </c>
      <c r="T446" t="s">
        <v>47</v>
      </c>
    </row>
    <row r="447" spans="1:20" x14ac:dyDescent="0.35">
      <c r="A447" s="1" t="s">
        <v>955</v>
      </c>
      <c r="B447" t="s">
        <v>14</v>
      </c>
      <c r="C447" s="19">
        <v>1</v>
      </c>
      <c r="D447" t="s">
        <v>837</v>
      </c>
      <c r="E447">
        <v>0</v>
      </c>
      <c r="F447" t="s">
        <v>47</v>
      </c>
      <c r="G447">
        <v>1</v>
      </c>
      <c r="H447" t="s">
        <v>48</v>
      </c>
      <c r="I447">
        <v>1</v>
      </c>
      <c r="J447" t="s">
        <v>48</v>
      </c>
      <c r="K447">
        <v>0</v>
      </c>
      <c r="L447" t="s">
        <v>47</v>
      </c>
      <c r="M447">
        <v>0</v>
      </c>
      <c r="N447" t="s">
        <v>47</v>
      </c>
      <c r="O447">
        <v>0</v>
      </c>
      <c r="P447" t="s">
        <v>47</v>
      </c>
      <c r="Q447">
        <v>0</v>
      </c>
      <c r="R447" t="s">
        <v>47</v>
      </c>
      <c r="S447">
        <v>0</v>
      </c>
      <c r="T447" t="s">
        <v>47</v>
      </c>
    </row>
    <row r="448" spans="1:20" x14ac:dyDescent="0.35">
      <c r="A448" s="1" t="s">
        <v>956</v>
      </c>
      <c r="B448" t="s">
        <v>16</v>
      </c>
      <c r="C448" s="18">
        <v>1</v>
      </c>
      <c r="D448" t="s">
        <v>838</v>
      </c>
      <c r="E448">
        <v>1</v>
      </c>
      <c r="F448" t="s">
        <v>48</v>
      </c>
      <c r="G448">
        <v>0</v>
      </c>
      <c r="H448" t="s">
        <v>47</v>
      </c>
      <c r="I448">
        <v>0</v>
      </c>
      <c r="J448" t="s">
        <v>47</v>
      </c>
      <c r="K448">
        <v>0</v>
      </c>
      <c r="L448" t="s">
        <v>47</v>
      </c>
      <c r="M448">
        <v>0</v>
      </c>
      <c r="N448" t="s">
        <v>47</v>
      </c>
      <c r="O448">
        <v>0</v>
      </c>
      <c r="P448" t="s">
        <v>47</v>
      </c>
      <c r="Q448">
        <v>0</v>
      </c>
      <c r="R448" t="s">
        <v>47</v>
      </c>
      <c r="S448">
        <v>0</v>
      </c>
      <c r="T448" t="s">
        <v>47</v>
      </c>
    </row>
    <row r="449" spans="1:20" x14ac:dyDescent="0.35">
      <c r="A449" s="1" t="s">
        <v>957</v>
      </c>
      <c r="B449" t="s">
        <v>16</v>
      </c>
      <c r="C449" s="19">
        <v>1</v>
      </c>
      <c r="D449" t="s">
        <v>839</v>
      </c>
      <c r="E449">
        <v>0</v>
      </c>
      <c r="F449" t="s">
        <v>47</v>
      </c>
      <c r="G449">
        <v>0</v>
      </c>
      <c r="H449" t="s">
        <v>47</v>
      </c>
      <c r="I449">
        <v>0</v>
      </c>
      <c r="J449" t="s">
        <v>47</v>
      </c>
      <c r="K449">
        <v>0</v>
      </c>
      <c r="L449" t="s">
        <v>47</v>
      </c>
      <c r="M449">
        <v>1</v>
      </c>
      <c r="N449" t="s">
        <v>48</v>
      </c>
      <c r="O449">
        <v>1</v>
      </c>
      <c r="P449" t="s">
        <v>48</v>
      </c>
      <c r="Q449">
        <v>0</v>
      </c>
      <c r="R449" t="s">
        <v>47</v>
      </c>
      <c r="S449">
        <v>0</v>
      </c>
      <c r="T449" t="s">
        <v>47</v>
      </c>
    </row>
    <row r="450" spans="1:20" x14ac:dyDescent="0.35">
      <c r="A450" s="1" t="s">
        <v>958</v>
      </c>
      <c r="B450" t="s">
        <v>14</v>
      </c>
      <c r="C450" s="18">
        <v>1</v>
      </c>
      <c r="D450" t="s">
        <v>840</v>
      </c>
      <c r="E450">
        <v>0</v>
      </c>
      <c r="F450" t="s">
        <v>47</v>
      </c>
      <c r="G450">
        <v>0</v>
      </c>
      <c r="H450" t="s">
        <v>47</v>
      </c>
      <c r="I450">
        <v>0</v>
      </c>
      <c r="J450" t="s">
        <v>47</v>
      </c>
      <c r="K450">
        <v>0</v>
      </c>
      <c r="L450" t="s">
        <v>47</v>
      </c>
      <c r="M450">
        <v>0</v>
      </c>
      <c r="N450" t="s">
        <v>47</v>
      </c>
      <c r="O450">
        <v>0</v>
      </c>
      <c r="P450" t="s">
        <v>47</v>
      </c>
      <c r="Q450">
        <v>1</v>
      </c>
      <c r="R450" t="s">
        <v>48</v>
      </c>
      <c r="S450">
        <v>0</v>
      </c>
      <c r="T450" t="s">
        <v>47</v>
      </c>
    </row>
    <row r="451" spans="1:20" x14ac:dyDescent="0.35">
      <c r="A451" s="1" t="s">
        <v>959</v>
      </c>
      <c r="B451" t="s">
        <v>14</v>
      </c>
      <c r="C451" s="19">
        <v>1</v>
      </c>
      <c r="D451" t="s">
        <v>841</v>
      </c>
      <c r="E451">
        <v>1</v>
      </c>
      <c r="F451" t="s">
        <v>48</v>
      </c>
      <c r="G451">
        <v>0</v>
      </c>
      <c r="H451" t="s">
        <v>47</v>
      </c>
      <c r="I451">
        <v>0</v>
      </c>
      <c r="J451" t="s">
        <v>47</v>
      </c>
      <c r="K451">
        <v>0</v>
      </c>
      <c r="L451" t="s">
        <v>47</v>
      </c>
      <c r="M451">
        <v>0</v>
      </c>
      <c r="N451" t="s">
        <v>47</v>
      </c>
      <c r="O451">
        <v>0</v>
      </c>
      <c r="P451" t="s">
        <v>47</v>
      </c>
      <c r="Q451">
        <v>0</v>
      </c>
      <c r="R451" t="s">
        <v>47</v>
      </c>
      <c r="S451">
        <v>0</v>
      </c>
      <c r="T451" t="s">
        <v>47</v>
      </c>
    </row>
    <row r="452" spans="1:20" x14ac:dyDescent="0.35">
      <c r="A452" s="1" t="s">
        <v>960</v>
      </c>
      <c r="B452" t="s">
        <v>14</v>
      </c>
      <c r="C452" s="18">
        <v>1</v>
      </c>
      <c r="D452" t="s">
        <v>842</v>
      </c>
      <c r="E452">
        <v>1</v>
      </c>
      <c r="F452" t="s">
        <v>48</v>
      </c>
      <c r="G452">
        <v>0</v>
      </c>
      <c r="H452" t="s">
        <v>47</v>
      </c>
      <c r="I452">
        <v>0</v>
      </c>
      <c r="J452" t="s">
        <v>47</v>
      </c>
      <c r="K452">
        <v>0</v>
      </c>
      <c r="L452" t="s">
        <v>47</v>
      </c>
      <c r="M452">
        <v>0</v>
      </c>
      <c r="N452" t="s">
        <v>47</v>
      </c>
      <c r="O452">
        <v>0</v>
      </c>
      <c r="P452" t="s">
        <v>47</v>
      </c>
      <c r="Q452">
        <v>0</v>
      </c>
      <c r="R452" t="s">
        <v>47</v>
      </c>
      <c r="S452">
        <v>0</v>
      </c>
      <c r="T452" t="s">
        <v>47</v>
      </c>
    </row>
    <row r="453" spans="1:20" x14ac:dyDescent="0.35">
      <c r="A453" s="1" t="s">
        <v>961</v>
      </c>
      <c r="B453" t="s">
        <v>14</v>
      </c>
      <c r="C453" s="19">
        <v>1</v>
      </c>
      <c r="D453" t="s">
        <v>843</v>
      </c>
      <c r="E453">
        <v>0</v>
      </c>
      <c r="F453" t="s">
        <v>47</v>
      </c>
      <c r="G453">
        <v>1</v>
      </c>
      <c r="H453" t="s">
        <v>48</v>
      </c>
      <c r="I453">
        <v>1</v>
      </c>
      <c r="J453" t="s">
        <v>48</v>
      </c>
      <c r="K453">
        <v>1</v>
      </c>
      <c r="L453" t="s">
        <v>48</v>
      </c>
      <c r="M453">
        <v>0</v>
      </c>
      <c r="N453" t="s">
        <v>47</v>
      </c>
      <c r="O453">
        <v>0</v>
      </c>
      <c r="P453" t="s">
        <v>47</v>
      </c>
      <c r="Q453">
        <v>0</v>
      </c>
      <c r="R453" t="s">
        <v>47</v>
      </c>
      <c r="S453">
        <v>0</v>
      </c>
      <c r="T453" t="s">
        <v>47</v>
      </c>
    </row>
    <row r="454" spans="1:20" x14ac:dyDescent="0.35">
      <c r="A454" s="1" t="s">
        <v>962</v>
      </c>
      <c r="B454" t="s">
        <v>14</v>
      </c>
      <c r="C454" s="18">
        <v>1</v>
      </c>
      <c r="D454" t="s">
        <v>844</v>
      </c>
      <c r="E454">
        <v>0</v>
      </c>
      <c r="F454" t="s">
        <v>47</v>
      </c>
      <c r="G454">
        <v>1</v>
      </c>
      <c r="H454" t="s">
        <v>48</v>
      </c>
      <c r="I454">
        <v>0</v>
      </c>
      <c r="J454" t="s">
        <v>47</v>
      </c>
      <c r="K454">
        <v>0</v>
      </c>
      <c r="L454" t="s">
        <v>47</v>
      </c>
      <c r="M454">
        <v>0</v>
      </c>
      <c r="N454" t="s">
        <v>47</v>
      </c>
      <c r="O454">
        <v>0</v>
      </c>
      <c r="P454" t="s">
        <v>47</v>
      </c>
      <c r="Q454">
        <v>0</v>
      </c>
      <c r="R454" t="s">
        <v>47</v>
      </c>
      <c r="S454">
        <v>0</v>
      </c>
      <c r="T454" t="s">
        <v>47</v>
      </c>
    </row>
    <row r="455" spans="1:20" x14ac:dyDescent="0.35">
      <c r="A455" s="1" t="s">
        <v>963</v>
      </c>
      <c r="B455" t="s">
        <v>16</v>
      </c>
      <c r="C455" s="19">
        <v>1</v>
      </c>
      <c r="D455" t="s">
        <v>845</v>
      </c>
      <c r="E455">
        <v>0</v>
      </c>
      <c r="F455" t="s">
        <v>47</v>
      </c>
      <c r="G455">
        <v>1</v>
      </c>
      <c r="H455" t="s">
        <v>48</v>
      </c>
      <c r="I455">
        <v>0</v>
      </c>
      <c r="J455" t="s">
        <v>47</v>
      </c>
      <c r="K455">
        <v>0</v>
      </c>
      <c r="L455" t="s">
        <v>47</v>
      </c>
      <c r="M455">
        <v>0</v>
      </c>
      <c r="N455" t="s">
        <v>47</v>
      </c>
      <c r="O455">
        <v>0</v>
      </c>
      <c r="P455" t="s">
        <v>47</v>
      </c>
      <c r="Q455">
        <v>1</v>
      </c>
      <c r="R455" t="s">
        <v>48</v>
      </c>
      <c r="S455">
        <v>0</v>
      </c>
      <c r="T455" t="s">
        <v>47</v>
      </c>
    </row>
    <row r="456" spans="1:20" x14ac:dyDescent="0.35">
      <c r="A456" s="1" t="s">
        <v>964</v>
      </c>
      <c r="B456" t="s">
        <v>14</v>
      </c>
      <c r="C456" s="18">
        <v>1</v>
      </c>
      <c r="D456" t="s">
        <v>846</v>
      </c>
      <c r="E456">
        <v>0</v>
      </c>
      <c r="F456" t="s">
        <v>47</v>
      </c>
      <c r="G456">
        <v>0</v>
      </c>
      <c r="H456" t="s">
        <v>47</v>
      </c>
      <c r="I456">
        <v>0</v>
      </c>
      <c r="J456" t="s">
        <v>47</v>
      </c>
      <c r="K456">
        <v>0</v>
      </c>
      <c r="L456" t="s">
        <v>47</v>
      </c>
      <c r="M456">
        <v>0</v>
      </c>
      <c r="N456" t="s">
        <v>47</v>
      </c>
      <c r="O456">
        <v>0</v>
      </c>
      <c r="P456" t="s">
        <v>47</v>
      </c>
      <c r="Q456">
        <v>1</v>
      </c>
      <c r="R456" t="s">
        <v>48</v>
      </c>
      <c r="S456">
        <v>0</v>
      </c>
      <c r="T456" t="s">
        <v>47</v>
      </c>
    </row>
    <row r="457" spans="1:20" x14ac:dyDescent="0.35">
      <c r="A457" s="1" t="s">
        <v>965</v>
      </c>
      <c r="B457" t="s">
        <v>14</v>
      </c>
      <c r="C457" s="19">
        <v>1</v>
      </c>
      <c r="D457" t="s">
        <v>847</v>
      </c>
      <c r="E457">
        <v>1</v>
      </c>
      <c r="F457" t="s">
        <v>48</v>
      </c>
      <c r="G457">
        <v>0</v>
      </c>
      <c r="H457" t="s">
        <v>47</v>
      </c>
      <c r="I457">
        <v>0</v>
      </c>
      <c r="J457" t="s">
        <v>47</v>
      </c>
      <c r="K457">
        <v>0</v>
      </c>
      <c r="L457" t="s">
        <v>47</v>
      </c>
      <c r="M457">
        <v>0</v>
      </c>
      <c r="N457" t="s">
        <v>47</v>
      </c>
      <c r="O457">
        <v>0</v>
      </c>
      <c r="P457" t="s">
        <v>47</v>
      </c>
      <c r="Q457">
        <v>0</v>
      </c>
      <c r="R457" t="s">
        <v>47</v>
      </c>
      <c r="S457">
        <v>0</v>
      </c>
      <c r="T457" t="s">
        <v>47</v>
      </c>
    </row>
    <row r="458" spans="1:20" x14ac:dyDescent="0.35">
      <c r="A458" s="1" t="s">
        <v>966</v>
      </c>
      <c r="B458" t="s">
        <v>14</v>
      </c>
      <c r="C458" s="18">
        <v>1</v>
      </c>
      <c r="D458" t="s">
        <v>848</v>
      </c>
      <c r="E458">
        <v>0</v>
      </c>
      <c r="F458" t="s">
        <v>47</v>
      </c>
      <c r="G458">
        <v>0</v>
      </c>
      <c r="H458" t="s">
        <v>47</v>
      </c>
      <c r="I458">
        <v>0</v>
      </c>
      <c r="J458" t="s">
        <v>47</v>
      </c>
      <c r="K458">
        <v>0</v>
      </c>
      <c r="L458" t="s">
        <v>47</v>
      </c>
      <c r="M458">
        <v>0</v>
      </c>
      <c r="N458" t="s">
        <v>47</v>
      </c>
      <c r="O458">
        <v>1</v>
      </c>
      <c r="P458" t="s">
        <v>48</v>
      </c>
      <c r="Q458">
        <v>0</v>
      </c>
      <c r="R458" t="s">
        <v>47</v>
      </c>
      <c r="S458">
        <v>0</v>
      </c>
      <c r="T458" t="s">
        <v>47</v>
      </c>
    </row>
    <row r="459" spans="1:20" x14ac:dyDescent="0.35">
      <c r="A459" s="1" t="s">
        <v>967</v>
      </c>
      <c r="B459" t="s">
        <v>14</v>
      </c>
      <c r="C459" s="19">
        <v>1</v>
      </c>
      <c r="D459" t="s">
        <v>849</v>
      </c>
      <c r="E459">
        <v>1</v>
      </c>
      <c r="F459" t="s">
        <v>48</v>
      </c>
      <c r="G459">
        <v>0</v>
      </c>
      <c r="H459" t="s">
        <v>47</v>
      </c>
      <c r="I459">
        <v>0</v>
      </c>
      <c r="J459" t="s">
        <v>47</v>
      </c>
      <c r="K459">
        <v>0</v>
      </c>
      <c r="L459" t="s">
        <v>47</v>
      </c>
      <c r="M459">
        <v>1</v>
      </c>
      <c r="N459" t="s">
        <v>48</v>
      </c>
      <c r="O459">
        <v>0</v>
      </c>
      <c r="P459" t="s">
        <v>47</v>
      </c>
      <c r="Q459">
        <v>0</v>
      </c>
      <c r="R459" t="s">
        <v>47</v>
      </c>
      <c r="S459">
        <v>0</v>
      </c>
      <c r="T459" t="s">
        <v>47</v>
      </c>
    </row>
    <row r="460" spans="1:20" x14ac:dyDescent="0.35">
      <c r="A460" s="1" t="s">
        <v>968</v>
      </c>
      <c r="B460" t="s">
        <v>14</v>
      </c>
      <c r="C460" s="18">
        <v>1</v>
      </c>
      <c r="D460" t="s">
        <v>850</v>
      </c>
      <c r="E460">
        <v>1</v>
      </c>
      <c r="F460" t="s">
        <v>45</v>
      </c>
      <c r="G460">
        <v>0</v>
      </c>
      <c r="H460" t="s">
        <v>47</v>
      </c>
      <c r="I460">
        <v>0</v>
      </c>
      <c r="J460" t="s">
        <v>47</v>
      </c>
      <c r="K460">
        <v>0</v>
      </c>
      <c r="L460" t="s">
        <v>47</v>
      </c>
      <c r="M460">
        <v>0</v>
      </c>
      <c r="N460" t="s">
        <v>47</v>
      </c>
      <c r="O460">
        <v>0</v>
      </c>
      <c r="P460" t="s">
        <v>47</v>
      </c>
      <c r="Q460">
        <v>1</v>
      </c>
      <c r="R460" t="s">
        <v>45</v>
      </c>
      <c r="S460">
        <v>0</v>
      </c>
      <c r="T460" t="s">
        <v>47</v>
      </c>
    </row>
    <row r="461" spans="1:20" x14ac:dyDescent="0.35">
      <c r="A461" s="1" t="s">
        <v>969</v>
      </c>
      <c r="B461" t="s">
        <v>14</v>
      </c>
      <c r="C461" s="19">
        <v>3</v>
      </c>
      <c r="D461" t="s">
        <v>851</v>
      </c>
      <c r="E461">
        <v>1</v>
      </c>
      <c r="F461" t="s">
        <v>55</v>
      </c>
      <c r="G461">
        <v>0</v>
      </c>
      <c r="H461" t="s">
        <v>47</v>
      </c>
      <c r="I461">
        <v>0</v>
      </c>
      <c r="J461" t="s">
        <v>47</v>
      </c>
      <c r="K461">
        <v>0</v>
      </c>
      <c r="L461" t="s">
        <v>47</v>
      </c>
      <c r="M461">
        <v>0</v>
      </c>
      <c r="N461" t="s">
        <v>47</v>
      </c>
      <c r="O461">
        <v>0</v>
      </c>
      <c r="P461" t="s">
        <v>47</v>
      </c>
      <c r="Q461">
        <v>0</v>
      </c>
      <c r="R461" t="s">
        <v>47</v>
      </c>
      <c r="S461">
        <v>0</v>
      </c>
      <c r="T461" t="s">
        <v>47</v>
      </c>
    </row>
    <row r="462" spans="1:20" x14ac:dyDescent="0.35">
      <c r="A462" s="1" t="s">
        <v>976</v>
      </c>
      <c r="B462" t="s">
        <v>14</v>
      </c>
      <c r="C462" s="18">
        <v>1</v>
      </c>
      <c r="D462" t="s">
        <v>970</v>
      </c>
      <c r="E462">
        <v>1</v>
      </c>
      <c r="F462" t="s">
        <v>48</v>
      </c>
      <c r="G462">
        <v>0</v>
      </c>
      <c r="H462" t="s">
        <v>47</v>
      </c>
      <c r="I462">
        <v>0</v>
      </c>
      <c r="J462" t="s">
        <v>47</v>
      </c>
      <c r="K462">
        <v>0</v>
      </c>
      <c r="L462" t="s">
        <v>47</v>
      </c>
      <c r="M462">
        <v>0</v>
      </c>
      <c r="N462" t="s">
        <v>47</v>
      </c>
      <c r="O462">
        <v>0</v>
      </c>
      <c r="P462" t="s">
        <v>47</v>
      </c>
      <c r="Q462">
        <v>0</v>
      </c>
      <c r="R462" t="s">
        <v>47</v>
      </c>
      <c r="S462">
        <v>0</v>
      </c>
      <c r="T462" t="s">
        <v>47</v>
      </c>
    </row>
    <row r="463" spans="1:20" x14ac:dyDescent="0.35">
      <c r="A463" s="1" t="s">
        <v>977</v>
      </c>
      <c r="B463" t="s">
        <v>16</v>
      </c>
      <c r="C463" s="19">
        <v>1</v>
      </c>
      <c r="D463" t="s">
        <v>971</v>
      </c>
      <c r="E463">
        <v>0</v>
      </c>
      <c r="F463" t="s">
        <v>47</v>
      </c>
      <c r="G463">
        <v>0</v>
      </c>
      <c r="H463" t="s">
        <v>47</v>
      </c>
      <c r="I463">
        <v>0</v>
      </c>
      <c r="J463" t="s">
        <v>47</v>
      </c>
      <c r="K463">
        <v>0</v>
      </c>
      <c r="L463" t="s">
        <v>47</v>
      </c>
      <c r="M463">
        <v>0</v>
      </c>
      <c r="N463" t="s">
        <v>47</v>
      </c>
      <c r="O463">
        <v>1</v>
      </c>
      <c r="P463" t="s">
        <v>48</v>
      </c>
      <c r="Q463">
        <v>0</v>
      </c>
      <c r="R463" t="s">
        <v>47</v>
      </c>
      <c r="S463">
        <v>0</v>
      </c>
      <c r="T463" t="s">
        <v>47</v>
      </c>
    </row>
    <row r="464" spans="1:20" x14ac:dyDescent="0.35">
      <c r="A464" s="1" t="s">
        <v>978</v>
      </c>
      <c r="B464" t="s">
        <v>16</v>
      </c>
      <c r="C464" s="18">
        <v>1</v>
      </c>
      <c r="D464" t="s">
        <v>972</v>
      </c>
      <c r="E464">
        <v>0</v>
      </c>
      <c r="F464" t="s">
        <v>47</v>
      </c>
      <c r="G464">
        <v>0</v>
      </c>
      <c r="H464" t="s">
        <v>47</v>
      </c>
      <c r="I464">
        <v>1</v>
      </c>
      <c r="J464" t="s">
        <v>48</v>
      </c>
      <c r="K464">
        <v>0</v>
      </c>
      <c r="L464" t="s">
        <v>47</v>
      </c>
      <c r="M464">
        <v>0</v>
      </c>
      <c r="N464" t="s">
        <v>47</v>
      </c>
      <c r="O464">
        <v>0</v>
      </c>
      <c r="P464" t="s">
        <v>47</v>
      </c>
      <c r="Q464">
        <v>0</v>
      </c>
      <c r="R464" t="s">
        <v>47</v>
      </c>
      <c r="S464">
        <v>0</v>
      </c>
      <c r="T464" t="s">
        <v>47</v>
      </c>
    </row>
    <row r="465" spans="1:20" x14ac:dyDescent="0.35">
      <c r="A465" s="1" t="s">
        <v>979</v>
      </c>
      <c r="B465" t="s">
        <v>14</v>
      </c>
      <c r="C465" s="19">
        <v>2</v>
      </c>
      <c r="D465" t="s">
        <v>973</v>
      </c>
      <c r="E465">
        <v>1</v>
      </c>
      <c r="F465" t="s">
        <v>45</v>
      </c>
      <c r="G465">
        <v>0</v>
      </c>
      <c r="H465" t="s">
        <v>47</v>
      </c>
      <c r="I465">
        <v>0</v>
      </c>
      <c r="J465" t="s">
        <v>47</v>
      </c>
      <c r="K465">
        <v>0</v>
      </c>
      <c r="L465" t="s">
        <v>47</v>
      </c>
      <c r="M465">
        <v>1</v>
      </c>
      <c r="N465" t="s">
        <v>48</v>
      </c>
      <c r="O465">
        <v>0</v>
      </c>
      <c r="P465" t="s">
        <v>47</v>
      </c>
      <c r="Q465">
        <v>0</v>
      </c>
      <c r="R465" t="s">
        <v>47</v>
      </c>
      <c r="S465">
        <v>0</v>
      </c>
      <c r="T465" t="s">
        <v>47</v>
      </c>
    </row>
    <row r="466" spans="1:20" x14ac:dyDescent="0.35">
      <c r="A466" s="1" t="s">
        <v>980</v>
      </c>
      <c r="B466" t="s">
        <v>14</v>
      </c>
      <c r="C466" s="18">
        <v>2</v>
      </c>
      <c r="D466" t="s">
        <v>974</v>
      </c>
      <c r="E466">
        <v>0</v>
      </c>
      <c r="F466" t="s">
        <v>47</v>
      </c>
      <c r="G466">
        <v>1</v>
      </c>
      <c r="H466" t="s">
        <v>48</v>
      </c>
      <c r="I466">
        <v>0</v>
      </c>
      <c r="J466" t="s">
        <v>47</v>
      </c>
      <c r="K466">
        <v>1</v>
      </c>
      <c r="L466" t="s">
        <v>48</v>
      </c>
      <c r="M466">
        <v>0</v>
      </c>
      <c r="N466" t="s">
        <v>47</v>
      </c>
      <c r="O466">
        <v>0</v>
      </c>
      <c r="P466" t="s">
        <v>47</v>
      </c>
      <c r="Q466">
        <v>0</v>
      </c>
      <c r="R466" t="s">
        <v>47</v>
      </c>
      <c r="S466">
        <v>0</v>
      </c>
      <c r="T466" t="s">
        <v>47</v>
      </c>
    </row>
    <row r="467" spans="1:20" x14ac:dyDescent="0.35">
      <c r="A467" s="1" t="s">
        <v>981</v>
      </c>
      <c r="B467" t="s">
        <v>14</v>
      </c>
      <c r="C467" s="19">
        <v>1</v>
      </c>
      <c r="D467" t="s">
        <v>975</v>
      </c>
      <c r="E467">
        <v>0</v>
      </c>
      <c r="F467" t="s">
        <v>47</v>
      </c>
      <c r="G467">
        <v>1</v>
      </c>
      <c r="H467" t="s">
        <v>48</v>
      </c>
      <c r="I467">
        <v>0</v>
      </c>
      <c r="J467" t="s">
        <v>47</v>
      </c>
      <c r="K467">
        <v>0</v>
      </c>
      <c r="L467" t="s">
        <v>47</v>
      </c>
      <c r="M467">
        <v>0</v>
      </c>
      <c r="N467" t="s">
        <v>47</v>
      </c>
      <c r="O467">
        <v>0</v>
      </c>
      <c r="P467" t="s">
        <v>47</v>
      </c>
      <c r="Q467">
        <v>0</v>
      </c>
      <c r="R467" t="s">
        <v>47</v>
      </c>
      <c r="S467">
        <v>0</v>
      </c>
      <c r="T467" t="s">
        <v>47</v>
      </c>
    </row>
    <row r="468" spans="1:20" x14ac:dyDescent="0.35">
      <c r="A468" s="1" t="s">
        <v>988</v>
      </c>
      <c r="B468" t="s">
        <v>16</v>
      </c>
      <c r="C468" s="18">
        <v>3</v>
      </c>
      <c r="D468" t="s">
        <v>982</v>
      </c>
      <c r="E468">
        <v>0</v>
      </c>
      <c r="F468" t="s">
        <v>47</v>
      </c>
      <c r="G468">
        <v>1</v>
      </c>
      <c r="H468" t="s">
        <v>48</v>
      </c>
      <c r="I468">
        <v>0</v>
      </c>
      <c r="J468" t="s">
        <v>47</v>
      </c>
      <c r="K468">
        <v>0</v>
      </c>
      <c r="L468" t="s">
        <v>47</v>
      </c>
      <c r="M468">
        <v>0</v>
      </c>
      <c r="N468" t="s">
        <v>47</v>
      </c>
      <c r="O468">
        <v>0</v>
      </c>
      <c r="P468" t="s">
        <v>47</v>
      </c>
      <c r="Q468">
        <v>1</v>
      </c>
      <c r="R468" t="s">
        <v>45</v>
      </c>
      <c r="S468">
        <v>0</v>
      </c>
      <c r="T468" t="s">
        <v>47</v>
      </c>
    </row>
    <row r="469" spans="1:20" x14ac:dyDescent="0.35">
      <c r="A469" s="1" t="s">
        <v>989</v>
      </c>
      <c r="B469" t="s">
        <v>16</v>
      </c>
      <c r="C469" s="19">
        <v>1</v>
      </c>
      <c r="D469" t="s">
        <v>983</v>
      </c>
      <c r="E469">
        <v>1</v>
      </c>
      <c r="F469" t="s">
        <v>48</v>
      </c>
      <c r="G469">
        <v>0</v>
      </c>
      <c r="H469" t="s">
        <v>47</v>
      </c>
      <c r="I469">
        <v>0</v>
      </c>
      <c r="J469" t="s">
        <v>47</v>
      </c>
      <c r="K469">
        <v>0</v>
      </c>
      <c r="L469" t="s">
        <v>47</v>
      </c>
      <c r="M469">
        <v>0</v>
      </c>
      <c r="N469" t="s">
        <v>47</v>
      </c>
      <c r="O469">
        <v>0</v>
      </c>
      <c r="P469" t="s">
        <v>47</v>
      </c>
      <c r="Q469">
        <v>0</v>
      </c>
      <c r="R469" t="s">
        <v>47</v>
      </c>
      <c r="S469">
        <v>0</v>
      </c>
      <c r="T469" t="s">
        <v>47</v>
      </c>
    </row>
    <row r="470" spans="1:20" x14ac:dyDescent="0.35">
      <c r="A470" s="1" t="s">
        <v>990</v>
      </c>
      <c r="B470" t="s">
        <v>16</v>
      </c>
      <c r="C470" s="18">
        <v>1</v>
      </c>
      <c r="D470" t="s">
        <v>984</v>
      </c>
      <c r="E470">
        <v>0</v>
      </c>
      <c r="F470" t="s">
        <v>47</v>
      </c>
      <c r="G470">
        <v>0</v>
      </c>
      <c r="H470" t="s">
        <v>47</v>
      </c>
      <c r="I470">
        <v>0</v>
      </c>
      <c r="J470" t="s">
        <v>47</v>
      </c>
      <c r="K470">
        <v>0</v>
      </c>
      <c r="L470" t="s">
        <v>47</v>
      </c>
      <c r="M470">
        <v>0</v>
      </c>
      <c r="N470" t="s">
        <v>47</v>
      </c>
      <c r="O470">
        <v>0</v>
      </c>
      <c r="P470" t="s">
        <v>47</v>
      </c>
      <c r="Q470">
        <v>1</v>
      </c>
      <c r="R470" t="s">
        <v>48</v>
      </c>
      <c r="S470">
        <v>0</v>
      </c>
      <c r="T470" t="s">
        <v>47</v>
      </c>
    </row>
    <row r="471" spans="1:20" x14ac:dyDescent="0.35">
      <c r="A471" s="1" t="s">
        <v>991</v>
      </c>
      <c r="B471" t="s">
        <v>14</v>
      </c>
      <c r="C471" s="19">
        <v>1</v>
      </c>
      <c r="D471" t="s">
        <v>985</v>
      </c>
      <c r="E471">
        <v>0</v>
      </c>
      <c r="F471" t="s">
        <v>47</v>
      </c>
      <c r="G471">
        <v>1</v>
      </c>
      <c r="H471" t="s">
        <v>48</v>
      </c>
      <c r="I471">
        <v>0</v>
      </c>
      <c r="J471" t="s">
        <v>47</v>
      </c>
      <c r="K471">
        <v>0</v>
      </c>
      <c r="L471" t="s">
        <v>47</v>
      </c>
      <c r="M471">
        <v>0</v>
      </c>
      <c r="N471" t="s">
        <v>47</v>
      </c>
      <c r="O471">
        <v>0</v>
      </c>
      <c r="P471" t="s">
        <v>47</v>
      </c>
      <c r="Q471">
        <v>0</v>
      </c>
      <c r="R471" t="s">
        <v>47</v>
      </c>
      <c r="S471">
        <v>0</v>
      </c>
      <c r="T471" t="s">
        <v>47</v>
      </c>
    </row>
    <row r="472" spans="1:20" x14ac:dyDescent="0.35">
      <c r="A472" s="1" t="s">
        <v>992</v>
      </c>
      <c r="B472" t="s">
        <v>16</v>
      </c>
      <c r="C472" s="18">
        <v>1</v>
      </c>
      <c r="D472" t="s">
        <v>986</v>
      </c>
      <c r="E472">
        <v>0</v>
      </c>
      <c r="F472" t="s">
        <v>47</v>
      </c>
      <c r="G472">
        <v>0</v>
      </c>
      <c r="H472" t="s">
        <v>47</v>
      </c>
      <c r="I472">
        <v>0</v>
      </c>
      <c r="J472" t="s">
        <v>47</v>
      </c>
      <c r="K472">
        <v>0</v>
      </c>
      <c r="L472" t="s">
        <v>47</v>
      </c>
      <c r="M472">
        <v>0</v>
      </c>
      <c r="N472" t="s">
        <v>47</v>
      </c>
      <c r="O472">
        <v>0</v>
      </c>
      <c r="P472" t="s">
        <v>47</v>
      </c>
      <c r="Q472">
        <v>1</v>
      </c>
      <c r="R472" t="s">
        <v>48</v>
      </c>
      <c r="S472">
        <v>0</v>
      </c>
      <c r="T472" t="s">
        <v>47</v>
      </c>
    </row>
    <row r="473" spans="1:20" x14ac:dyDescent="0.35">
      <c r="A473" s="1" t="s">
        <v>993</v>
      </c>
      <c r="B473" t="s">
        <v>16</v>
      </c>
      <c r="C473" s="19">
        <v>1</v>
      </c>
      <c r="D473" t="s">
        <v>987</v>
      </c>
      <c r="E473">
        <v>0</v>
      </c>
      <c r="F473" t="s">
        <v>47</v>
      </c>
      <c r="G473">
        <v>0</v>
      </c>
      <c r="H473" t="s">
        <v>47</v>
      </c>
      <c r="I473">
        <v>0</v>
      </c>
      <c r="J473" t="s">
        <v>47</v>
      </c>
      <c r="K473">
        <v>0</v>
      </c>
      <c r="L473" t="s">
        <v>47</v>
      </c>
      <c r="M473">
        <v>0</v>
      </c>
      <c r="N473" t="s">
        <v>47</v>
      </c>
      <c r="O473">
        <v>1</v>
      </c>
      <c r="P473" t="s">
        <v>48</v>
      </c>
      <c r="Q473">
        <v>0</v>
      </c>
      <c r="R473" t="s">
        <v>47</v>
      </c>
      <c r="S473">
        <v>0</v>
      </c>
      <c r="T473" t="s">
        <v>47</v>
      </c>
    </row>
    <row r="474" spans="1:20" x14ac:dyDescent="0.35">
      <c r="A474" s="1" t="s">
        <v>1059</v>
      </c>
      <c r="B474" t="s">
        <v>14</v>
      </c>
      <c r="C474" s="18">
        <v>2</v>
      </c>
      <c r="D474" t="s">
        <v>994</v>
      </c>
      <c r="E474">
        <v>1</v>
      </c>
      <c r="F474" t="s">
        <v>48</v>
      </c>
      <c r="G474">
        <v>0</v>
      </c>
      <c r="H474" t="s">
        <v>47</v>
      </c>
      <c r="I474">
        <v>0</v>
      </c>
      <c r="J474" t="s">
        <v>47</v>
      </c>
      <c r="K474">
        <v>0</v>
      </c>
      <c r="L474" t="s">
        <v>47</v>
      </c>
      <c r="M474">
        <v>0</v>
      </c>
      <c r="N474" t="s">
        <v>47</v>
      </c>
      <c r="O474">
        <v>1</v>
      </c>
      <c r="P474" t="s">
        <v>45</v>
      </c>
      <c r="Q474">
        <v>0</v>
      </c>
      <c r="R474" t="s">
        <v>47</v>
      </c>
      <c r="S474">
        <v>0</v>
      </c>
      <c r="T474" t="s">
        <v>47</v>
      </c>
    </row>
    <row r="475" spans="1:20" x14ac:dyDescent="0.35">
      <c r="A475" s="1" t="s">
        <v>1060</v>
      </c>
      <c r="B475" t="s">
        <v>14</v>
      </c>
      <c r="C475" s="19">
        <v>1</v>
      </c>
      <c r="D475" t="s">
        <v>995</v>
      </c>
      <c r="E475">
        <v>0</v>
      </c>
      <c r="F475" t="s">
        <v>47</v>
      </c>
      <c r="G475">
        <v>0</v>
      </c>
      <c r="H475" t="s">
        <v>47</v>
      </c>
      <c r="I475">
        <v>0</v>
      </c>
      <c r="J475" t="s">
        <v>47</v>
      </c>
      <c r="K475">
        <v>0</v>
      </c>
      <c r="L475" t="s">
        <v>47</v>
      </c>
      <c r="M475">
        <v>0</v>
      </c>
      <c r="N475" t="s">
        <v>47</v>
      </c>
      <c r="O475">
        <v>1</v>
      </c>
      <c r="P475" t="s">
        <v>48</v>
      </c>
      <c r="Q475">
        <v>0</v>
      </c>
      <c r="R475" t="s">
        <v>47</v>
      </c>
      <c r="S475">
        <v>0</v>
      </c>
      <c r="T475" t="s">
        <v>47</v>
      </c>
    </row>
    <row r="476" spans="1:20" x14ac:dyDescent="0.35">
      <c r="A476" s="1" t="s">
        <v>1061</v>
      </c>
      <c r="B476" t="s">
        <v>16</v>
      </c>
      <c r="C476" s="18">
        <v>1</v>
      </c>
      <c r="D476" t="s">
        <v>996</v>
      </c>
      <c r="E476">
        <v>0</v>
      </c>
      <c r="F476" t="s">
        <v>47</v>
      </c>
      <c r="G476">
        <v>1</v>
      </c>
      <c r="H476" t="s">
        <v>48</v>
      </c>
      <c r="I476">
        <v>0</v>
      </c>
      <c r="J476" t="s">
        <v>47</v>
      </c>
      <c r="K476">
        <v>0</v>
      </c>
      <c r="L476" t="s">
        <v>47</v>
      </c>
      <c r="M476">
        <v>1</v>
      </c>
      <c r="N476" t="s">
        <v>48</v>
      </c>
      <c r="O476">
        <v>0</v>
      </c>
      <c r="P476" t="s">
        <v>47</v>
      </c>
      <c r="Q476">
        <v>0</v>
      </c>
      <c r="R476" t="s">
        <v>47</v>
      </c>
      <c r="S476">
        <v>0</v>
      </c>
      <c r="T476" t="s">
        <v>47</v>
      </c>
    </row>
    <row r="477" spans="1:20" x14ac:dyDescent="0.35">
      <c r="A477" s="1" t="s">
        <v>1062</v>
      </c>
      <c r="B477" t="s">
        <v>14</v>
      </c>
      <c r="C477" s="19">
        <v>1</v>
      </c>
      <c r="D477" t="s">
        <v>997</v>
      </c>
      <c r="E477">
        <v>0</v>
      </c>
      <c r="F477" t="s">
        <v>47</v>
      </c>
      <c r="G477">
        <v>1</v>
      </c>
      <c r="H477" t="s">
        <v>48</v>
      </c>
      <c r="I477">
        <v>0</v>
      </c>
      <c r="J477" t="s">
        <v>47</v>
      </c>
      <c r="K477">
        <v>0</v>
      </c>
      <c r="L477" t="s">
        <v>47</v>
      </c>
      <c r="M477">
        <v>0</v>
      </c>
      <c r="N477" t="s">
        <v>47</v>
      </c>
      <c r="O477">
        <v>0</v>
      </c>
      <c r="P477" t="s">
        <v>47</v>
      </c>
      <c r="Q477">
        <v>0</v>
      </c>
      <c r="R477" t="s">
        <v>47</v>
      </c>
      <c r="S477">
        <v>0</v>
      </c>
      <c r="T477" t="s">
        <v>47</v>
      </c>
    </row>
    <row r="478" spans="1:20" x14ac:dyDescent="0.35">
      <c r="A478" s="1" t="s">
        <v>1063</v>
      </c>
      <c r="B478" t="s">
        <v>14</v>
      </c>
      <c r="C478" s="18">
        <v>1</v>
      </c>
      <c r="D478" t="s">
        <v>998</v>
      </c>
      <c r="E478">
        <v>0</v>
      </c>
      <c r="F478" t="s">
        <v>47</v>
      </c>
      <c r="G478">
        <v>0</v>
      </c>
      <c r="H478" t="s">
        <v>47</v>
      </c>
      <c r="I478">
        <v>0</v>
      </c>
      <c r="J478" t="s">
        <v>47</v>
      </c>
      <c r="K478">
        <v>0</v>
      </c>
      <c r="L478" t="s">
        <v>47</v>
      </c>
      <c r="M478">
        <v>0</v>
      </c>
      <c r="N478" t="s">
        <v>47</v>
      </c>
      <c r="O478">
        <v>0</v>
      </c>
      <c r="P478" t="s">
        <v>47</v>
      </c>
      <c r="Q478">
        <v>1</v>
      </c>
      <c r="R478" t="s">
        <v>48</v>
      </c>
      <c r="S478">
        <v>0</v>
      </c>
      <c r="T478" t="s">
        <v>47</v>
      </c>
    </row>
    <row r="479" spans="1:20" x14ac:dyDescent="0.35">
      <c r="A479" s="1" t="s">
        <v>1064</v>
      </c>
      <c r="B479" t="s">
        <v>14</v>
      </c>
      <c r="C479" s="19">
        <v>2</v>
      </c>
      <c r="D479" t="s">
        <v>999</v>
      </c>
      <c r="E479">
        <v>0</v>
      </c>
      <c r="F479" t="s">
        <v>47</v>
      </c>
      <c r="G479">
        <v>1</v>
      </c>
      <c r="H479" t="s">
        <v>48</v>
      </c>
      <c r="I479">
        <v>0</v>
      </c>
      <c r="J479" t="s">
        <v>47</v>
      </c>
      <c r="K479">
        <v>0</v>
      </c>
      <c r="L479" t="s">
        <v>47</v>
      </c>
      <c r="M479">
        <v>0</v>
      </c>
      <c r="N479" t="s">
        <v>47</v>
      </c>
      <c r="O479">
        <v>0</v>
      </c>
      <c r="P479" t="s">
        <v>47</v>
      </c>
      <c r="Q479">
        <v>0</v>
      </c>
      <c r="R479" t="s">
        <v>47</v>
      </c>
      <c r="S479">
        <v>0</v>
      </c>
      <c r="T479" t="s">
        <v>47</v>
      </c>
    </row>
    <row r="480" spans="1:20" x14ac:dyDescent="0.35">
      <c r="A480" s="1" t="s">
        <v>1065</v>
      </c>
      <c r="B480" t="s">
        <v>16</v>
      </c>
      <c r="C480">
        <v>2</v>
      </c>
      <c r="D480" t="s">
        <v>1000</v>
      </c>
      <c r="E480">
        <v>0</v>
      </c>
      <c r="F480" t="s">
        <v>47</v>
      </c>
      <c r="G480">
        <v>0</v>
      </c>
      <c r="H480" t="s">
        <v>47</v>
      </c>
      <c r="I480">
        <v>0</v>
      </c>
      <c r="J480" t="s">
        <v>47</v>
      </c>
      <c r="K480">
        <v>0</v>
      </c>
      <c r="L480" t="s">
        <v>47</v>
      </c>
      <c r="M480">
        <v>1</v>
      </c>
      <c r="N480" t="s">
        <v>48</v>
      </c>
      <c r="O480">
        <v>0</v>
      </c>
      <c r="P480" t="s">
        <v>47</v>
      </c>
      <c r="Q480">
        <v>0</v>
      </c>
      <c r="R480" t="s">
        <v>47</v>
      </c>
      <c r="S480">
        <v>0</v>
      </c>
      <c r="T480" t="s">
        <v>47</v>
      </c>
    </row>
    <row r="481" spans="1:20" x14ac:dyDescent="0.35">
      <c r="A481" s="1" t="s">
        <v>1066</v>
      </c>
      <c r="B481" t="s">
        <v>16</v>
      </c>
      <c r="C481">
        <v>1</v>
      </c>
      <c r="D481" t="s">
        <v>1001</v>
      </c>
      <c r="E481">
        <v>0</v>
      </c>
      <c r="F481" t="s">
        <v>47</v>
      </c>
      <c r="G481">
        <v>0</v>
      </c>
      <c r="H481" t="s">
        <v>47</v>
      </c>
      <c r="I481">
        <v>0</v>
      </c>
      <c r="J481" t="s">
        <v>47</v>
      </c>
      <c r="K481">
        <v>1</v>
      </c>
      <c r="L481" t="s">
        <v>48</v>
      </c>
      <c r="M481">
        <v>0</v>
      </c>
      <c r="N481" t="s">
        <v>47</v>
      </c>
      <c r="O481">
        <v>0</v>
      </c>
      <c r="P481" t="s">
        <v>47</v>
      </c>
      <c r="Q481">
        <v>0</v>
      </c>
      <c r="R481" t="s">
        <v>47</v>
      </c>
      <c r="S481">
        <v>0</v>
      </c>
      <c r="T481" t="s">
        <v>47</v>
      </c>
    </row>
    <row r="482" spans="1:20" x14ac:dyDescent="0.35">
      <c r="A482" s="1" t="s">
        <v>1067</v>
      </c>
      <c r="B482" t="s">
        <v>14</v>
      </c>
      <c r="C482" s="19">
        <v>3</v>
      </c>
      <c r="D482" t="s">
        <v>1002</v>
      </c>
      <c r="E482">
        <v>1</v>
      </c>
      <c r="F482" t="s">
        <v>45</v>
      </c>
      <c r="G482">
        <v>1</v>
      </c>
      <c r="H482" t="s">
        <v>48</v>
      </c>
      <c r="I482">
        <v>0</v>
      </c>
      <c r="J482" t="s">
        <v>47</v>
      </c>
      <c r="K482">
        <v>0</v>
      </c>
      <c r="L482" t="s">
        <v>47</v>
      </c>
      <c r="M482">
        <v>0</v>
      </c>
      <c r="N482" t="s">
        <v>47</v>
      </c>
      <c r="O482">
        <v>0</v>
      </c>
      <c r="P482" t="s">
        <v>47</v>
      </c>
      <c r="Q482">
        <v>0</v>
      </c>
      <c r="R482" t="s">
        <v>47</v>
      </c>
      <c r="S482">
        <v>0</v>
      </c>
      <c r="T482" t="s">
        <v>47</v>
      </c>
    </row>
    <row r="483" spans="1:20" x14ac:dyDescent="0.35">
      <c r="A483" s="1" t="s">
        <v>1068</v>
      </c>
      <c r="B483" t="s">
        <v>16</v>
      </c>
      <c r="C483" s="18">
        <v>1</v>
      </c>
      <c r="D483" t="s">
        <v>1003</v>
      </c>
      <c r="E483">
        <v>0</v>
      </c>
      <c r="F483" t="s">
        <v>47</v>
      </c>
      <c r="G483">
        <v>1</v>
      </c>
      <c r="H483" t="s">
        <v>48</v>
      </c>
      <c r="I483">
        <v>0</v>
      </c>
      <c r="J483" t="s">
        <v>47</v>
      </c>
      <c r="K483">
        <v>0</v>
      </c>
      <c r="L483" t="s">
        <v>47</v>
      </c>
      <c r="M483">
        <v>0</v>
      </c>
      <c r="N483" t="s">
        <v>47</v>
      </c>
      <c r="O483">
        <v>1</v>
      </c>
      <c r="P483" t="s">
        <v>48</v>
      </c>
      <c r="Q483">
        <v>0</v>
      </c>
      <c r="R483" t="s">
        <v>47</v>
      </c>
      <c r="S483">
        <v>0</v>
      </c>
      <c r="T483" t="s">
        <v>47</v>
      </c>
    </row>
    <row r="484" spans="1:20" x14ac:dyDescent="0.35">
      <c r="A484" s="1" t="s">
        <v>1069</v>
      </c>
      <c r="B484" t="s">
        <v>16</v>
      </c>
      <c r="C484" s="19">
        <v>2</v>
      </c>
      <c r="D484" t="s">
        <v>1004</v>
      </c>
      <c r="E484">
        <v>0</v>
      </c>
      <c r="F484" t="s">
        <v>47</v>
      </c>
      <c r="G484">
        <v>0</v>
      </c>
      <c r="H484" t="s">
        <v>47</v>
      </c>
      <c r="I484">
        <v>0</v>
      </c>
      <c r="J484" t="s">
        <v>47</v>
      </c>
      <c r="K484">
        <v>0</v>
      </c>
      <c r="L484" t="s">
        <v>47</v>
      </c>
      <c r="M484">
        <v>0</v>
      </c>
      <c r="N484" t="s">
        <v>47</v>
      </c>
      <c r="O484">
        <v>0</v>
      </c>
      <c r="P484" t="s">
        <v>47</v>
      </c>
      <c r="Q484">
        <v>1</v>
      </c>
      <c r="R484" t="s">
        <v>55</v>
      </c>
      <c r="S484">
        <v>0</v>
      </c>
      <c r="T484" t="s">
        <v>47</v>
      </c>
    </row>
    <row r="485" spans="1:20" x14ac:dyDescent="0.35">
      <c r="A485" s="1" t="s">
        <v>1070</v>
      </c>
      <c r="B485" t="s">
        <v>14</v>
      </c>
      <c r="C485" s="18">
        <v>1</v>
      </c>
      <c r="D485" t="s">
        <v>1005</v>
      </c>
      <c r="E485">
        <v>1</v>
      </c>
      <c r="F485" t="s">
        <v>48</v>
      </c>
      <c r="G485">
        <v>0</v>
      </c>
      <c r="H485" t="s">
        <v>47</v>
      </c>
      <c r="I485">
        <v>0</v>
      </c>
      <c r="J485" t="s">
        <v>47</v>
      </c>
      <c r="K485">
        <v>0</v>
      </c>
      <c r="L485" t="s">
        <v>47</v>
      </c>
      <c r="M485">
        <v>0</v>
      </c>
      <c r="N485" t="s">
        <v>47</v>
      </c>
      <c r="O485">
        <v>0</v>
      </c>
      <c r="P485" t="s">
        <v>47</v>
      </c>
      <c r="Q485">
        <v>1</v>
      </c>
      <c r="R485" t="s">
        <v>48</v>
      </c>
      <c r="S485">
        <v>0</v>
      </c>
      <c r="T485" t="s">
        <v>47</v>
      </c>
    </row>
    <row r="486" spans="1:20" x14ac:dyDescent="0.35">
      <c r="A486" s="1" t="s">
        <v>1071</v>
      </c>
      <c r="B486" t="s">
        <v>14</v>
      </c>
      <c r="C486" s="19">
        <v>3</v>
      </c>
      <c r="D486" t="s">
        <v>1006</v>
      </c>
      <c r="E486">
        <v>0</v>
      </c>
      <c r="F486" t="s">
        <v>47</v>
      </c>
      <c r="G486">
        <v>0</v>
      </c>
      <c r="H486" t="s">
        <v>47</v>
      </c>
      <c r="I486">
        <v>0</v>
      </c>
      <c r="J486" t="s">
        <v>47</v>
      </c>
      <c r="K486">
        <v>0</v>
      </c>
      <c r="L486" t="s">
        <v>47</v>
      </c>
      <c r="M486">
        <v>1</v>
      </c>
      <c r="N486" t="s">
        <v>48</v>
      </c>
      <c r="O486">
        <v>0</v>
      </c>
      <c r="P486" t="s">
        <v>47</v>
      </c>
      <c r="Q486">
        <v>0</v>
      </c>
      <c r="R486" t="s">
        <v>47</v>
      </c>
      <c r="S486">
        <v>0</v>
      </c>
      <c r="T486" t="s">
        <v>47</v>
      </c>
    </row>
    <row r="487" spans="1:20" x14ac:dyDescent="0.35">
      <c r="A487" s="1" t="s">
        <v>1072</v>
      </c>
      <c r="B487" t="s">
        <v>14</v>
      </c>
      <c r="C487" s="18">
        <v>1</v>
      </c>
      <c r="D487" t="s">
        <v>1007</v>
      </c>
      <c r="E487">
        <v>1</v>
      </c>
      <c r="F487" t="s">
        <v>48</v>
      </c>
      <c r="G487">
        <v>1</v>
      </c>
      <c r="H487" t="s">
        <v>48</v>
      </c>
      <c r="I487">
        <v>0</v>
      </c>
      <c r="J487" t="s">
        <v>47</v>
      </c>
      <c r="K487">
        <v>0</v>
      </c>
      <c r="L487" t="s">
        <v>47</v>
      </c>
      <c r="M487">
        <v>1</v>
      </c>
      <c r="N487" t="s">
        <v>48</v>
      </c>
      <c r="O487">
        <v>0</v>
      </c>
      <c r="P487" t="s">
        <v>47</v>
      </c>
      <c r="Q487">
        <v>0</v>
      </c>
      <c r="R487" t="s">
        <v>47</v>
      </c>
      <c r="S487">
        <v>0</v>
      </c>
      <c r="T487" t="s">
        <v>47</v>
      </c>
    </row>
    <row r="488" spans="1:20" x14ac:dyDescent="0.35">
      <c r="A488" s="1" t="s">
        <v>1073</v>
      </c>
      <c r="B488" t="s">
        <v>16</v>
      </c>
      <c r="C488" s="19">
        <v>1</v>
      </c>
      <c r="D488" t="s">
        <v>1008</v>
      </c>
      <c r="E488">
        <v>0</v>
      </c>
      <c r="F488" t="s">
        <v>47</v>
      </c>
      <c r="G488">
        <v>1</v>
      </c>
      <c r="H488" t="s">
        <v>48</v>
      </c>
      <c r="I488">
        <v>0</v>
      </c>
      <c r="J488" t="s">
        <v>47</v>
      </c>
      <c r="K488">
        <v>0</v>
      </c>
      <c r="L488" t="s">
        <v>47</v>
      </c>
      <c r="M488">
        <v>0</v>
      </c>
      <c r="N488" t="s">
        <v>47</v>
      </c>
      <c r="O488">
        <v>0</v>
      </c>
      <c r="P488" t="s">
        <v>47</v>
      </c>
      <c r="Q488">
        <v>0</v>
      </c>
      <c r="R488" t="s">
        <v>47</v>
      </c>
      <c r="S488">
        <v>0</v>
      </c>
      <c r="T488" t="s">
        <v>47</v>
      </c>
    </row>
    <row r="489" spans="1:20" x14ac:dyDescent="0.35">
      <c r="A489" s="1" t="s">
        <v>1074</v>
      </c>
      <c r="B489" t="s">
        <v>14</v>
      </c>
      <c r="C489" s="18">
        <v>1</v>
      </c>
      <c r="D489" t="s">
        <v>1009</v>
      </c>
      <c r="E489">
        <v>0</v>
      </c>
      <c r="F489" t="s">
        <v>47</v>
      </c>
      <c r="G489">
        <v>1</v>
      </c>
      <c r="H489" t="s">
        <v>48</v>
      </c>
      <c r="I489">
        <v>0</v>
      </c>
      <c r="J489" t="s">
        <v>47</v>
      </c>
      <c r="K489">
        <v>0</v>
      </c>
      <c r="L489" t="s">
        <v>47</v>
      </c>
      <c r="M489">
        <v>0</v>
      </c>
      <c r="N489" t="s">
        <v>47</v>
      </c>
      <c r="O489">
        <v>0</v>
      </c>
      <c r="P489" t="s">
        <v>47</v>
      </c>
      <c r="Q489">
        <v>0</v>
      </c>
      <c r="R489" t="s">
        <v>47</v>
      </c>
      <c r="S489">
        <v>0</v>
      </c>
      <c r="T489" t="s">
        <v>47</v>
      </c>
    </row>
    <row r="490" spans="1:20" x14ac:dyDescent="0.35">
      <c r="A490" s="1" t="s">
        <v>1075</v>
      </c>
      <c r="B490" t="s">
        <v>16</v>
      </c>
      <c r="C490" s="19">
        <v>2</v>
      </c>
      <c r="D490" t="s">
        <v>1010</v>
      </c>
      <c r="E490">
        <v>1</v>
      </c>
      <c r="F490" t="s">
        <v>48</v>
      </c>
      <c r="G490">
        <v>1</v>
      </c>
      <c r="H490" t="s">
        <v>48</v>
      </c>
      <c r="I490">
        <v>0</v>
      </c>
      <c r="J490" t="s">
        <v>47</v>
      </c>
      <c r="K490">
        <v>0</v>
      </c>
      <c r="L490" t="s">
        <v>47</v>
      </c>
      <c r="M490">
        <v>0</v>
      </c>
      <c r="N490" t="s">
        <v>47</v>
      </c>
      <c r="O490">
        <v>0</v>
      </c>
      <c r="P490" t="s">
        <v>47</v>
      </c>
      <c r="Q490">
        <v>0</v>
      </c>
      <c r="R490" t="s">
        <v>47</v>
      </c>
      <c r="S490">
        <v>0</v>
      </c>
      <c r="T490" t="s">
        <v>47</v>
      </c>
    </row>
    <row r="491" spans="1:20" x14ac:dyDescent="0.35">
      <c r="A491" s="1" t="s">
        <v>1076</v>
      </c>
      <c r="B491" t="s">
        <v>16</v>
      </c>
      <c r="C491" s="18">
        <v>1</v>
      </c>
      <c r="D491" t="s">
        <v>1011</v>
      </c>
      <c r="E491">
        <v>0</v>
      </c>
      <c r="F491" t="s">
        <v>47</v>
      </c>
      <c r="G491">
        <v>0</v>
      </c>
      <c r="H491" t="s">
        <v>47</v>
      </c>
      <c r="I491">
        <v>0</v>
      </c>
      <c r="J491" t="s">
        <v>47</v>
      </c>
      <c r="K491">
        <v>0</v>
      </c>
      <c r="L491" t="s">
        <v>47</v>
      </c>
      <c r="M491">
        <v>0</v>
      </c>
      <c r="N491" t="s">
        <v>47</v>
      </c>
      <c r="O491">
        <v>1</v>
      </c>
      <c r="P491" t="s">
        <v>48</v>
      </c>
      <c r="Q491">
        <v>0</v>
      </c>
      <c r="R491" t="s">
        <v>47</v>
      </c>
      <c r="S491">
        <v>0</v>
      </c>
      <c r="T491" t="s">
        <v>47</v>
      </c>
    </row>
    <row r="492" spans="1:20" x14ac:dyDescent="0.35">
      <c r="A492" s="1" t="s">
        <v>1077</v>
      </c>
      <c r="B492" t="s">
        <v>14</v>
      </c>
      <c r="C492" s="19">
        <v>2</v>
      </c>
      <c r="D492" t="s">
        <v>1012</v>
      </c>
      <c r="E492">
        <v>0</v>
      </c>
      <c r="F492" t="s">
        <v>47</v>
      </c>
      <c r="G492">
        <v>0</v>
      </c>
      <c r="H492" t="s">
        <v>47</v>
      </c>
      <c r="I492">
        <v>0</v>
      </c>
      <c r="J492" t="s">
        <v>47</v>
      </c>
      <c r="K492">
        <v>0</v>
      </c>
      <c r="L492" t="s">
        <v>47</v>
      </c>
      <c r="M492">
        <v>1</v>
      </c>
      <c r="N492" t="s">
        <v>48</v>
      </c>
      <c r="O492">
        <v>0</v>
      </c>
      <c r="P492" t="s">
        <v>47</v>
      </c>
      <c r="Q492">
        <v>0</v>
      </c>
      <c r="R492" t="s">
        <v>47</v>
      </c>
      <c r="S492">
        <v>0</v>
      </c>
      <c r="T492" t="s">
        <v>47</v>
      </c>
    </row>
    <row r="493" spans="1:20" x14ac:dyDescent="0.35">
      <c r="A493" s="1" t="s">
        <v>1078</v>
      </c>
      <c r="B493" t="s">
        <v>14</v>
      </c>
      <c r="C493">
        <v>2</v>
      </c>
      <c r="D493" t="s">
        <v>1013</v>
      </c>
      <c r="E493">
        <v>0</v>
      </c>
      <c r="F493" t="s">
        <v>47</v>
      </c>
      <c r="G493">
        <v>0</v>
      </c>
      <c r="H493" t="s">
        <v>47</v>
      </c>
      <c r="I493">
        <v>0</v>
      </c>
      <c r="J493" t="s">
        <v>47</v>
      </c>
      <c r="K493">
        <v>0</v>
      </c>
      <c r="L493" t="s">
        <v>47</v>
      </c>
      <c r="M493">
        <v>0</v>
      </c>
      <c r="N493" t="s">
        <v>47</v>
      </c>
      <c r="O493">
        <v>0</v>
      </c>
      <c r="P493" t="s">
        <v>47</v>
      </c>
      <c r="Q493">
        <v>0</v>
      </c>
      <c r="R493" t="s">
        <v>47</v>
      </c>
      <c r="S493">
        <v>1</v>
      </c>
      <c r="T493" t="s">
        <v>48</v>
      </c>
    </row>
    <row r="494" spans="1:20" x14ac:dyDescent="0.35">
      <c r="A494" s="1" t="s">
        <v>1079</v>
      </c>
      <c r="B494" t="s">
        <v>14</v>
      </c>
      <c r="C494">
        <v>3</v>
      </c>
      <c r="D494" t="s">
        <v>1014</v>
      </c>
      <c r="E494">
        <v>0</v>
      </c>
      <c r="F494" t="s">
        <v>47</v>
      </c>
      <c r="G494">
        <v>0</v>
      </c>
      <c r="H494" t="s">
        <v>47</v>
      </c>
      <c r="I494">
        <v>0</v>
      </c>
      <c r="J494" t="s">
        <v>47</v>
      </c>
      <c r="K494">
        <v>0</v>
      </c>
      <c r="L494" t="s">
        <v>47</v>
      </c>
      <c r="M494">
        <v>0</v>
      </c>
      <c r="N494" t="s">
        <v>47</v>
      </c>
      <c r="O494">
        <v>0</v>
      </c>
      <c r="P494" t="s">
        <v>47</v>
      </c>
      <c r="Q494">
        <v>1</v>
      </c>
      <c r="R494" t="s">
        <v>45</v>
      </c>
      <c r="S494">
        <v>0</v>
      </c>
      <c r="T494" t="s">
        <v>47</v>
      </c>
    </row>
    <row r="495" spans="1:20" x14ac:dyDescent="0.35">
      <c r="A495" s="1" t="s">
        <v>1080</v>
      </c>
      <c r="B495" t="s">
        <v>14</v>
      </c>
      <c r="C495" s="18">
        <v>3</v>
      </c>
      <c r="D495" t="s">
        <v>1015</v>
      </c>
      <c r="E495">
        <v>0</v>
      </c>
      <c r="F495" t="s">
        <v>47</v>
      </c>
      <c r="G495">
        <v>0</v>
      </c>
      <c r="H495" t="s">
        <v>47</v>
      </c>
      <c r="I495">
        <v>0</v>
      </c>
      <c r="J495" t="s">
        <v>47</v>
      </c>
      <c r="K495">
        <v>0</v>
      </c>
      <c r="L495" t="s">
        <v>47</v>
      </c>
      <c r="M495">
        <v>0</v>
      </c>
      <c r="N495" t="s">
        <v>47</v>
      </c>
      <c r="O495">
        <v>0</v>
      </c>
      <c r="P495" t="s">
        <v>47</v>
      </c>
      <c r="Q495">
        <v>1</v>
      </c>
      <c r="R495" t="s">
        <v>48</v>
      </c>
      <c r="S495">
        <v>0</v>
      </c>
      <c r="T495" t="s">
        <v>47</v>
      </c>
    </row>
    <row r="496" spans="1:20" x14ac:dyDescent="0.35">
      <c r="A496" s="1" t="s">
        <v>1081</v>
      </c>
      <c r="B496" t="s">
        <v>14</v>
      </c>
      <c r="C496" s="19">
        <v>2</v>
      </c>
      <c r="D496" t="s">
        <v>1016</v>
      </c>
      <c r="E496">
        <v>0</v>
      </c>
      <c r="F496" t="s">
        <v>47</v>
      </c>
      <c r="G496">
        <v>0</v>
      </c>
      <c r="H496" t="s">
        <v>47</v>
      </c>
      <c r="I496">
        <v>0</v>
      </c>
      <c r="J496" t="s">
        <v>47</v>
      </c>
      <c r="K496">
        <v>0</v>
      </c>
      <c r="L496" t="s">
        <v>47</v>
      </c>
      <c r="M496">
        <v>1</v>
      </c>
      <c r="N496" t="s">
        <v>48</v>
      </c>
      <c r="O496">
        <v>0</v>
      </c>
      <c r="P496" t="s">
        <v>47</v>
      </c>
      <c r="Q496">
        <v>0</v>
      </c>
      <c r="R496" t="s">
        <v>47</v>
      </c>
      <c r="S496">
        <v>0</v>
      </c>
      <c r="T496" t="s">
        <v>47</v>
      </c>
    </row>
    <row r="497" spans="1:20" x14ac:dyDescent="0.35">
      <c r="A497" s="1" t="s">
        <v>1082</v>
      </c>
      <c r="B497" t="s">
        <v>16</v>
      </c>
      <c r="C497" s="18">
        <v>1</v>
      </c>
      <c r="D497" t="s">
        <v>1017</v>
      </c>
      <c r="E497">
        <v>0</v>
      </c>
      <c r="F497" t="s">
        <v>47</v>
      </c>
      <c r="G497">
        <v>1</v>
      </c>
      <c r="H497" t="s">
        <v>48</v>
      </c>
      <c r="I497">
        <v>1</v>
      </c>
      <c r="J497" t="s">
        <v>48</v>
      </c>
      <c r="K497">
        <v>0</v>
      </c>
      <c r="L497" t="s">
        <v>47</v>
      </c>
      <c r="M497">
        <v>0</v>
      </c>
      <c r="N497" t="s">
        <v>47</v>
      </c>
      <c r="O497">
        <v>0</v>
      </c>
      <c r="P497" t="s">
        <v>47</v>
      </c>
      <c r="Q497">
        <v>0</v>
      </c>
      <c r="R497" t="s">
        <v>47</v>
      </c>
      <c r="S497">
        <v>0</v>
      </c>
      <c r="T497" t="s">
        <v>47</v>
      </c>
    </row>
    <row r="498" spans="1:20" x14ac:dyDescent="0.35">
      <c r="A498" s="1" t="s">
        <v>1083</v>
      </c>
      <c r="B498" t="s">
        <v>14</v>
      </c>
      <c r="C498" s="19">
        <v>2</v>
      </c>
      <c r="D498" t="s">
        <v>1018</v>
      </c>
      <c r="E498">
        <v>0</v>
      </c>
      <c r="F498" t="s">
        <v>47</v>
      </c>
      <c r="G498">
        <v>0</v>
      </c>
      <c r="H498" t="s">
        <v>47</v>
      </c>
      <c r="I498">
        <v>1</v>
      </c>
      <c r="J498" t="s">
        <v>48</v>
      </c>
      <c r="K498">
        <v>0</v>
      </c>
      <c r="L498" t="s">
        <v>47</v>
      </c>
      <c r="M498">
        <v>0</v>
      </c>
      <c r="N498" t="s">
        <v>47</v>
      </c>
      <c r="O498">
        <v>1</v>
      </c>
      <c r="P498" t="s">
        <v>48</v>
      </c>
      <c r="Q498">
        <v>0</v>
      </c>
      <c r="R498" t="s">
        <v>47</v>
      </c>
      <c r="S498">
        <v>0</v>
      </c>
      <c r="T498" t="s">
        <v>47</v>
      </c>
    </row>
    <row r="499" spans="1:20" x14ac:dyDescent="0.35">
      <c r="A499" s="1" t="s">
        <v>1084</v>
      </c>
      <c r="B499" t="s">
        <v>14</v>
      </c>
      <c r="C499" s="18">
        <v>1</v>
      </c>
      <c r="D499" t="s">
        <v>1019</v>
      </c>
      <c r="E499">
        <v>0</v>
      </c>
      <c r="F499" t="s">
        <v>47</v>
      </c>
      <c r="G499">
        <v>0</v>
      </c>
      <c r="H499" t="s">
        <v>47</v>
      </c>
      <c r="I499">
        <v>0</v>
      </c>
      <c r="J499" t="s">
        <v>47</v>
      </c>
      <c r="K499">
        <v>0</v>
      </c>
      <c r="L499" t="s">
        <v>47</v>
      </c>
      <c r="M499">
        <v>1</v>
      </c>
      <c r="N499" t="s">
        <v>48</v>
      </c>
      <c r="O499">
        <v>1</v>
      </c>
      <c r="P499" t="s">
        <v>48</v>
      </c>
      <c r="Q499">
        <v>0</v>
      </c>
      <c r="R499" t="s">
        <v>47</v>
      </c>
      <c r="S499">
        <v>0</v>
      </c>
      <c r="T499" t="s">
        <v>47</v>
      </c>
    </row>
    <row r="500" spans="1:20" x14ac:dyDescent="0.35">
      <c r="A500" s="1" t="s">
        <v>1085</v>
      </c>
      <c r="B500" t="s">
        <v>14</v>
      </c>
      <c r="C500" s="18">
        <v>1</v>
      </c>
      <c r="D500" t="s">
        <v>1020</v>
      </c>
      <c r="E500">
        <v>1</v>
      </c>
      <c r="F500" t="s">
        <v>48</v>
      </c>
      <c r="G500">
        <v>1</v>
      </c>
      <c r="H500" t="s">
        <v>48</v>
      </c>
      <c r="I500">
        <v>0</v>
      </c>
      <c r="J500" t="s">
        <v>47</v>
      </c>
      <c r="K500">
        <v>1</v>
      </c>
      <c r="L500" t="s">
        <v>48</v>
      </c>
      <c r="M500">
        <v>0</v>
      </c>
      <c r="N500" t="s">
        <v>47</v>
      </c>
      <c r="O500">
        <v>0</v>
      </c>
      <c r="P500" t="s">
        <v>47</v>
      </c>
      <c r="Q500">
        <v>0</v>
      </c>
      <c r="R500" t="s">
        <v>47</v>
      </c>
      <c r="S500">
        <v>0</v>
      </c>
      <c r="T500" t="s">
        <v>47</v>
      </c>
    </row>
    <row r="501" spans="1:20" x14ac:dyDescent="0.35">
      <c r="A501" s="1" t="s">
        <v>1086</v>
      </c>
      <c r="B501" t="s">
        <v>14</v>
      </c>
      <c r="C501" s="19">
        <v>3</v>
      </c>
      <c r="D501" t="s">
        <v>1021</v>
      </c>
      <c r="E501">
        <v>0</v>
      </c>
      <c r="F501" t="s">
        <v>47</v>
      </c>
      <c r="G501">
        <v>1</v>
      </c>
      <c r="H501" t="s">
        <v>48</v>
      </c>
      <c r="I501">
        <v>0</v>
      </c>
      <c r="J501" t="s">
        <v>47</v>
      </c>
      <c r="K501">
        <v>0</v>
      </c>
      <c r="L501" t="s">
        <v>47</v>
      </c>
      <c r="M501">
        <v>0</v>
      </c>
      <c r="N501" t="s">
        <v>47</v>
      </c>
      <c r="O501">
        <v>0</v>
      </c>
      <c r="P501" t="s">
        <v>47</v>
      </c>
      <c r="Q501">
        <v>0</v>
      </c>
      <c r="R501" t="s">
        <v>47</v>
      </c>
      <c r="S501">
        <v>0</v>
      </c>
      <c r="T501" t="s">
        <v>47</v>
      </c>
    </row>
    <row r="502" spans="1:20" x14ac:dyDescent="0.35">
      <c r="A502" s="1" t="s">
        <v>1087</v>
      </c>
      <c r="B502" t="s">
        <v>14</v>
      </c>
      <c r="C502" s="18">
        <v>3</v>
      </c>
      <c r="D502" t="s">
        <v>1022</v>
      </c>
      <c r="E502">
        <v>1</v>
      </c>
      <c r="F502" t="s">
        <v>48</v>
      </c>
      <c r="G502">
        <v>0</v>
      </c>
      <c r="H502" t="s">
        <v>47</v>
      </c>
      <c r="I502">
        <v>0</v>
      </c>
      <c r="J502" t="s">
        <v>47</v>
      </c>
      <c r="K502">
        <v>0</v>
      </c>
      <c r="L502" t="s">
        <v>47</v>
      </c>
      <c r="M502">
        <v>0</v>
      </c>
      <c r="N502" t="s">
        <v>47</v>
      </c>
      <c r="O502">
        <v>0</v>
      </c>
      <c r="P502" t="s">
        <v>47</v>
      </c>
      <c r="Q502">
        <v>0</v>
      </c>
      <c r="R502" t="s">
        <v>47</v>
      </c>
      <c r="S502">
        <v>0</v>
      </c>
      <c r="T502" t="s">
        <v>47</v>
      </c>
    </row>
    <row r="503" spans="1:20" x14ac:dyDescent="0.35">
      <c r="A503" s="1" t="s">
        <v>1088</v>
      </c>
      <c r="B503" t="s">
        <v>14</v>
      </c>
      <c r="C503" s="19">
        <v>2</v>
      </c>
      <c r="D503" t="s">
        <v>1023</v>
      </c>
      <c r="E503">
        <v>0</v>
      </c>
      <c r="F503" t="s">
        <v>47</v>
      </c>
      <c r="G503">
        <v>0</v>
      </c>
      <c r="H503" t="s">
        <v>47</v>
      </c>
      <c r="I503">
        <v>0</v>
      </c>
      <c r="J503" t="s">
        <v>47</v>
      </c>
      <c r="K503">
        <v>0</v>
      </c>
      <c r="L503" t="s">
        <v>47</v>
      </c>
      <c r="M503">
        <v>1</v>
      </c>
      <c r="N503" t="s">
        <v>48</v>
      </c>
      <c r="O503">
        <v>0</v>
      </c>
      <c r="P503" t="s">
        <v>47</v>
      </c>
      <c r="Q503">
        <v>0</v>
      </c>
      <c r="R503" t="s">
        <v>47</v>
      </c>
      <c r="S503">
        <v>0</v>
      </c>
      <c r="T503" t="s">
        <v>47</v>
      </c>
    </row>
    <row r="504" spans="1:20" x14ac:dyDescent="0.35">
      <c r="A504" s="1" t="s">
        <v>1089</v>
      </c>
      <c r="B504" t="s">
        <v>14</v>
      </c>
      <c r="C504" s="18">
        <v>3</v>
      </c>
      <c r="D504" t="s">
        <v>1024</v>
      </c>
      <c r="E504">
        <v>0</v>
      </c>
      <c r="F504" t="s">
        <v>47</v>
      </c>
      <c r="G504">
        <v>1</v>
      </c>
      <c r="H504" t="s">
        <v>48</v>
      </c>
      <c r="I504">
        <v>0</v>
      </c>
      <c r="J504" t="s">
        <v>47</v>
      </c>
      <c r="K504">
        <v>0</v>
      </c>
      <c r="L504" t="s">
        <v>47</v>
      </c>
      <c r="M504">
        <v>0</v>
      </c>
      <c r="N504" t="s">
        <v>47</v>
      </c>
      <c r="O504">
        <v>0</v>
      </c>
      <c r="P504" t="s">
        <v>47</v>
      </c>
      <c r="Q504">
        <v>0</v>
      </c>
      <c r="R504" t="s">
        <v>47</v>
      </c>
      <c r="S504">
        <v>0</v>
      </c>
      <c r="T504" t="s">
        <v>47</v>
      </c>
    </row>
    <row r="505" spans="1:20" x14ac:dyDescent="0.35">
      <c r="A505" s="1" t="s">
        <v>1090</v>
      </c>
      <c r="B505" t="s">
        <v>16</v>
      </c>
      <c r="C505" s="18">
        <v>3</v>
      </c>
      <c r="D505" t="s">
        <v>1025</v>
      </c>
      <c r="E505">
        <v>1</v>
      </c>
      <c r="F505" t="s">
        <v>55</v>
      </c>
      <c r="G505">
        <v>0</v>
      </c>
      <c r="H505" t="s">
        <v>47</v>
      </c>
      <c r="I505">
        <v>0</v>
      </c>
      <c r="J505" t="s">
        <v>47</v>
      </c>
      <c r="K505">
        <v>0</v>
      </c>
      <c r="L505" t="s">
        <v>47</v>
      </c>
      <c r="M505">
        <v>1</v>
      </c>
      <c r="N505" t="s">
        <v>55</v>
      </c>
      <c r="O505">
        <v>0</v>
      </c>
      <c r="P505" t="s">
        <v>47</v>
      </c>
      <c r="Q505">
        <v>0</v>
      </c>
      <c r="R505" t="s">
        <v>47</v>
      </c>
      <c r="S505">
        <v>1</v>
      </c>
      <c r="T505" t="s">
        <v>45</v>
      </c>
    </row>
    <row r="506" spans="1:20" x14ac:dyDescent="0.35">
      <c r="A506" s="1" t="s">
        <v>1091</v>
      </c>
      <c r="B506" t="s">
        <v>14</v>
      </c>
      <c r="C506" s="19">
        <v>1</v>
      </c>
      <c r="D506" t="s">
        <v>1026</v>
      </c>
      <c r="E506">
        <v>1</v>
      </c>
      <c r="F506" t="s">
        <v>48</v>
      </c>
      <c r="G506">
        <v>0</v>
      </c>
      <c r="H506" t="s">
        <v>47</v>
      </c>
      <c r="I506">
        <v>0</v>
      </c>
      <c r="J506" t="s">
        <v>47</v>
      </c>
      <c r="K506">
        <v>0</v>
      </c>
      <c r="L506" t="s">
        <v>47</v>
      </c>
      <c r="M506">
        <v>1</v>
      </c>
      <c r="N506" t="s">
        <v>48</v>
      </c>
      <c r="O506">
        <v>0</v>
      </c>
      <c r="P506" t="s">
        <v>47</v>
      </c>
      <c r="Q506">
        <v>0</v>
      </c>
      <c r="R506" t="s">
        <v>47</v>
      </c>
      <c r="S506">
        <v>0</v>
      </c>
      <c r="T506" t="s">
        <v>47</v>
      </c>
    </row>
    <row r="507" spans="1:20" x14ac:dyDescent="0.35">
      <c r="A507" s="1" t="s">
        <v>1092</v>
      </c>
      <c r="B507" t="s">
        <v>14</v>
      </c>
      <c r="C507" s="18">
        <v>3</v>
      </c>
      <c r="D507" t="s">
        <v>1027</v>
      </c>
      <c r="E507">
        <v>0</v>
      </c>
      <c r="F507" t="s">
        <v>47</v>
      </c>
      <c r="G507">
        <v>0</v>
      </c>
      <c r="H507" t="s">
        <v>47</v>
      </c>
      <c r="I507">
        <v>0</v>
      </c>
      <c r="J507" t="s">
        <v>47</v>
      </c>
      <c r="K507">
        <v>0</v>
      </c>
      <c r="L507" t="s">
        <v>47</v>
      </c>
      <c r="M507">
        <v>0</v>
      </c>
      <c r="N507" t="s">
        <v>47</v>
      </c>
      <c r="O507">
        <v>1</v>
      </c>
      <c r="P507" t="s">
        <v>48</v>
      </c>
      <c r="Q507">
        <v>0</v>
      </c>
      <c r="R507" t="s">
        <v>47</v>
      </c>
      <c r="S507">
        <v>0</v>
      </c>
      <c r="T507" t="s">
        <v>47</v>
      </c>
    </row>
    <row r="508" spans="1:20" x14ac:dyDescent="0.35">
      <c r="A508" s="1" t="s">
        <v>1093</v>
      </c>
      <c r="B508" t="s">
        <v>14</v>
      </c>
      <c r="C508" s="19">
        <v>1</v>
      </c>
      <c r="D508" t="s">
        <v>1028</v>
      </c>
      <c r="E508">
        <v>0</v>
      </c>
      <c r="F508" t="s">
        <v>47</v>
      </c>
      <c r="G508">
        <v>1</v>
      </c>
      <c r="H508" t="s">
        <v>48</v>
      </c>
      <c r="I508">
        <v>0</v>
      </c>
      <c r="J508" t="s">
        <v>47</v>
      </c>
      <c r="K508">
        <v>0</v>
      </c>
      <c r="L508" t="s">
        <v>47</v>
      </c>
      <c r="M508">
        <v>0</v>
      </c>
      <c r="N508" t="s">
        <v>47</v>
      </c>
      <c r="O508">
        <v>0</v>
      </c>
      <c r="P508" t="s">
        <v>47</v>
      </c>
      <c r="Q508">
        <v>0</v>
      </c>
      <c r="R508" t="s">
        <v>47</v>
      </c>
      <c r="S508">
        <v>0</v>
      </c>
      <c r="T508" t="s">
        <v>47</v>
      </c>
    </row>
    <row r="509" spans="1:20" x14ac:dyDescent="0.35">
      <c r="A509" s="1" t="s">
        <v>1094</v>
      </c>
      <c r="B509" t="s">
        <v>14</v>
      </c>
      <c r="C509" s="18">
        <v>1</v>
      </c>
      <c r="D509" t="s">
        <v>1029</v>
      </c>
      <c r="E509">
        <v>0</v>
      </c>
      <c r="F509" t="s">
        <v>47</v>
      </c>
      <c r="G509">
        <v>1</v>
      </c>
      <c r="H509" t="s">
        <v>48</v>
      </c>
      <c r="I509">
        <v>0</v>
      </c>
      <c r="J509" t="s">
        <v>47</v>
      </c>
      <c r="K509">
        <v>0</v>
      </c>
      <c r="L509" t="s">
        <v>47</v>
      </c>
      <c r="M509">
        <v>0</v>
      </c>
      <c r="N509" t="s">
        <v>47</v>
      </c>
      <c r="O509">
        <v>1</v>
      </c>
      <c r="P509" t="s">
        <v>48</v>
      </c>
      <c r="Q509">
        <v>0</v>
      </c>
      <c r="R509" t="s">
        <v>47</v>
      </c>
      <c r="S509">
        <v>0</v>
      </c>
      <c r="T509" t="s">
        <v>47</v>
      </c>
    </row>
    <row r="510" spans="1:20" x14ac:dyDescent="0.35">
      <c r="A510" s="1" t="s">
        <v>1095</v>
      </c>
      <c r="B510" t="s">
        <v>16</v>
      </c>
      <c r="C510" s="18">
        <v>3</v>
      </c>
      <c r="D510" t="s">
        <v>1030</v>
      </c>
      <c r="E510">
        <v>1</v>
      </c>
      <c r="F510" t="s">
        <v>45</v>
      </c>
      <c r="G510">
        <v>0</v>
      </c>
      <c r="H510" t="s">
        <v>47</v>
      </c>
      <c r="I510">
        <v>0</v>
      </c>
      <c r="J510" t="s">
        <v>47</v>
      </c>
      <c r="K510">
        <v>0</v>
      </c>
      <c r="L510" t="s">
        <v>47</v>
      </c>
      <c r="M510">
        <v>1</v>
      </c>
      <c r="N510" t="s">
        <v>48</v>
      </c>
      <c r="O510">
        <v>0</v>
      </c>
      <c r="P510" t="s">
        <v>47</v>
      </c>
      <c r="Q510">
        <v>0</v>
      </c>
      <c r="R510" t="s">
        <v>47</v>
      </c>
      <c r="S510">
        <v>0</v>
      </c>
      <c r="T510" t="s">
        <v>47</v>
      </c>
    </row>
    <row r="511" spans="1:20" x14ac:dyDescent="0.35">
      <c r="A511" s="1" t="s">
        <v>1096</v>
      </c>
      <c r="B511" t="s">
        <v>16</v>
      </c>
      <c r="C511" s="19">
        <v>1</v>
      </c>
      <c r="D511" t="s">
        <v>1031</v>
      </c>
      <c r="E511">
        <v>0</v>
      </c>
      <c r="F511" t="s">
        <v>47</v>
      </c>
      <c r="G511">
        <v>0</v>
      </c>
      <c r="H511" t="s">
        <v>47</v>
      </c>
      <c r="I511">
        <v>0</v>
      </c>
      <c r="J511" t="s">
        <v>47</v>
      </c>
      <c r="K511">
        <v>0</v>
      </c>
      <c r="L511" t="s">
        <v>47</v>
      </c>
      <c r="M511">
        <v>1</v>
      </c>
      <c r="N511" t="s">
        <v>48</v>
      </c>
      <c r="O511">
        <v>0</v>
      </c>
      <c r="P511" t="s">
        <v>47</v>
      </c>
      <c r="Q511">
        <v>1</v>
      </c>
      <c r="R511" t="s">
        <v>48</v>
      </c>
      <c r="S511">
        <v>0</v>
      </c>
      <c r="T511" t="s">
        <v>47</v>
      </c>
    </row>
    <row r="512" spans="1:20" x14ac:dyDescent="0.35">
      <c r="A512" s="1" t="s">
        <v>1097</v>
      </c>
      <c r="B512" t="s">
        <v>16</v>
      </c>
      <c r="C512" s="18">
        <v>3</v>
      </c>
      <c r="D512" t="s">
        <v>1032</v>
      </c>
      <c r="E512">
        <v>0</v>
      </c>
      <c r="F512" t="s">
        <v>47</v>
      </c>
      <c r="G512">
        <v>1</v>
      </c>
      <c r="H512" t="s">
        <v>48</v>
      </c>
      <c r="I512">
        <v>0</v>
      </c>
      <c r="J512" t="s">
        <v>47</v>
      </c>
      <c r="K512">
        <v>0</v>
      </c>
      <c r="L512" t="s">
        <v>47</v>
      </c>
      <c r="M512">
        <v>0</v>
      </c>
      <c r="N512" t="s">
        <v>47</v>
      </c>
      <c r="O512">
        <v>0</v>
      </c>
      <c r="P512" t="s">
        <v>47</v>
      </c>
      <c r="Q512">
        <v>1</v>
      </c>
      <c r="R512" t="s">
        <v>48</v>
      </c>
      <c r="S512">
        <v>0</v>
      </c>
      <c r="T512" t="s">
        <v>47</v>
      </c>
    </row>
    <row r="513" spans="1:20" x14ac:dyDescent="0.35">
      <c r="A513" s="1" t="s">
        <v>1098</v>
      </c>
      <c r="B513" t="s">
        <v>16</v>
      </c>
      <c r="C513" s="18">
        <v>2</v>
      </c>
      <c r="D513" t="s">
        <v>1033</v>
      </c>
      <c r="E513">
        <v>0</v>
      </c>
      <c r="F513" t="s">
        <v>47</v>
      </c>
      <c r="G513">
        <v>1</v>
      </c>
      <c r="H513" t="s">
        <v>45</v>
      </c>
      <c r="I513">
        <v>0</v>
      </c>
      <c r="J513" t="s">
        <v>47</v>
      </c>
      <c r="K513">
        <v>0</v>
      </c>
      <c r="L513" t="s">
        <v>47</v>
      </c>
      <c r="M513">
        <v>1</v>
      </c>
      <c r="N513" t="s">
        <v>48</v>
      </c>
      <c r="O513">
        <v>0</v>
      </c>
      <c r="P513" t="s">
        <v>47</v>
      </c>
      <c r="Q513">
        <v>0</v>
      </c>
      <c r="R513" t="s">
        <v>47</v>
      </c>
      <c r="S513">
        <v>0</v>
      </c>
      <c r="T513" t="s">
        <v>47</v>
      </c>
    </row>
    <row r="514" spans="1:20" x14ac:dyDescent="0.35">
      <c r="A514" s="1" t="s">
        <v>1099</v>
      </c>
      <c r="B514" t="s">
        <v>14</v>
      </c>
      <c r="C514" s="19">
        <v>1</v>
      </c>
      <c r="D514" t="s">
        <v>1034</v>
      </c>
      <c r="E514">
        <v>1</v>
      </c>
      <c r="F514" t="s">
        <v>48</v>
      </c>
      <c r="G514">
        <v>1</v>
      </c>
      <c r="H514" t="s">
        <v>48</v>
      </c>
      <c r="I514">
        <v>1</v>
      </c>
      <c r="J514" t="s">
        <v>48</v>
      </c>
      <c r="K514">
        <v>0</v>
      </c>
      <c r="L514" t="s">
        <v>47</v>
      </c>
      <c r="M514">
        <v>1</v>
      </c>
      <c r="N514" t="s">
        <v>48</v>
      </c>
      <c r="O514">
        <v>1</v>
      </c>
      <c r="P514" t="s">
        <v>48</v>
      </c>
      <c r="Q514">
        <v>0</v>
      </c>
      <c r="R514" t="s">
        <v>47</v>
      </c>
      <c r="S514">
        <v>0</v>
      </c>
      <c r="T514" t="s">
        <v>47</v>
      </c>
    </row>
    <row r="515" spans="1:20" x14ac:dyDescent="0.35">
      <c r="A515" s="1" t="s">
        <v>1100</v>
      </c>
      <c r="B515" t="s">
        <v>16</v>
      </c>
      <c r="C515" s="18">
        <v>1</v>
      </c>
      <c r="D515" t="s">
        <v>1035</v>
      </c>
      <c r="E515">
        <v>1</v>
      </c>
      <c r="F515" t="s">
        <v>48</v>
      </c>
      <c r="G515">
        <v>0</v>
      </c>
      <c r="H515" t="s">
        <v>47</v>
      </c>
      <c r="I515">
        <v>0</v>
      </c>
      <c r="J515" t="s">
        <v>47</v>
      </c>
      <c r="K515">
        <v>0</v>
      </c>
      <c r="L515" t="s">
        <v>47</v>
      </c>
      <c r="M515">
        <v>1</v>
      </c>
      <c r="N515" t="s">
        <v>48</v>
      </c>
      <c r="O515">
        <v>0</v>
      </c>
      <c r="P515" t="s">
        <v>47</v>
      </c>
      <c r="Q515">
        <v>0</v>
      </c>
      <c r="R515" t="s">
        <v>47</v>
      </c>
      <c r="S515">
        <v>0</v>
      </c>
      <c r="T515" t="s">
        <v>47</v>
      </c>
    </row>
    <row r="516" spans="1:20" x14ac:dyDescent="0.35">
      <c r="A516" s="1" t="s">
        <v>1101</v>
      </c>
      <c r="B516" t="s">
        <v>16</v>
      </c>
      <c r="C516" s="19">
        <v>3</v>
      </c>
      <c r="D516" t="s">
        <v>1036</v>
      </c>
      <c r="E516">
        <v>0</v>
      </c>
      <c r="F516" t="s">
        <v>47</v>
      </c>
      <c r="G516">
        <v>1</v>
      </c>
      <c r="H516" t="s">
        <v>48</v>
      </c>
      <c r="I516">
        <v>0</v>
      </c>
      <c r="J516" t="s">
        <v>47</v>
      </c>
      <c r="K516">
        <v>0</v>
      </c>
      <c r="L516" t="s">
        <v>47</v>
      </c>
      <c r="M516">
        <v>0</v>
      </c>
      <c r="N516" t="s">
        <v>47</v>
      </c>
      <c r="O516">
        <v>0</v>
      </c>
      <c r="P516" t="s">
        <v>47</v>
      </c>
      <c r="Q516">
        <v>1</v>
      </c>
      <c r="R516" t="s">
        <v>48</v>
      </c>
      <c r="S516">
        <v>1</v>
      </c>
      <c r="T516" t="s">
        <v>45</v>
      </c>
    </row>
    <row r="517" spans="1:20" x14ac:dyDescent="0.35">
      <c r="A517" s="1" t="s">
        <v>1102</v>
      </c>
      <c r="B517" t="s">
        <v>14</v>
      </c>
      <c r="C517" s="18">
        <v>2</v>
      </c>
      <c r="D517" t="s">
        <v>1037</v>
      </c>
      <c r="E517">
        <v>0</v>
      </c>
      <c r="F517" t="s">
        <v>47</v>
      </c>
      <c r="G517">
        <v>1</v>
      </c>
      <c r="H517" t="s">
        <v>48</v>
      </c>
      <c r="I517">
        <v>0</v>
      </c>
      <c r="J517" t="s">
        <v>47</v>
      </c>
      <c r="K517">
        <v>0</v>
      </c>
      <c r="L517" t="s">
        <v>47</v>
      </c>
      <c r="M517">
        <v>0</v>
      </c>
      <c r="N517" t="s">
        <v>47</v>
      </c>
      <c r="O517">
        <v>0</v>
      </c>
      <c r="P517" t="s">
        <v>47</v>
      </c>
      <c r="Q517">
        <v>0</v>
      </c>
      <c r="R517" t="s">
        <v>47</v>
      </c>
      <c r="S517">
        <v>0</v>
      </c>
      <c r="T517" t="s">
        <v>47</v>
      </c>
    </row>
    <row r="518" spans="1:20" x14ac:dyDescent="0.35">
      <c r="A518" s="1" t="s">
        <v>1103</v>
      </c>
      <c r="B518" t="s">
        <v>16</v>
      </c>
      <c r="C518" s="19">
        <v>1</v>
      </c>
      <c r="D518" t="s">
        <v>1038</v>
      </c>
      <c r="E518">
        <v>1</v>
      </c>
      <c r="F518" t="s">
        <v>48</v>
      </c>
      <c r="G518">
        <v>1</v>
      </c>
      <c r="H518" t="s">
        <v>48</v>
      </c>
      <c r="I518">
        <v>0</v>
      </c>
      <c r="J518" t="s">
        <v>47</v>
      </c>
      <c r="K518">
        <v>0</v>
      </c>
      <c r="L518" t="s">
        <v>47</v>
      </c>
      <c r="M518">
        <v>0</v>
      </c>
      <c r="N518" t="s">
        <v>47</v>
      </c>
      <c r="O518">
        <v>0</v>
      </c>
      <c r="P518" t="s">
        <v>47</v>
      </c>
      <c r="Q518">
        <v>0</v>
      </c>
      <c r="R518" t="s">
        <v>47</v>
      </c>
      <c r="S518">
        <v>0</v>
      </c>
      <c r="T518" t="s">
        <v>47</v>
      </c>
    </row>
    <row r="519" spans="1:20" x14ac:dyDescent="0.35">
      <c r="A519" s="1" t="s">
        <v>1104</v>
      </c>
      <c r="B519" t="s">
        <v>16</v>
      </c>
      <c r="C519" s="18">
        <v>1</v>
      </c>
      <c r="D519" t="s">
        <v>1039</v>
      </c>
      <c r="E519">
        <v>0</v>
      </c>
      <c r="F519" t="s">
        <v>47</v>
      </c>
      <c r="G519">
        <v>0</v>
      </c>
      <c r="H519" t="s">
        <v>47</v>
      </c>
      <c r="I519">
        <v>0</v>
      </c>
      <c r="J519" t="s">
        <v>47</v>
      </c>
      <c r="K519">
        <v>0</v>
      </c>
      <c r="L519" t="s">
        <v>47</v>
      </c>
      <c r="M519">
        <v>0</v>
      </c>
      <c r="N519" t="s">
        <v>47</v>
      </c>
      <c r="O519">
        <v>0</v>
      </c>
      <c r="P519" t="s">
        <v>47</v>
      </c>
      <c r="Q519">
        <v>1</v>
      </c>
      <c r="R519" t="s">
        <v>48</v>
      </c>
      <c r="S519">
        <v>0</v>
      </c>
      <c r="T519" t="s">
        <v>47</v>
      </c>
    </row>
    <row r="520" spans="1:20" x14ac:dyDescent="0.35">
      <c r="A520" s="1" t="s">
        <v>1105</v>
      </c>
      <c r="B520" t="s">
        <v>14</v>
      </c>
      <c r="C520" s="19">
        <v>1</v>
      </c>
      <c r="D520" t="s">
        <v>1040</v>
      </c>
      <c r="E520">
        <v>0</v>
      </c>
      <c r="F520" t="s">
        <v>47</v>
      </c>
      <c r="G520">
        <v>1</v>
      </c>
      <c r="H520" t="s">
        <v>48</v>
      </c>
      <c r="I520">
        <v>0</v>
      </c>
      <c r="J520" t="s">
        <v>47</v>
      </c>
      <c r="K520">
        <v>0</v>
      </c>
      <c r="L520" t="s">
        <v>47</v>
      </c>
      <c r="M520">
        <v>0</v>
      </c>
      <c r="N520" t="s">
        <v>47</v>
      </c>
      <c r="O520">
        <v>1</v>
      </c>
      <c r="P520" t="s">
        <v>48</v>
      </c>
      <c r="Q520">
        <v>0</v>
      </c>
      <c r="R520" t="s">
        <v>47</v>
      </c>
      <c r="S520">
        <v>0</v>
      </c>
      <c r="T520" t="s">
        <v>47</v>
      </c>
    </row>
    <row r="521" spans="1:20" x14ac:dyDescent="0.35">
      <c r="A521" s="1" t="s">
        <v>1106</v>
      </c>
      <c r="B521" t="s">
        <v>14</v>
      </c>
      <c r="C521" s="18">
        <v>1</v>
      </c>
      <c r="D521" t="s">
        <v>1041</v>
      </c>
      <c r="E521">
        <v>0</v>
      </c>
      <c r="F521" t="s">
        <v>47</v>
      </c>
      <c r="G521">
        <v>1</v>
      </c>
      <c r="H521" t="s">
        <v>48</v>
      </c>
      <c r="I521">
        <v>0</v>
      </c>
      <c r="J521" t="s">
        <v>47</v>
      </c>
      <c r="K521">
        <v>0</v>
      </c>
      <c r="L521" t="s">
        <v>47</v>
      </c>
      <c r="M521">
        <v>0</v>
      </c>
      <c r="N521" t="s">
        <v>47</v>
      </c>
      <c r="O521">
        <v>0</v>
      </c>
      <c r="P521" t="s">
        <v>47</v>
      </c>
      <c r="Q521">
        <v>0</v>
      </c>
      <c r="R521" t="s">
        <v>47</v>
      </c>
      <c r="S521">
        <v>0</v>
      </c>
      <c r="T521" t="s">
        <v>47</v>
      </c>
    </row>
    <row r="522" spans="1:20" x14ac:dyDescent="0.35">
      <c r="A522" s="1" t="s">
        <v>1107</v>
      </c>
      <c r="B522" t="s">
        <v>16</v>
      </c>
      <c r="C522">
        <v>5</v>
      </c>
      <c r="D522" t="s">
        <v>1058</v>
      </c>
      <c r="E522">
        <v>1</v>
      </c>
      <c r="F522" t="s">
        <v>45</v>
      </c>
      <c r="G522">
        <v>1</v>
      </c>
      <c r="H522" t="s">
        <v>45</v>
      </c>
      <c r="I522">
        <v>0</v>
      </c>
      <c r="J522" t="s">
        <v>47</v>
      </c>
      <c r="K522">
        <v>0</v>
      </c>
      <c r="L522" t="s">
        <v>47</v>
      </c>
      <c r="M522">
        <v>0</v>
      </c>
      <c r="N522" t="s">
        <v>47</v>
      </c>
      <c r="O522">
        <v>0</v>
      </c>
      <c r="P522" t="s">
        <v>47</v>
      </c>
      <c r="Q522">
        <v>0</v>
      </c>
      <c r="R522" t="s">
        <v>47</v>
      </c>
      <c r="S522">
        <v>0</v>
      </c>
      <c r="T522" t="s">
        <v>47</v>
      </c>
    </row>
    <row r="523" spans="1:20" x14ac:dyDescent="0.35">
      <c r="A523" s="1" t="s">
        <v>1108</v>
      </c>
      <c r="B523" t="s">
        <v>14</v>
      </c>
      <c r="C523">
        <v>1</v>
      </c>
      <c r="D523" t="s">
        <v>1044</v>
      </c>
      <c r="E523">
        <v>0</v>
      </c>
      <c r="F523" t="s">
        <v>47</v>
      </c>
      <c r="G523">
        <v>0</v>
      </c>
      <c r="H523" t="s">
        <v>47</v>
      </c>
      <c r="I523">
        <v>0</v>
      </c>
      <c r="J523" t="s">
        <v>47</v>
      </c>
      <c r="K523">
        <v>1</v>
      </c>
      <c r="L523" t="s">
        <v>48</v>
      </c>
      <c r="M523">
        <v>0</v>
      </c>
      <c r="N523" t="s">
        <v>47</v>
      </c>
      <c r="O523">
        <v>0</v>
      </c>
      <c r="P523" t="s">
        <v>47</v>
      </c>
      <c r="Q523">
        <v>0</v>
      </c>
      <c r="R523" t="s">
        <v>47</v>
      </c>
      <c r="S523">
        <v>0</v>
      </c>
      <c r="T523" t="s">
        <v>47</v>
      </c>
    </row>
    <row r="524" spans="1:20" x14ac:dyDescent="0.35">
      <c r="A524" s="1" t="s">
        <v>1109</v>
      </c>
      <c r="B524" t="s">
        <v>16</v>
      </c>
      <c r="C524">
        <v>1</v>
      </c>
      <c r="D524" t="s">
        <v>1045</v>
      </c>
      <c r="E524">
        <v>1</v>
      </c>
      <c r="F524" t="s">
        <v>48</v>
      </c>
      <c r="G524">
        <v>1</v>
      </c>
      <c r="H524" t="s">
        <v>48</v>
      </c>
      <c r="I524">
        <v>0</v>
      </c>
      <c r="J524" t="s">
        <v>47</v>
      </c>
      <c r="K524">
        <v>1</v>
      </c>
      <c r="L524" t="s">
        <v>48</v>
      </c>
      <c r="M524">
        <v>1</v>
      </c>
      <c r="N524" t="s">
        <v>48</v>
      </c>
      <c r="O524">
        <v>0</v>
      </c>
      <c r="P524" t="s">
        <v>47</v>
      </c>
      <c r="Q524">
        <v>1</v>
      </c>
      <c r="R524" t="s">
        <v>48</v>
      </c>
      <c r="S524">
        <v>0</v>
      </c>
      <c r="T524" t="s">
        <v>47</v>
      </c>
    </row>
    <row r="525" spans="1:20" x14ac:dyDescent="0.35">
      <c r="A525" s="1" t="s">
        <v>1110</v>
      </c>
      <c r="B525" t="s">
        <v>16</v>
      </c>
      <c r="C525" s="19">
        <v>3</v>
      </c>
      <c r="D525" t="s">
        <v>1042</v>
      </c>
      <c r="E525">
        <v>0</v>
      </c>
      <c r="F525" t="s">
        <v>47</v>
      </c>
      <c r="G525">
        <v>1</v>
      </c>
      <c r="H525" t="s">
        <v>48</v>
      </c>
      <c r="I525">
        <v>0</v>
      </c>
      <c r="J525" t="s">
        <v>47</v>
      </c>
      <c r="K525">
        <v>1</v>
      </c>
      <c r="L525" t="s">
        <v>48</v>
      </c>
      <c r="M525">
        <v>0</v>
      </c>
      <c r="N525" t="s">
        <v>47</v>
      </c>
      <c r="O525">
        <v>0</v>
      </c>
      <c r="P525" t="s">
        <v>47</v>
      </c>
      <c r="Q525">
        <v>0</v>
      </c>
      <c r="R525" t="s">
        <v>47</v>
      </c>
      <c r="S525">
        <v>0</v>
      </c>
      <c r="T525" t="s">
        <v>47</v>
      </c>
    </row>
    <row r="526" spans="1:20" x14ac:dyDescent="0.35">
      <c r="A526" s="1" t="s">
        <v>1111</v>
      </c>
      <c r="B526" t="s">
        <v>14</v>
      </c>
      <c r="C526" s="18">
        <v>1</v>
      </c>
      <c r="D526" t="s">
        <v>1043</v>
      </c>
      <c r="E526">
        <v>1</v>
      </c>
      <c r="F526" t="s">
        <v>48</v>
      </c>
      <c r="G526">
        <v>1</v>
      </c>
      <c r="H526" t="s">
        <v>48</v>
      </c>
      <c r="I526">
        <v>1</v>
      </c>
      <c r="J526" t="s">
        <v>48</v>
      </c>
      <c r="K526">
        <v>0</v>
      </c>
      <c r="L526" t="s">
        <v>47</v>
      </c>
      <c r="M526">
        <v>1</v>
      </c>
      <c r="N526" t="s">
        <v>48</v>
      </c>
      <c r="O526">
        <v>0</v>
      </c>
      <c r="P526" t="s">
        <v>47</v>
      </c>
      <c r="Q526">
        <v>1</v>
      </c>
      <c r="R526" t="s">
        <v>48</v>
      </c>
      <c r="S526">
        <v>0</v>
      </c>
      <c r="T526" t="s">
        <v>47</v>
      </c>
    </row>
    <row r="527" spans="1:20" x14ac:dyDescent="0.35">
      <c r="A527" s="1" t="s">
        <v>1112</v>
      </c>
      <c r="B527" t="s">
        <v>14</v>
      </c>
      <c r="C527">
        <v>3</v>
      </c>
      <c r="D527" t="s">
        <v>1046</v>
      </c>
      <c r="E527">
        <v>0</v>
      </c>
      <c r="F527" t="s">
        <v>47</v>
      </c>
      <c r="G527">
        <v>0</v>
      </c>
      <c r="H527" t="s">
        <v>47</v>
      </c>
      <c r="I527">
        <v>0</v>
      </c>
      <c r="J527" t="s">
        <v>47</v>
      </c>
      <c r="K527">
        <v>1</v>
      </c>
      <c r="L527" t="s">
        <v>48</v>
      </c>
      <c r="M527">
        <v>0</v>
      </c>
      <c r="N527" t="s">
        <v>47</v>
      </c>
      <c r="O527">
        <v>1</v>
      </c>
      <c r="P527" t="s">
        <v>48</v>
      </c>
      <c r="Q527">
        <v>0</v>
      </c>
      <c r="R527" t="s">
        <v>47</v>
      </c>
      <c r="S527">
        <v>0</v>
      </c>
      <c r="T527" t="s">
        <v>47</v>
      </c>
    </row>
    <row r="528" spans="1:20" x14ac:dyDescent="0.35">
      <c r="A528" s="1" t="s">
        <v>1113</v>
      </c>
      <c r="B528" t="s">
        <v>14</v>
      </c>
      <c r="C528" s="19">
        <v>1</v>
      </c>
      <c r="D528" t="s">
        <v>1047</v>
      </c>
      <c r="E528">
        <v>0</v>
      </c>
      <c r="F528" t="s">
        <v>47</v>
      </c>
      <c r="G528">
        <v>1</v>
      </c>
      <c r="H528" t="s">
        <v>48</v>
      </c>
      <c r="I528">
        <v>0</v>
      </c>
      <c r="J528" t="s">
        <v>47</v>
      </c>
      <c r="K528">
        <v>0</v>
      </c>
      <c r="L528" t="s">
        <v>47</v>
      </c>
      <c r="M528">
        <v>0</v>
      </c>
      <c r="N528" t="s">
        <v>47</v>
      </c>
      <c r="O528">
        <v>0</v>
      </c>
      <c r="P528" t="s">
        <v>47</v>
      </c>
      <c r="Q528">
        <v>0</v>
      </c>
      <c r="R528" t="s">
        <v>47</v>
      </c>
      <c r="S528">
        <v>0</v>
      </c>
      <c r="T528" t="s">
        <v>47</v>
      </c>
    </row>
    <row r="529" spans="1:20" x14ac:dyDescent="0.35">
      <c r="A529" s="1" t="s">
        <v>1114</v>
      </c>
      <c r="B529" t="s">
        <v>14</v>
      </c>
      <c r="C529" s="18">
        <v>1</v>
      </c>
      <c r="D529" t="s">
        <v>1048</v>
      </c>
      <c r="E529">
        <v>1</v>
      </c>
      <c r="F529" t="s">
        <v>48</v>
      </c>
      <c r="G529">
        <v>0</v>
      </c>
      <c r="H529" t="s">
        <v>47</v>
      </c>
      <c r="I529">
        <v>0</v>
      </c>
      <c r="J529" t="s">
        <v>47</v>
      </c>
      <c r="K529">
        <v>0</v>
      </c>
      <c r="L529" t="s">
        <v>47</v>
      </c>
      <c r="M529">
        <v>0</v>
      </c>
      <c r="N529" t="s">
        <v>47</v>
      </c>
      <c r="O529">
        <v>0</v>
      </c>
      <c r="P529" t="s">
        <v>47</v>
      </c>
      <c r="Q529">
        <v>0</v>
      </c>
      <c r="R529" t="s">
        <v>47</v>
      </c>
      <c r="S529">
        <v>0</v>
      </c>
      <c r="T529" t="s">
        <v>47</v>
      </c>
    </row>
    <row r="530" spans="1:20" x14ac:dyDescent="0.35">
      <c r="A530" s="1" t="s">
        <v>1115</v>
      </c>
      <c r="B530" t="s">
        <v>14</v>
      </c>
      <c r="C530" s="19">
        <v>3</v>
      </c>
      <c r="D530" t="s">
        <v>1049</v>
      </c>
      <c r="E530">
        <v>0</v>
      </c>
      <c r="F530" t="s">
        <v>47</v>
      </c>
      <c r="G530">
        <v>0</v>
      </c>
      <c r="H530" t="s">
        <v>47</v>
      </c>
      <c r="I530">
        <v>0</v>
      </c>
      <c r="J530" t="s">
        <v>47</v>
      </c>
      <c r="K530">
        <v>0</v>
      </c>
      <c r="L530" t="s">
        <v>47</v>
      </c>
      <c r="M530">
        <v>0</v>
      </c>
      <c r="N530" t="s">
        <v>47</v>
      </c>
      <c r="O530">
        <v>0</v>
      </c>
      <c r="P530" t="s">
        <v>47</v>
      </c>
      <c r="Q530">
        <v>1</v>
      </c>
      <c r="R530" t="s">
        <v>45</v>
      </c>
      <c r="S530">
        <v>0</v>
      </c>
      <c r="T530" t="s">
        <v>47</v>
      </c>
    </row>
    <row r="531" spans="1:20" x14ac:dyDescent="0.35">
      <c r="A531" s="1" t="s">
        <v>1116</v>
      </c>
      <c r="B531" t="s">
        <v>14</v>
      </c>
      <c r="C531" s="18">
        <v>3</v>
      </c>
      <c r="D531" t="s">
        <v>1050</v>
      </c>
      <c r="E531">
        <v>1</v>
      </c>
      <c r="F531" t="s">
        <v>45</v>
      </c>
      <c r="G531">
        <v>0</v>
      </c>
      <c r="H531" t="s">
        <v>47</v>
      </c>
      <c r="I531">
        <v>0</v>
      </c>
      <c r="J531" t="s">
        <v>47</v>
      </c>
      <c r="K531">
        <v>0</v>
      </c>
      <c r="L531" t="s">
        <v>47</v>
      </c>
      <c r="M531">
        <v>0</v>
      </c>
      <c r="N531" t="s">
        <v>47</v>
      </c>
      <c r="O531">
        <v>0</v>
      </c>
      <c r="P531" t="s">
        <v>47</v>
      </c>
      <c r="Q531">
        <v>0</v>
      </c>
      <c r="R531" t="s">
        <v>47</v>
      </c>
      <c r="S531">
        <v>0</v>
      </c>
      <c r="T531" t="s">
        <v>47</v>
      </c>
    </row>
    <row r="532" spans="1:20" x14ac:dyDescent="0.35">
      <c r="A532" s="1" t="s">
        <v>1117</v>
      </c>
      <c r="B532" t="s">
        <v>14</v>
      </c>
      <c r="C532" s="19">
        <v>3</v>
      </c>
      <c r="D532" t="s">
        <v>1051</v>
      </c>
      <c r="E532">
        <v>1</v>
      </c>
      <c r="F532" t="s">
        <v>48</v>
      </c>
      <c r="G532">
        <v>0</v>
      </c>
      <c r="H532" t="s">
        <v>47</v>
      </c>
      <c r="I532">
        <v>0</v>
      </c>
      <c r="J532" t="s">
        <v>47</v>
      </c>
      <c r="K532">
        <v>0</v>
      </c>
      <c r="L532" t="s">
        <v>47</v>
      </c>
      <c r="M532">
        <v>0</v>
      </c>
      <c r="N532" t="s">
        <v>47</v>
      </c>
      <c r="O532">
        <v>0</v>
      </c>
      <c r="P532" t="s">
        <v>47</v>
      </c>
      <c r="Q532">
        <v>0</v>
      </c>
      <c r="R532" t="s">
        <v>47</v>
      </c>
      <c r="S532">
        <v>0</v>
      </c>
      <c r="T532" t="s">
        <v>47</v>
      </c>
    </row>
    <row r="533" spans="1:20" x14ac:dyDescent="0.35">
      <c r="A533" s="1" t="s">
        <v>1118</v>
      </c>
      <c r="B533" t="s">
        <v>14</v>
      </c>
      <c r="C533" s="18">
        <v>1</v>
      </c>
      <c r="D533" t="s">
        <v>1052</v>
      </c>
      <c r="E533">
        <v>1</v>
      </c>
      <c r="F533" t="s">
        <v>48</v>
      </c>
      <c r="G533">
        <v>0</v>
      </c>
      <c r="H533" t="s">
        <v>47</v>
      </c>
      <c r="I533">
        <v>0</v>
      </c>
      <c r="J533" t="s">
        <v>47</v>
      </c>
      <c r="K533">
        <v>0</v>
      </c>
      <c r="L533" t="s">
        <v>47</v>
      </c>
      <c r="M533">
        <v>0</v>
      </c>
      <c r="N533" t="s">
        <v>47</v>
      </c>
      <c r="O533">
        <v>0</v>
      </c>
      <c r="P533" t="s">
        <v>47</v>
      </c>
      <c r="Q533">
        <v>0</v>
      </c>
      <c r="R533" t="s">
        <v>47</v>
      </c>
      <c r="S533">
        <v>0</v>
      </c>
      <c r="T533" t="s">
        <v>47</v>
      </c>
    </row>
    <row r="534" spans="1:20" x14ac:dyDescent="0.35">
      <c r="A534" s="1" t="s">
        <v>1119</v>
      </c>
      <c r="B534" t="s">
        <v>14</v>
      </c>
      <c r="C534" s="18">
        <v>3</v>
      </c>
      <c r="D534" t="s">
        <v>1053</v>
      </c>
      <c r="E534">
        <v>0</v>
      </c>
      <c r="F534" t="s">
        <v>47</v>
      </c>
      <c r="G534">
        <v>0</v>
      </c>
      <c r="H534" t="s">
        <v>47</v>
      </c>
      <c r="I534">
        <v>0</v>
      </c>
      <c r="J534" t="s">
        <v>47</v>
      </c>
      <c r="K534">
        <v>0</v>
      </c>
      <c r="L534" t="s">
        <v>47</v>
      </c>
      <c r="M534">
        <v>0</v>
      </c>
      <c r="N534" t="s">
        <v>47</v>
      </c>
      <c r="O534">
        <v>0</v>
      </c>
      <c r="P534" t="s">
        <v>47</v>
      </c>
      <c r="Q534">
        <v>0</v>
      </c>
      <c r="R534" t="s">
        <v>47</v>
      </c>
      <c r="S534">
        <v>1</v>
      </c>
      <c r="T534" t="s">
        <v>45</v>
      </c>
    </row>
    <row r="535" spans="1:20" x14ac:dyDescent="0.35">
      <c r="A535" s="1" t="s">
        <v>1120</v>
      </c>
      <c r="B535" t="s">
        <v>16</v>
      </c>
      <c r="C535" s="19">
        <v>3</v>
      </c>
      <c r="D535" t="s">
        <v>1054</v>
      </c>
      <c r="E535">
        <v>1</v>
      </c>
      <c r="F535" t="s">
        <v>45</v>
      </c>
      <c r="G535">
        <v>1</v>
      </c>
      <c r="H535" t="s">
        <v>48</v>
      </c>
      <c r="I535">
        <v>0</v>
      </c>
      <c r="J535" t="s">
        <v>47</v>
      </c>
      <c r="K535">
        <v>0</v>
      </c>
      <c r="L535" t="s">
        <v>47</v>
      </c>
      <c r="M535">
        <v>0</v>
      </c>
      <c r="N535" t="s">
        <v>47</v>
      </c>
      <c r="O535">
        <v>1</v>
      </c>
      <c r="P535" t="s">
        <v>48</v>
      </c>
      <c r="Q535">
        <v>0</v>
      </c>
      <c r="R535" t="s">
        <v>47</v>
      </c>
      <c r="S535">
        <v>0</v>
      </c>
      <c r="T535" t="s">
        <v>47</v>
      </c>
    </row>
    <row r="536" spans="1:20" x14ac:dyDescent="0.35">
      <c r="A536" s="1" t="s">
        <v>1121</v>
      </c>
      <c r="B536" t="s">
        <v>14</v>
      </c>
      <c r="C536" s="18">
        <v>3</v>
      </c>
      <c r="D536" t="s">
        <v>1055</v>
      </c>
      <c r="E536">
        <v>1</v>
      </c>
      <c r="F536" t="s">
        <v>55</v>
      </c>
      <c r="G536">
        <v>0</v>
      </c>
      <c r="H536" t="s">
        <v>47</v>
      </c>
      <c r="I536">
        <v>0</v>
      </c>
      <c r="J536" t="s">
        <v>47</v>
      </c>
      <c r="K536">
        <v>0</v>
      </c>
      <c r="L536" t="s">
        <v>47</v>
      </c>
      <c r="M536">
        <v>0</v>
      </c>
      <c r="N536" t="s">
        <v>47</v>
      </c>
      <c r="O536">
        <v>0</v>
      </c>
      <c r="P536" t="s">
        <v>47</v>
      </c>
      <c r="Q536">
        <v>0</v>
      </c>
      <c r="R536" t="s">
        <v>47</v>
      </c>
      <c r="S536">
        <v>0</v>
      </c>
      <c r="T536" t="s">
        <v>47</v>
      </c>
    </row>
    <row r="537" spans="1:20" x14ac:dyDescent="0.35">
      <c r="A537" s="1" t="s">
        <v>1122</v>
      </c>
      <c r="B537" t="s">
        <v>14</v>
      </c>
      <c r="C537" s="19">
        <v>3</v>
      </c>
      <c r="D537" t="s">
        <v>1056</v>
      </c>
      <c r="E537">
        <v>0</v>
      </c>
      <c r="F537" t="s">
        <v>47</v>
      </c>
      <c r="G537">
        <v>0</v>
      </c>
      <c r="H537" t="s">
        <v>47</v>
      </c>
      <c r="I537">
        <v>0</v>
      </c>
      <c r="J537" t="s">
        <v>47</v>
      </c>
      <c r="K537">
        <v>1</v>
      </c>
      <c r="L537" t="s">
        <v>48</v>
      </c>
      <c r="M537">
        <v>0</v>
      </c>
      <c r="N537" t="s">
        <v>47</v>
      </c>
      <c r="O537">
        <v>0</v>
      </c>
      <c r="P537" t="s">
        <v>47</v>
      </c>
      <c r="Q537">
        <v>0</v>
      </c>
      <c r="R537" t="s">
        <v>47</v>
      </c>
      <c r="S537">
        <v>0</v>
      </c>
      <c r="T537" t="s">
        <v>47</v>
      </c>
    </row>
    <row r="538" spans="1:20" x14ac:dyDescent="0.35">
      <c r="A538" s="1" t="s">
        <v>1123</v>
      </c>
      <c r="B538" t="s">
        <v>14</v>
      </c>
      <c r="C538" s="18">
        <v>1</v>
      </c>
      <c r="D538" t="s">
        <v>1057</v>
      </c>
      <c r="E538">
        <v>0</v>
      </c>
      <c r="F538" t="s">
        <v>47</v>
      </c>
      <c r="G538">
        <v>1</v>
      </c>
      <c r="H538" t="s">
        <v>48</v>
      </c>
      <c r="I538">
        <v>0</v>
      </c>
      <c r="J538" t="s">
        <v>47</v>
      </c>
      <c r="K538">
        <v>1</v>
      </c>
      <c r="L538" t="s">
        <v>48</v>
      </c>
      <c r="M538">
        <v>0</v>
      </c>
      <c r="N538" t="s">
        <v>47</v>
      </c>
      <c r="O538">
        <v>0</v>
      </c>
      <c r="P538" t="s">
        <v>47</v>
      </c>
      <c r="Q538">
        <v>1</v>
      </c>
      <c r="R538" t="s">
        <v>48</v>
      </c>
      <c r="S538">
        <v>0</v>
      </c>
      <c r="T538" t="s">
        <v>47</v>
      </c>
    </row>
    <row r="539" spans="1:20" x14ac:dyDescent="0.35">
      <c r="A539" s="1" t="s">
        <v>1778</v>
      </c>
      <c r="B539" t="s">
        <v>16</v>
      </c>
      <c r="C539" s="19">
        <v>5</v>
      </c>
      <c r="D539" t="s">
        <v>1124</v>
      </c>
      <c r="E539">
        <v>1</v>
      </c>
      <c r="F539" t="s">
        <v>45</v>
      </c>
      <c r="G539">
        <v>0</v>
      </c>
      <c r="H539" t="s">
        <v>47</v>
      </c>
      <c r="I539">
        <v>0</v>
      </c>
      <c r="J539" t="s">
        <v>47</v>
      </c>
      <c r="K539">
        <v>0</v>
      </c>
      <c r="L539" t="s">
        <v>47</v>
      </c>
      <c r="M539">
        <v>0</v>
      </c>
      <c r="N539" t="s">
        <v>47</v>
      </c>
      <c r="O539">
        <v>1</v>
      </c>
      <c r="P539" t="s">
        <v>45</v>
      </c>
      <c r="Q539">
        <v>0</v>
      </c>
      <c r="R539" t="s">
        <v>47</v>
      </c>
      <c r="S539">
        <v>0</v>
      </c>
      <c r="T539" t="s">
        <v>47</v>
      </c>
    </row>
    <row r="540" spans="1:20" x14ac:dyDescent="0.35">
      <c r="A540" s="1" t="s">
        <v>1779</v>
      </c>
      <c r="B540" t="s">
        <v>16</v>
      </c>
      <c r="C540" s="18">
        <v>5</v>
      </c>
      <c r="D540" t="s">
        <v>1125</v>
      </c>
      <c r="E540">
        <v>0</v>
      </c>
      <c r="F540" t="s">
        <v>47</v>
      </c>
      <c r="G540">
        <v>1</v>
      </c>
      <c r="H540" t="s">
        <v>45</v>
      </c>
      <c r="I540">
        <v>0</v>
      </c>
      <c r="J540" t="s">
        <v>47</v>
      </c>
      <c r="K540">
        <v>0</v>
      </c>
      <c r="L540" t="s">
        <v>47</v>
      </c>
      <c r="M540">
        <v>0</v>
      </c>
      <c r="N540" t="s">
        <v>47</v>
      </c>
      <c r="O540">
        <v>0</v>
      </c>
      <c r="P540" t="s">
        <v>47</v>
      </c>
      <c r="Q540">
        <v>0</v>
      </c>
      <c r="R540" t="s">
        <v>47</v>
      </c>
      <c r="S540">
        <v>0</v>
      </c>
      <c r="T540" t="s">
        <v>47</v>
      </c>
    </row>
    <row r="541" spans="1:20" x14ac:dyDescent="0.35">
      <c r="A541" s="1" t="s">
        <v>1780</v>
      </c>
      <c r="B541" t="s">
        <v>14</v>
      </c>
      <c r="C541" s="19">
        <v>5</v>
      </c>
      <c r="D541" t="s">
        <v>1126</v>
      </c>
      <c r="E541">
        <v>1</v>
      </c>
      <c r="F541" t="s">
        <v>45</v>
      </c>
      <c r="G541">
        <v>0</v>
      </c>
      <c r="H541" t="s">
        <v>47</v>
      </c>
      <c r="I541">
        <v>0</v>
      </c>
      <c r="J541" t="s">
        <v>47</v>
      </c>
      <c r="K541">
        <v>1</v>
      </c>
      <c r="L541" t="s">
        <v>45</v>
      </c>
      <c r="M541">
        <v>0</v>
      </c>
      <c r="N541" t="s">
        <v>47</v>
      </c>
      <c r="O541">
        <v>0</v>
      </c>
      <c r="P541" t="s">
        <v>47</v>
      </c>
      <c r="Q541">
        <v>0</v>
      </c>
      <c r="R541" t="s">
        <v>47</v>
      </c>
      <c r="S541">
        <v>0</v>
      </c>
      <c r="T541" t="s">
        <v>47</v>
      </c>
    </row>
    <row r="542" spans="1:20" x14ac:dyDescent="0.35">
      <c r="A542" s="1" t="s">
        <v>1781</v>
      </c>
      <c r="B542" t="s">
        <v>14</v>
      </c>
      <c r="C542" s="18">
        <v>4</v>
      </c>
      <c r="D542" t="s">
        <v>1127</v>
      </c>
      <c r="E542">
        <v>1</v>
      </c>
      <c r="F542" t="s">
        <v>45</v>
      </c>
      <c r="G542">
        <v>0</v>
      </c>
      <c r="H542" t="s">
        <v>47</v>
      </c>
      <c r="I542">
        <v>0</v>
      </c>
      <c r="J542" t="s">
        <v>47</v>
      </c>
      <c r="K542">
        <v>0</v>
      </c>
      <c r="L542" t="s">
        <v>47</v>
      </c>
      <c r="M542">
        <v>1</v>
      </c>
      <c r="N542" t="s">
        <v>45</v>
      </c>
      <c r="O542">
        <v>0</v>
      </c>
      <c r="P542" t="s">
        <v>47</v>
      </c>
      <c r="Q542">
        <v>0</v>
      </c>
      <c r="R542" t="s">
        <v>47</v>
      </c>
      <c r="S542">
        <v>0</v>
      </c>
      <c r="T542" t="s">
        <v>47</v>
      </c>
    </row>
    <row r="543" spans="1:20" x14ac:dyDescent="0.35">
      <c r="A543" s="1" t="s">
        <v>1782</v>
      </c>
      <c r="B543" t="s">
        <v>16</v>
      </c>
      <c r="C543" s="19">
        <v>5</v>
      </c>
      <c r="D543" t="s">
        <v>1128</v>
      </c>
      <c r="E543">
        <v>1</v>
      </c>
      <c r="F543" t="s">
        <v>45</v>
      </c>
      <c r="G543">
        <v>1</v>
      </c>
      <c r="H543" t="s">
        <v>45</v>
      </c>
      <c r="I543">
        <v>0</v>
      </c>
      <c r="J543" t="s">
        <v>47</v>
      </c>
      <c r="K543">
        <v>0</v>
      </c>
      <c r="L543" t="s">
        <v>47</v>
      </c>
      <c r="M543">
        <v>0</v>
      </c>
      <c r="N543" t="s">
        <v>47</v>
      </c>
      <c r="O543">
        <v>0</v>
      </c>
      <c r="P543" t="s">
        <v>47</v>
      </c>
      <c r="Q543">
        <v>0</v>
      </c>
      <c r="R543" t="s">
        <v>47</v>
      </c>
      <c r="S543">
        <v>0</v>
      </c>
      <c r="T543" t="s">
        <v>47</v>
      </c>
    </row>
    <row r="544" spans="1:20" x14ac:dyDescent="0.35">
      <c r="A544" s="1" t="s">
        <v>1783</v>
      </c>
      <c r="B544" t="s">
        <v>16</v>
      </c>
      <c r="C544" s="18">
        <v>5</v>
      </c>
      <c r="D544" t="s">
        <v>1129</v>
      </c>
      <c r="E544">
        <v>1</v>
      </c>
      <c r="F544" t="s">
        <v>45</v>
      </c>
      <c r="G544">
        <v>0</v>
      </c>
      <c r="H544" t="s">
        <v>47</v>
      </c>
      <c r="I544">
        <v>0</v>
      </c>
      <c r="J544" t="s">
        <v>47</v>
      </c>
      <c r="K544">
        <v>0</v>
      </c>
      <c r="L544" t="s">
        <v>47</v>
      </c>
      <c r="M544">
        <v>0</v>
      </c>
      <c r="N544" t="s">
        <v>47</v>
      </c>
      <c r="O544">
        <v>0</v>
      </c>
      <c r="P544" t="s">
        <v>47</v>
      </c>
      <c r="Q544">
        <v>0</v>
      </c>
      <c r="R544" t="s">
        <v>47</v>
      </c>
      <c r="S544">
        <v>0</v>
      </c>
      <c r="T544" t="s">
        <v>47</v>
      </c>
    </row>
    <row r="545" spans="1:20" x14ac:dyDescent="0.35">
      <c r="A545" s="1" t="s">
        <v>1784</v>
      </c>
      <c r="B545" t="s">
        <v>16</v>
      </c>
      <c r="C545" s="19">
        <v>5</v>
      </c>
      <c r="D545" t="s">
        <v>1130</v>
      </c>
      <c r="E545">
        <v>1</v>
      </c>
      <c r="F545" t="s">
        <v>45</v>
      </c>
      <c r="G545">
        <v>0</v>
      </c>
      <c r="H545" t="s">
        <v>47</v>
      </c>
      <c r="I545">
        <v>0</v>
      </c>
      <c r="J545" t="s">
        <v>47</v>
      </c>
      <c r="K545">
        <v>0</v>
      </c>
      <c r="L545" t="s">
        <v>47</v>
      </c>
      <c r="M545">
        <v>0</v>
      </c>
      <c r="N545" t="s">
        <v>47</v>
      </c>
      <c r="O545">
        <v>0</v>
      </c>
      <c r="P545" t="s">
        <v>47</v>
      </c>
      <c r="Q545">
        <v>0</v>
      </c>
      <c r="R545" t="s">
        <v>47</v>
      </c>
      <c r="S545">
        <v>0</v>
      </c>
      <c r="T545" t="s">
        <v>47</v>
      </c>
    </row>
    <row r="546" spans="1:20" x14ac:dyDescent="0.35">
      <c r="A546" s="1" t="s">
        <v>1785</v>
      </c>
      <c r="B546" t="s">
        <v>14</v>
      </c>
      <c r="C546" s="18">
        <v>4</v>
      </c>
      <c r="D546" t="s">
        <v>1131</v>
      </c>
      <c r="E546">
        <v>1</v>
      </c>
      <c r="F546" t="s">
        <v>45</v>
      </c>
      <c r="G546">
        <v>0</v>
      </c>
      <c r="H546" t="s">
        <v>47</v>
      </c>
      <c r="I546">
        <v>0</v>
      </c>
      <c r="J546" t="s">
        <v>47</v>
      </c>
      <c r="K546">
        <v>0</v>
      </c>
      <c r="L546" t="s">
        <v>47</v>
      </c>
      <c r="M546">
        <v>0</v>
      </c>
      <c r="N546" t="s">
        <v>47</v>
      </c>
      <c r="O546">
        <v>0</v>
      </c>
      <c r="P546" t="s">
        <v>47</v>
      </c>
      <c r="Q546">
        <v>0</v>
      </c>
      <c r="R546" t="s">
        <v>47</v>
      </c>
      <c r="S546">
        <v>0</v>
      </c>
      <c r="T546" t="s">
        <v>47</v>
      </c>
    </row>
    <row r="547" spans="1:20" x14ac:dyDescent="0.35">
      <c r="A547" s="1" t="s">
        <v>1786</v>
      </c>
      <c r="B547" t="s">
        <v>14</v>
      </c>
      <c r="C547" s="19">
        <v>5</v>
      </c>
      <c r="D547" t="s">
        <v>1132</v>
      </c>
      <c r="E547">
        <v>1</v>
      </c>
      <c r="F547" t="s">
        <v>45</v>
      </c>
      <c r="G547">
        <v>1</v>
      </c>
      <c r="H547" t="s">
        <v>45</v>
      </c>
      <c r="I547">
        <v>0</v>
      </c>
      <c r="J547" t="s">
        <v>47</v>
      </c>
      <c r="K547">
        <v>0</v>
      </c>
      <c r="L547" t="s">
        <v>47</v>
      </c>
      <c r="M547">
        <v>0</v>
      </c>
      <c r="N547" t="s">
        <v>47</v>
      </c>
      <c r="O547">
        <v>0</v>
      </c>
      <c r="P547" t="s">
        <v>47</v>
      </c>
      <c r="Q547">
        <v>0</v>
      </c>
      <c r="R547" t="s">
        <v>47</v>
      </c>
      <c r="S547">
        <v>0</v>
      </c>
      <c r="T547" t="s">
        <v>47</v>
      </c>
    </row>
    <row r="548" spans="1:20" x14ac:dyDescent="0.35">
      <c r="A548" s="1" t="s">
        <v>1787</v>
      </c>
      <c r="B548" t="s">
        <v>14</v>
      </c>
      <c r="C548">
        <v>5</v>
      </c>
      <c r="D548" t="s">
        <v>1134</v>
      </c>
      <c r="E548">
        <v>1</v>
      </c>
      <c r="F548" t="s">
        <v>45</v>
      </c>
      <c r="G548">
        <v>1</v>
      </c>
      <c r="H548" t="s">
        <v>45</v>
      </c>
      <c r="I548">
        <v>0</v>
      </c>
      <c r="J548" t="s">
        <v>47</v>
      </c>
      <c r="K548">
        <v>0</v>
      </c>
      <c r="L548" t="s">
        <v>47</v>
      </c>
      <c r="M548">
        <v>0</v>
      </c>
      <c r="N548" t="s">
        <v>47</v>
      </c>
      <c r="O548">
        <v>0</v>
      </c>
      <c r="P548" t="s">
        <v>47</v>
      </c>
      <c r="Q548">
        <v>0</v>
      </c>
      <c r="R548" t="s">
        <v>47</v>
      </c>
      <c r="S548">
        <v>0</v>
      </c>
      <c r="T548" t="s">
        <v>47</v>
      </c>
    </row>
    <row r="549" spans="1:20" x14ac:dyDescent="0.35">
      <c r="A549" s="1" t="s">
        <v>1788</v>
      </c>
      <c r="B549" t="s">
        <v>14</v>
      </c>
      <c r="C549">
        <v>5</v>
      </c>
      <c r="D549" t="s">
        <v>1135</v>
      </c>
      <c r="E549">
        <v>1</v>
      </c>
      <c r="F549" t="s">
        <v>45</v>
      </c>
      <c r="G549">
        <v>0</v>
      </c>
      <c r="H549" t="s">
        <v>47</v>
      </c>
      <c r="I549">
        <v>0</v>
      </c>
      <c r="J549" t="s">
        <v>47</v>
      </c>
      <c r="K549">
        <v>0</v>
      </c>
      <c r="L549" t="s">
        <v>47</v>
      </c>
      <c r="M549">
        <v>0</v>
      </c>
      <c r="N549" t="s">
        <v>47</v>
      </c>
      <c r="O549">
        <v>0</v>
      </c>
      <c r="P549" t="s">
        <v>47</v>
      </c>
      <c r="Q549">
        <v>0</v>
      </c>
      <c r="R549" t="s">
        <v>47</v>
      </c>
      <c r="S549">
        <v>0</v>
      </c>
      <c r="T549" t="s">
        <v>47</v>
      </c>
    </row>
    <row r="550" spans="1:20" x14ac:dyDescent="0.35">
      <c r="A550" s="1" t="s">
        <v>1789</v>
      </c>
      <c r="B550" t="s">
        <v>14</v>
      </c>
      <c r="C550" t="s">
        <v>47</v>
      </c>
      <c r="D550" t="s">
        <v>1136</v>
      </c>
      <c r="E550">
        <v>1</v>
      </c>
      <c r="F550" t="s">
        <v>45</v>
      </c>
      <c r="G550">
        <v>1</v>
      </c>
      <c r="H550" t="s">
        <v>45</v>
      </c>
      <c r="I550">
        <v>0</v>
      </c>
      <c r="J550" t="s">
        <v>47</v>
      </c>
      <c r="K550">
        <v>0</v>
      </c>
      <c r="L550" t="s">
        <v>47</v>
      </c>
      <c r="M550">
        <v>0</v>
      </c>
      <c r="N550" t="s">
        <v>47</v>
      </c>
      <c r="O550">
        <v>0</v>
      </c>
      <c r="P550" t="s">
        <v>47</v>
      </c>
      <c r="Q550">
        <v>0</v>
      </c>
      <c r="R550" t="s">
        <v>47</v>
      </c>
      <c r="S550">
        <v>0</v>
      </c>
      <c r="T550" t="s">
        <v>47</v>
      </c>
    </row>
    <row r="551" spans="1:20" x14ac:dyDescent="0.35">
      <c r="A551" s="1" t="s">
        <v>1790</v>
      </c>
      <c r="B551" t="s">
        <v>14</v>
      </c>
      <c r="C551" t="s">
        <v>47</v>
      </c>
      <c r="D551" t="s">
        <v>1133</v>
      </c>
      <c r="E551">
        <v>1</v>
      </c>
      <c r="F551" t="s">
        <v>45</v>
      </c>
      <c r="G551">
        <v>1</v>
      </c>
      <c r="H551" t="s">
        <v>45</v>
      </c>
      <c r="I551">
        <v>0</v>
      </c>
      <c r="J551" t="s">
        <v>47</v>
      </c>
      <c r="K551">
        <v>0</v>
      </c>
      <c r="L551" t="s">
        <v>47</v>
      </c>
      <c r="M551">
        <v>0</v>
      </c>
      <c r="N551" t="s">
        <v>47</v>
      </c>
      <c r="O551">
        <v>1</v>
      </c>
      <c r="P551" t="s">
        <v>45</v>
      </c>
      <c r="Q551">
        <v>0</v>
      </c>
      <c r="R551" t="s">
        <v>47</v>
      </c>
      <c r="S551">
        <v>0</v>
      </c>
      <c r="T551" t="s">
        <v>47</v>
      </c>
    </row>
    <row r="552" spans="1:20" x14ac:dyDescent="0.35">
      <c r="A552" s="1" t="s">
        <v>1791</v>
      </c>
      <c r="B552" t="s">
        <v>16</v>
      </c>
      <c r="C552" t="s">
        <v>47</v>
      </c>
      <c r="D552" t="s">
        <v>1137</v>
      </c>
      <c r="E552">
        <v>1</v>
      </c>
      <c r="F552" t="s">
        <v>45</v>
      </c>
      <c r="G552">
        <v>0</v>
      </c>
      <c r="H552" t="s">
        <v>47</v>
      </c>
      <c r="I552">
        <v>0</v>
      </c>
      <c r="J552" t="s">
        <v>47</v>
      </c>
      <c r="K552">
        <v>0</v>
      </c>
      <c r="L552" t="s">
        <v>47</v>
      </c>
      <c r="M552">
        <v>0</v>
      </c>
      <c r="N552" t="s">
        <v>47</v>
      </c>
      <c r="O552">
        <v>0</v>
      </c>
      <c r="P552" t="s">
        <v>47</v>
      </c>
      <c r="Q552">
        <v>0</v>
      </c>
      <c r="R552" t="s">
        <v>47</v>
      </c>
      <c r="S552">
        <v>0</v>
      </c>
      <c r="T552" t="s">
        <v>47</v>
      </c>
    </row>
    <row r="553" spans="1:20" x14ac:dyDescent="0.35">
      <c r="A553" s="1" t="s">
        <v>1792</v>
      </c>
      <c r="B553" t="s">
        <v>14</v>
      </c>
      <c r="C553" t="s">
        <v>47</v>
      </c>
      <c r="D553" t="s">
        <v>1138</v>
      </c>
      <c r="E553">
        <v>0</v>
      </c>
      <c r="F553" t="s">
        <v>47</v>
      </c>
      <c r="G553">
        <v>1</v>
      </c>
      <c r="H553" t="s">
        <v>45</v>
      </c>
      <c r="I553">
        <v>0</v>
      </c>
      <c r="J553" t="s">
        <v>47</v>
      </c>
      <c r="K553">
        <v>0</v>
      </c>
      <c r="L553" t="s">
        <v>47</v>
      </c>
      <c r="M553">
        <v>0</v>
      </c>
      <c r="N553" t="s">
        <v>47</v>
      </c>
      <c r="O553">
        <v>0</v>
      </c>
      <c r="P553" t="s">
        <v>47</v>
      </c>
      <c r="Q553">
        <v>0</v>
      </c>
      <c r="R553" t="s">
        <v>47</v>
      </c>
      <c r="S553">
        <v>0</v>
      </c>
      <c r="T553" t="s">
        <v>47</v>
      </c>
    </row>
    <row r="554" spans="1:20" x14ac:dyDescent="0.35">
      <c r="A554" s="1" t="s">
        <v>1793</v>
      </c>
      <c r="B554" t="s">
        <v>14</v>
      </c>
      <c r="C554" t="s">
        <v>47</v>
      </c>
      <c r="D554" t="s">
        <v>1139</v>
      </c>
      <c r="E554">
        <v>0</v>
      </c>
      <c r="F554" t="s">
        <v>47</v>
      </c>
      <c r="G554">
        <v>0</v>
      </c>
      <c r="H554" t="s">
        <v>47</v>
      </c>
      <c r="I554">
        <v>0</v>
      </c>
      <c r="J554" t="s">
        <v>47</v>
      </c>
      <c r="K554">
        <v>0</v>
      </c>
      <c r="L554" t="s">
        <v>47</v>
      </c>
      <c r="M554">
        <v>0</v>
      </c>
      <c r="N554" t="s">
        <v>47</v>
      </c>
      <c r="O554">
        <v>0</v>
      </c>
      <c r="P554" t="s">
        <v>47</v>
      </c>
      <c r="Q554">
        <v>1</v>
      </c>
      <c r="R554" t="s">
        <v>45</v>
      </c>
      <c r="S554">
        <v>0</v>
      </c>
      <c r="T554" t="s">
        <v>47</v>
      </c>
    </row>
    <row r="555" spans="1:20" x14ac:dyDescent="0.35">
      <c r="A555" s="1" t="s">
        <v>1794</v>
      </c>
      <c r="B555" t="s">
        <v>16</v>
      </c>
      <c r="C555" t="s">
        <v>47</v>
      </c>
      <c r="D555" t="s">
        <v>1140</v>
      </c>
      <c r="E555">
        <v>0</v>
      </c>
      <c r="F555" t="s">
        <v>47</v>
      </c>
      <c r="G555">
        <v>1</v>
      </c>
      <c r="H555" t="s">
        <v>48</v>
      </c>
      <c r="I555">
        <v>0</v>
      </c>
      <c r="J555" t="s">
        <v>47</v>
      </c>
      <c r="K555">
        <v>0</v>
      </c>
      <c r="L555" t="s">
        <v>47</v>
      </c>
      <c r="M555">
        <v>0</v>
      </c>
      <c r="N555" t="s">
        <v>47</v>
      </c>
      <c r="O555">
        <v>1</v>
      </c>
      <c r="P555" t="s">
        <v>48</v>
      </c>
      <c r="Q555">
        <v>0</v>
      </c>
      <c r="R555" t="s">
        <v>47</v>
      </c>
      <c r="S555">
        <v>0</v>
      </c>
      <c r="T555" t="s">
        <v>47</v>
      </c>
    </row>
    <row r="556" spans="1:20" x14ac:dyDescent="0.35">
      <c r="A556" s="1" t="s">
        <v>1795</v>
      </c>
      <c r="B556" t="s">
        <v>14</v>
      </c>
      <c r="C556" t="s">
        <v>47</v>
      </c>
      <c r="D556" t="s">
        <v>1141</v>
      </c>
      <c r="E556">
        <v>0</v>
      </c>
      <c r="F556" t="s">
        <v>47</v>
      </c>
      <c r="G556">
        <v>1</v>
      </c>
      <c r="H556" t="s">
        <v>45</v>
      </c>
      <c r="I556">
        <v>0</v>
      </c>
      <c r="J556" t="s">
        <v>47</v>
      </c>
      <c r="K556">
        <v>0</v>
      </c>
      <c r="L556" t="s">
        <v>47</v>
      </c>
      <c r="M556">
        <v>1</v>
      </c>
      <c r="N556" t="s">
        <v>45</v>
      </c>
      <c r="O556">
        <v>0</v>
      </c>
      <c r="P556" t="s">
        <v>47</v>
      </c>
      <c r="Q556">
        <v>0</v>
      </c>
      <c r="R556" t="s">
        <v>47</v>
      </c>
      <c r="S556">
        <v>0</v>
      </c>
      <c r="T556" t="s">
        <v>47</v>
      </c>
    </row>
    <row r="557" spans="1:20" x14ac:dyDescent="0.35">
      <c r="A557" s="1" t="s">
        <v>1796</v>
      </c>
      <c r="B557" t="s">
        <v>16</v>
      </c>
      <c r="C557" t="s">
        <v>47</v>
      </c>
      <c r="D557" t="s">
        <v>1147</v>
      </c>
      <c r="E557">
        <v>1</v>
      </c>
      <c r="F557" t="s">
        <v>45</v>
      </c>
      <c r="G557">
        <v>1</v>
      </c>
      <c r="H557" t="s">
        <v>45</v>
      </c>
      <c r="I557">
        <v>0</v>
      </c>
      <c r="J557" t="s">
        <v>47</v>
      </c>
      <c r="K557">
        <v>0</v>
      </c>
      <c r="L557" t="s">
        <v>47</v>
      </c>
      <c r="M557">
        <v>0</v>
      </c>
      <c r="N557" t="s">
        <v>47</v>
      </c>
      <c r="O557">
        <v>0</v>
      </c>
      <c r="P557" t="s">
        <v>47</v>
      </c>
      <c r="Q557">
        <v>1</v>
      </c>
      <c r="R557" t="s">
        <v>45</v>
      </c>
      <c r="S557">
        <v>0</v>
      </c>
      <c r="T557" t="s">
        <v>47</v>
      </c>
    </row>
    <row r="558" spans="1:20" x14ac:dyDescent="0.35">
      <c r="A558" s="1" t="s">
        <v>1797</v>
      </c>
      <c r="B558" t="s">
        <v>14</v>
      </c>
      <c r="C558" t="s">
        <v>47</v>
      </c>
      <c r="D558" t="s">
        <v>1148</v>
      </c>
      <c r="E558">
        <v>0</v>
      </c>
      <c r="F558" t="s">
        <v>47</v>
      </c>
      <c r="G558">
        <v>0</v>
      </c>
      <c r="H558" t="s">
        <v>47</v>
      </c>
      <c r="I558">
        <v>0</v>
      </c>
      <c r="J558" t="s">
        <v>47</v>
      </c>
      <c r="K558">
        <v>0</v>
      </c>
      <c r="L558" t="s">
        <v>47</v>
      </c>
      <c r="M558">
        <v>0</v>
      </c>
      <c r="N558" t="s">
        <v>47</v>
      </c>
      <c r="O558">
        <v>0</v>
      </c>
      <c r="P558" t="s">
        <v>47</v>
      </c>
      <c r="Q558">
        <v>1</v>
      </c>
      <c r="R558" t="s">
        <v>45</v>
      </c>
      <c r="S558">
        <v>0</v>
      </c>
      <c r="T558" t="s">
        <v>47</v>
      </c>
    </row>
    <row r="559" spans="1:20" x14ac:dyDescent="0.35">
      <c r="A559" s="1" t="s">
        <v>1798</v>
      </c>
      <c r="B559" t="s">
        <v>14</v>
      </c>
      <c r="C559" t="s">
        <v>47</v>
      </c>
      <c r="D559" t="s">
        <v>1149</v>
      </c>
      <c r="E559">
        <v>1</v>
      </c>
      <c r="F559" t="s">
        <v>45</v>
      </c>
      <c r="G559">
        <v>0</v>
      </c>
      <c r="H559" t="s">
        <v>47</v>
      </c>
      <c r="I559">
        <v>0</v>
      </c>
      <c r="J559" t="s">
        <v>47</v>
      </c>
      <c r="K559">
        <v>0</v>
      </c>
      <c r="L559" t="s">
        <v>47</v>
      </c>
      <c r="M559">
        <v>0</v>
      </c>
      <c r="N559" t="s">
        <v>47</v>
      </c>
      <c r="O559">
        <v>0</v>
      </c>
      <c r="P559" t="s">
        <v>47</v>
      </c>
      <c r="Q559">
        <v>1</v>
      </c>
      <c r="R559" t="s">
        <v>45</v>
      </c>
      <c r="S559">
        <v>0</v>
      </c>
      <c r="T559" t="s">
        <v>47</v>
      </c>
    </row>
    <row r="560" spans="1:20" x14ac:dyDescent="0.35">
      <c r="A560" s="1" t="s">
        <v>1799</v>
      </c>
      <c r="B560" t="s">
        <v>14</v>
      </c>
      <c r="C560" t="s">
        <v>47</v>
      </c>
      <c r="D560" t="s">
        <v>1150</v>
      </c>
      <c r="E560">
        <v>1</v>
      </c>
      <c r="F560" t="s">
        <v>45</v>
      </c>
      <c r="G560">
        <v>0</v>
      </c>
      <c r="H560" t="s">
        <v>47</v>
      </c>
      <c r="I560">
        <v>0</v>
      </c>
      <c r="J560" t="s">
        <v>47</v>
      </c>
      <c r="K560">
        <v>0</v>
      </c>
      <c r="L560" t="s">
        <v>47</v>
      </c>
      <c r="M560">
        <v>0</v>
      </c>
      <c r="N560" t="s">
        <v>47</v>
      </c>
      <c r="O560">
        <v>0</v>
      </c>
      <c r="P560" t="s">
        <v>47</v>
      </c>
      <c r="Q560">
        <v>0</v>
      </c>
      <c r="R560" t="s">
        <v>47</v>
      </c>
      <c r="S560">
        <v>0</v>
      </c>
      <c r="T560" t="s">
        <v>47</v>
      </c>
    </row>
    <row r="561" spans="1:20" x14ac:dyDescent="0.35">
      <c r="A561" s="1" t="s">
        <v>1800</v>
      </c>
      <c r="B561" t="s">
        <v>14</v>
      </c>
      <c r="C561" t="s">
        <v>47</v>
      </c>
      <c r="D561" t="s">
        <v>1151</v>
      </c>
      <c r="E561">
        <v>0</v>
      </c>
      <c r="F561" t="s">
        <v>47</v>
      </c>
      <c r="G561">
        <v>0</v>
      </c>
      <c r="H561" t="s">
        <v>47</v>
      </c>
      <c r="I561">
        <v>0</v>
      </c>
      <c r="J561" t="s">
        <v>47</v>
      </c>
      <c r="K561">
        <v>0</v>
      </c>
      <c r="L561" t="s">
        <v>47</v>
      </c>
      <c r="M561">
        <v>0</v>
      </c>
      <c r="N561" t="s">
        <v>47</v>
      </c>
      <c r="O561">
        <v>0</v>
      </c>
      <c r="P561" t="s">
        <v>47</v>
      </c>
      <c r="Q561">
        <v>1</v>
      </c>
      <c r="R561" t="s">
        <v>45</v>
      </c>
      <c r="S561">
        <v>0</v>
      </c>
      <c r="T561" t="s">
        <v>47</v>
      </c>
    </row>
    <row r="562" spans="1:20" x14ac:dyDescent="0.35">
      <c r="A562" s="1" t="s">
        <v>1801</v>
      </c>
      <c r="B562" t="s">
        <v>14</v>
      </c>
      <c r="C562" t="s">
        <v>47</v>
      </c>
      <c r="D562" t="s">
        <v>1152</v>
      </c>
      <c r="E562">
        <v>1</v>
      </c>
      <c r="F562" t="s">
        <v>45</v>
      </c>
      <c r="G562">
        <v>0</v>
      </c>
      <c r="H562" t="s">
        <v>47</v>
      </c>
      <c r="I562">
        <v>0</v>
      </c>
      <c r="J562" t="s">
        <v>47</v>
      </c>
      <c r="K562">
        <v>0</v>
      </c>
      <c r="L562" t="s">
        <v>47</v>
      </c>
      <c r="M562">
        <v>0</v>
      </c>
      <c r="N562" t="s">
        <v>47</v>
      </c>
      <c r="O562">
        <v>0</v>
      </c>
      <c r="P562" t="s">
        <v>47</v>
      </c>
      <c r="Q562">
        <v>1</v>
      </c>
      <c r="R562" t="s">
        <v>45</v>
      </c>
      <c r="S562">
        <v>0</v>
      </c>
      <c r="T562" t="s">
        <v>47</v>
      </c>
    </row>
    <row r="563" spans="1:20" x14ac:dyDescent="0.35">
      <c r="A563" s="1" t="s">
        <v>1802</v>
      </c>
      <c r="B563" t="s">
        <v>14</v>
      </c>
      <c r="C563" t="s">
        <v>47</v>
      </c>
      <c r="D563" t="s">
        <v>1153</v>
      </c>
      <c r="E563">
        <v>1</v>
      </c>
      <c r="F563" t="s">
        <v>45</v>
      </c>
      <c r="G563">
        <v>1</v>
      </c>
      <c r="H563" t="s">
        <v>45</v>
      </c>
      <c r="I563">
        <v>0</v>
      </c>
      <c r="J563" t="s">
        <v>47</v>
      </c>
      <c r="K563">
        <v>0</v>
      </c>
      <c r="L563" t="s">
        <v>47</v>
      </c>
      <c r="M563">
        <v>0</v>
      </c>
      <c r="N563" t="s">
        <v>47</v>
      </c>
      <c r="O563">
        <v>0</v>
      </c>
      <c r="P563" t="s">
        <v>47</v>
      </c>
      <c r="Q563">
        <v>0</v>
      </c>
      <c r="R563" t="s">
        <v>47</v>
      </c>
      <c r="S563">
        <v>0</v>
      </c>
      <c r="T563" t="s">
        <v>47</v>
      </c>
    </row>
    <row r="564" spans="1:20" x14ac:dyDescent="0.35">
      <c r="A564" s="1" t="s">
        <v>1803</v>
      </c>
      <c r="B564" t="s">
        <v>14</v>
      </c>
      <c r="C564" t="s">
        <v>47</v>
      </c>
      <c r="D564" t="s">
        <v>1154</v>
      </c>
      <c r="E564">
        <v>1</v>
      </c>
      <c r="F564" t="s">
        <v>45</v>
      </c>
      <c r="G564">
        <v>0</v>
      </c>
      <c r="H564" t="s">
        <v>47</v>
      </c>
      <c r="I564">
        <v>0</v>
      </c>
      <c r="J564" t="s">
        <v>47</v>
      </c>
      <c r="K564">
        <v>0</v>
      </c>
      <c r="L564" t="s">
        <v>47</v>
      </c>
      <c r="M564">
        <v>0</v>
      </c>
      <c r="N564" t="s">
        <v>47</v>
      </c>
      <c r="O564">
        <v>0</v>
      </c>
      <c r="P564" t="s">
        <v>47</v>
      </c>
      <c r="Q564">
        <v>0</v>
      </c>
      <c r="R564" t="s">
        <v>47</v>
      </c>
      <c r="S564">
        <v>0</v>
      </c>
      <c r="T564" t="s">
        <v>47</v>
      </c>
    </row>
    <row r="565" spans="1:20" x14ac:dyDescent="0.35">
      <c r="A565" s="1" t="s">
        <v>1804</v>
      </c>
      <c r="B565" t="s">
        <v>14</v>
      </c>
      <c r="C565" t="s">
        <v>47</v>
      </c>
      <c r="D565" t="s">
        <v>1155</v>
      </c>
      <c r="E565">
        <v>1</v>
      </c>
      <c r="F565" t="s">
        <v>45</v>
      </c>
      <c r="G565">
        <v>1</v>
      </c>
      <c r="H565" t="s">
        <v>45</v>
      </c>
      <c r="I565">
        <v>0</v>
      </c>
      <c r="J565" t="s">
        <v>47</v>
      </c>
      <c r="K565">
        <v>0</v>
      </c>
      <c r="L565" t="s">
        <v>47</v>
      </c>
      <c r="M565">
        <v>0</v>
      </c>
      <c r="N565" t="s">
        <v>47</v>
      </c>
      <c r="O565">
        <v>0</v>
      </c>
      <c r="P565" t="s">
        <v>47</v>
      </c>
      <c r="Q565">
        <v>0</v>
      </c>
      <c r="R565" t="s">
        <v>47</v>
      </c>
      <c r="S565">
        <v>0</v>
      </c>
      <c r="T565" t="s">
        <v>47</v>
      </c>
    </row>
    <row r="566" spans="1:20" x14ac:dyDescent="0.35">
      <c r="A566" s="1" t="s">
        <v>1805</v>
      </c>
      <c r="B566" t="s">
        <v>16</v>
      </c>
      <c r="C566" t="s">
        <v>47</v>
      </c>
      <c r="D566" t="s">
        <v>1156</v>
      </c>
      <c r="E566">
        <v>1</v>
      </c>
      <c r="F566" t="s">
        <v>45</v>
      </c>
      <c r="G566">
        <v>0</v>
      </c>
      <c r="H566" t="s">
        <v>47</v>
      </c>
      <c r="I566">
        <v>0</v>
      </c>
      <c r="J566" t="s">
        <v>47</v>
      </c>
      <c r="K566">
        <v>0</v>
      </c>
      <c r="L566" t="s">
        <v>47</v>
      </c>
      <c r="M566">
        <v>0</v>
      </c>
      <c r="N566" t="s">
        <v>47</v>
      </c>
      <c r="O566">
        <v>0</v>
      </c>
      <c r="P566" t="s">
        <v>47</v>
      </c>
      <c r="Q566">
        <v>1</v>
      </c>
      <c r="R566" t="s">
        <v>45</v>
      </c>
      <c r="S566">
        <v>0</v>
      </c>
      <c r="T566" t="s">
        <v>47</v>
      </c>
    </row>
    <row r="567" spans="1:20" x14ac:dyDescent="0.35">
      <c r="A567" s="1" t="s">
        <v>1806</v>
      </c>
      <c r="B567" t="s">
        <v>14</v>
      </c>
      <c r="C567" t="s">
        <v>47</v>
      </c>
      <c r="D567" t="s">
        <v>1142</v>
      </c>
      <c r="E567">
        <v>1</v>
      </c>
      <c r="F567" t="s">
        <v>45</v>
      </c>
      <c r="G567">
        <v>1</v>
      </c>
      <c r="H567" t="s">
        <v>45</v>
      </c>
      <c r="I567">
        <v>0</v>
      </c>
      <c r="J567" t="s">
        <v>47</v>
      </c>
      <c r="K567">
        <v>1</v>
      </c>
      <c r="L567" t="s">
        <v>45</v>
      </c>
      <c r="M567">
        <v>0</v>
      </c>
      <c r="N567" t="s">
        <v>47</v>
      </c>
      <c r="O567">
        <v>0</v>
      </c>
      <c r="P567" t="s">
        <v>47</v>
      </c>
      <c r="Q567">
        <v>1</v>
      </c>
      <c r="R567" t="s">
        <v>45</v>
      </c>
      <c r="S567">
        <v>0</v>
      </c>
      <c r="T567" t="s">
        <v>47</v>
      </c>
    </row>
    <row r="568" spans="1:20" x14ac:dyDescent="0.35">
      <c r="A568" s="1" t="s">
        <v>1807</v>
      </c>
      <c r="B568" t="s">
        <v>14</v>
      </c>
      <c r="C568" t="s">
        <v>47</v>
      </c>
      <c r="D568" t="s">
        <v>1143</v>
      </c>
      <c r="E568">
        <v>1</v>
      </c>
      <c r="F568" t="s">
        <v>45</v>
      </c>
      <c r="G568">
        <v>0</v>
      </c>
      <c r="H568" t="s">
        <v>47</v>
      </c>
      <c r="I568">
        <v>0</v>
      </c>
      <c r="J568" t="s">
        <v>47</v>
      </c>
      <c r="K568">
        <v>0</v>
      </c>
      <c r="L568" t="s">
        <v>47</v>
      </c>
      <c r="M568">
        <v>0</v>
      </c>
      <c r="N568" t="s">
        <v>47</v>
      </c>
      <c r="O568">
        <v>0</v>
      </c>
      <c r="P568" t="s">
        <v>47</v>
      </c>
      <c r="Q568">
        <v>0</v>
      </c>
      <c r="R568" t="s">
        <v>47</v>
      </c>
      <c r="S568">
        <v>0</v>
      </c>
      <c r="T568" t="s">
        <v>47</v>
      </c>
    </row>
    <row r="569" spans="1:20" x14ac:dyDescent="0.35">
      <c r="A569" s="1" t="s">
        <v>1808</v>
      </c>
      <c r="B569" t="s">
        <v>14</v>
      </c>
      <c r="C569" t="s">
        <v>47</v>
      </c>
      <c r="D569" t="s">
        <v>1144</v>
      </c>
      <c r="E569">
        <v>1</v>
      </c>
      <c r="F569" t="s">
        <v>45</v>
      </c>
      <c r="G569">
        <v>0</v>
      </c>
      <c r="H569" t="s">
        <v>47</v>
      </c>
      <c r="I569">
        <v>0</v>
      </c>
      <c r="J569" t="s">
        <v>47</v>
      </c>
      <c r="K569">
        <v>0</v>
      </c>
      <c r="L569" t="s">
        <v>47</v>
      </c>
      <c r="M569">
        <v>0</v>
      </c>
      <c r="N569" t="s">
        <v>47</v>
      </c>
      <c r="O569">
        <v>0</v>
      </c>
      <c r="P569" t="s">
        <v>47</v>
      </c>
      <c r="Q569">
        <v>0</v>
      </c>
      <c r="R569" t="s">
        <v>47</v>
      </c>
      <c r="S569">
        <v>0</v>
      </c>
      <c r="T569" t="s">
        <v>47</v>
      </c>
    </row>
    <row r="570" spans="1:20" x14ac:dyDescent="0.35">
      <c r="A570" s="1" t="s">
        <v>1809</v>
      </c>
      <c r="B570" t="s">
        <v>16</v>
      </c>
      <c r="C570" t="s">
        <v>47</v>
      </c>
      <c r="D570" t="s">
        <v>1145</v>
      </c>
      <c r="E570">
        <v>1</v>
      </c>
      <c r="F570" t="s">
        <v>45</v>
      </c>
      <c r="G570">
        <v>1</v>
      </c>
      <c r="H570" t="s">
        <v>45</v>
      </c>
      <c r="I570">
        <v>0</v>
      </c>
      <c r="J570" t="s">
        <v>47</v>
      </c>
      <c r="K570">
        <v>0</v>
      </c>
      <c r="L570" t="s">
        <v>47</v>
      </c>
      <c r="M570">
        <v>0</v>
      </c>
      <c r="N570" t="s">
        <v>47</v>
      </c>
      <c r="O570">
        <v>0</v>
      </c>
      <c r="P570" t="s">
        <v>47</v>
      </c>
      <c r="Q570">
        <v>0</v>
      </c>
      <c r="R570" t="s">
        <v>47</v>
      </c>
      <c r="S570">
        <v>0</v>
      </c>
      <c r="T570" t="s">
        <v>47</v>
      </c>
    </row>
    <row r="571" spans="1:20" x14ac:dyDescent="0.35">
      <c r="A571" s="1" t="s">
        <v>1810</v>
      </c>
      <c r="B571" t="s">
        <v>14</v>
      </c>
      <c r="C571" t="s">
        <v>47</v>
      </c>
      <c r="D571" t="s">
        <v>1146</v>
      </c>
      <c r="E571">
        <v>1</v>
      </c>
      <c r="F571" t="s">
        <v>45</v>
      </c>
      <c r="G571">
        <v>0</v>
      </c>
      <c r="H571" t="s">
        <v>47</v>
      </c>
      <c r="I571">
        <v>0</v>
      </c>
      <c r="J571" t="s">
        <v>47</v>
      </c>
      <c r="K571">
        <v>0</v>
      </c>
      <c r="L571" t="s">
        <v>47</v>
      </c>
      <c r="M571">
        <v>1</v>
      </c>
      <c r="N571" t="s">
        <v>45</v>
      </c>
      <c r="O571">
        <v>0</v>
      </c>
      <c r="P571" t="s">
        <v>47</v>
      </c>
      <c r="Q571">
        <v>0</v>
      </c>
      <c r="R571" t="s">
        <v>47</v>
      </c>
      <c r="S571">
        <v>0</v>
      </c>
      <c r="T571" t="s">
        <v>47</v>
      </c>
    </row>
    <row r="572" spans="1:20" x14ac:dyDescent="0.35">
      <c r="A572" s="1" t="s">
        <v>1811</v>
      </c>
      <c r="B572" t="s">
        <v>14</v>
      </c>
      <c r="C572" t="s">
        <v>47</v>
      </c>
      <c r="D572" t="s">
        <v>1157</v>
      </c>
      <c r="E572">
        <v>1</v>
      </c>
      <c r="F572" t="s">
        <v>45</v>
      </c>
      <c r="G572">
        <v>0</v>
      </c>
      <c r="H572" t="s">
        <v>47</v>
      </c>
      <c r="I572">
        <v>0</v>
      </c>
      <c r="J572" t="s">
        <v>47</v>
      </c>
      <c r="K572">
        <v>0</v>
      </c>
      <c r="L572" t="s">
        <v>47</v>
      </c>
      <c r="M572">
        <v>0</v>
      </c>
      <c r="N572" t="s">
        <v>47</v>
      </c>
      <c r="O572">
        <v>0</v>
      </c>
      <c r="P572" t="s">
        <v>47</v>
      </c>
      <c r="Q572">
        <v>0</v>
      </c>
      <c r="R572" t="s">
        <v>47</v>
      </c>
      <c r="S572">
        <v>0</v>
      </c>
      <c r="T572" t="s">
        <v>47</v>
      </c>
    </row>
    <row r="573" spans="1:20" x14ac:dyDescent="0.35">
      <c r="A573" s="1" t="s">
        <v>1812</v>
      </c>
      <c r="B573" t="s">
        <v>14</v>
      </c>
      <c r="C573" t="s">
        <v>47</v>
      </c>
      <c r="D573" t="s">
        <v>1158</v>
      </c>
      <c r="E573">
        <v>1</v>
      </c>
      <c r="F573" t="s">
        <v>45</v>
      </c>
      <c r="G573">
        <v>1</v>
      </c>
      <c r="H573" t="s">
        <v>45</v>
      </c>
      <c r="I573">
        <v>0</v>
      </c>
      <c r="J573" t="s">
        <v>47</v>
      </c>
      <c r="K573">
        <v>0</v>
      </c>
      <c r="L573" t="s">
        <v>47</v>
      </c>
      <c r="M573">
        <v>0</v>
      </c>
      <c r="N573" t="s">
        <v>47</v>
      </c>
      <c r="O573">
        <v>0</v>
      </c>
      <c r="P573" t="s">
        <v>47</v>
      </c>
      <c r="Q573">
        <v>1</v>
      </c>
      <c r="R573" t="s">
        <v>45</v>
      </c>
      <c r="S573">
        <v>0</v>
      </c>
      <c r="T573" t="s">
        <v>47</v>
      </c>
    </row>
    <row r="574" spans="1:20" x14ac:dyDescent="0.35">
      <c r="A574" s="1" t="s">
        <v>1813</v>
      </c>
      <c r="B574" t="s">
        <v>14</v>
      </c>
      <c r="C574" t="s">
        <v>47</v>
      </c>
      <c r="D574" t="s">
        <v>1159</v>
      </c>
      <c r="E574">
        <v>1</v>
      </c>
      <c r="F574" t="s">
        <v>45</v>
      </c>
      <c r="G574">
        <v>0</v>
      </c>
      <c r="H574" t="s">
        <v>47</v>
      </c>
      <c r="I574">
        <v>0</v>
      </c>
      <c r="J574" t="s">
        <v>47</v>
      </c>
      <c r="K574">
        <v>0</v>
      </c>
      <c r="L574" t="s">
        <v>47</v>
      </c>
      <c r="M574">
        <v>0</v>
      </c>
      <c r="N574" t="s">
        <v>47</v>
      </c>
      <c r="O574">
        <v>0</v>
      </c>
      <c r="P574" t="s">
        <v>47</v>
      </c>
      <c r="Q574">
        <v>0</v>
      </c>
      <c r="R574" t="s">
        <v>47</v>
      </c>
      <c r="S574">
        <v>0</v>
      </c>
      <c r="T574" t="s">
        <v>47</v>
      </c>
    </row>
    <row r="575" spans="1:20" x14ac:dyDescent="0.35">
      <c r="A575" s="1" t="s">
        <v>1814</v>
      </c>
      <c r="B575" t="s">
        <v>14</v>
      </c>
      <c r="C575" t="s">
        <v>47</v>
      </c>
      <c r="D575" t="s">
        <v>1160</v>
      </c>
      <c r="E575">
        <v>1</v>
      </c>
      <c r="F575" t="s">
        <v>45</v>
      </c>
      <c r="G575">
        <v>0</v>
      </c>
      <c r="H575" t="s">
        <v>47</v>
      </c>
      <c r="I575">
        <v>0</v>
      </c>
      <c r="J575" t="s">
        <v>47</v>
      </c>
      <c r="K575">
        <v>0</v>
      </c>
      <c r="L575" t="s">
        <v>47</v>
      </c>
      <c r="M575">
        <v>0</v>
      </c>
      <c r="N575" t="s">
        <v>47</v>
      </c>
      <c r="O575">
        <v>0</v>
      </c>
      <c r="P575" t="s">
        <v>47</v>
      </c>
      <c r="Q575">
        <v>1</v>
      </c>
      <c r="R575" t="s">
        <v>45</v>
      </c>
      <c r="S575">
        <v>0</v>
      </c>
      <c r="T575" t="s">
        <v>47</v>
      </c>
    </row>
    <row r="576" spans="1:20" x14ac:dyDescent="0.35">
      <c r="A576" s="1" t="s">
        <v>1815</v>
      </c>
      <c r="B576" t="s">
        <v>14</v>
      </c>
      <c r="C576" t="s">
        <v>47</v>
      </c>
      <c r="D576" t="s">
        <v>1161</v>
      </c>
      <c r="E576">
        <v>1</v>
      </c>
      <c r="F576" t="s">
        <v>45</v>
      </c>
      <c r="G576">
        <v>0</v>
      </c>
      <c r="H576" t="s">
        <v>47</v>
      </c>
      <c r="I576">
        <v>0</v>
      </c>
      <c r="J576" t="s">
        <v>47</v>
      </c>
      <c r="K576">
        <v>0</v>
      </c>
      <c r="L576" t="s">
        <v>47</v>
      </c>
      <c r="M576">
        <v>0</v>
      </c>
      <c r="N576" t="s">
        <v>47</v>
      </c>
      <c r="O576">
        <v>0</v>
      </c>
      <c r="P576" t="s">
        <v>47</v>
      </c>
      <c r="Q576">
        <v>0</v>
      </c>
      <c r="R576" t="s">
        <v>47</v>
      </c>
      <c r="S576">
        <v>0</v>
      </c>
      <c r="T576" t="s">
        <v>47</v>
      </c>
    </row>
    <row r="577" spans="1:20" x14ac:dyDescent="0.35">
      <c r="A577" s="1" t="s">
        <v>1816</v>
      </c>
      <c r="B577" t="s">
        <v>14</v>
      </c>
      <c r="C577" t="s">
        <v>47</v>
      </c>
      <c r="D577" t="s">
        <v>1162</v>
      </c>
      <c r="E577">
        <v>0</v>
      </c>
      <c r="F577" t="s">
        <v>47</v>
      </c>
      <c r="G577">
        <v>0</v>
      </c>
      <c r="H577" t="s">
        <v>47</v>
      </c>
      <c r="I577">
        <v>0</v>
      </c>
      <c r="J577" t="s">
        <v>47</v>
      </c>
      <c r="K577">
        <v>0</v>
      </c>
      <c r="L577" t="s">
        <v>47</v>
      </c>
      <c r="M577">
        <v>0</v>
      </c>
      <c r="N577" t="s">
        <v>47</v>
      </c>
      <c r="O577">
        <v>0</v>
      </c>
      <c r="P577" t="s">
        <v>47</v>
      </c>
      <c r="Q577">
        <v>1</v>
      </c>
      <c r="R577" t="s">
        <v>45</v>
      </c>
      <c r="S577">
        <v>0</v>
      </c>
      <c r="T577" t="s">
        <v>47</v>
      </c>
    </row>
    <row r="578" spans="1:20" x14ac:dyDescent="0.35">
      <c r="A578" s="1" t="s">
        <v>1817</v>
      </c>
      <c r="B578" t="s">
        <v>14</v>
      </c>
      <c r="C578" t="s">
        <v>47</v>
      </c>
      <c r="D578" t="s">
        <v>1173</v>
      </c>
      <c r="E578">
        <v>1</v>
      </c>
      <c r="F578" t="s">
        <v>45</v>
      </c>
      <c r="G578">
        <v>0</v>
      </c>
      <c r="H578" t="s">
        <v>47</v>
      </c>
      <c r="I578">
        <v>0</v>
      </c>
      <c r="J578" t="s">
        <v>47</v>
      </c>
      <c r="K578">
        <v>1</v>
      </c>
      <c r="L578" t="s">
        <v>45</v>
      </c>
      <c r="M578">
        <v>0</v>
      </c>
      <c r="N578" t="s">
        <v>47</v>
      </c>
      <c r="O578">
        <v>1</v>
      </c>
      <c r="P578" t="s">
        <v>45</v>
      </c>
      <c r="Q578">
        <v>1</v>
      </c>
      <c r="R578" t="s">
        <v>45</v>
      </c>
      <c r="S578">
        <v>0</v>
      </c>
      <c r="T578" t="s">
        <v>47</v>
      </c>
    </row>
    <row r="579" spans="1:20" x14ac:dyDescent="0.35">
      <c r="A579" s="1" t="s">
        <v>1818</v>
      </c>
      <c r="B579" t="s">
        <v>16</v>
      </c>
      <c r="C579" t="s">
        <v>47</v>
      </c>
      <c r="D579" t="s">
        <v>1163</v>
      </c>
      <c r="E579">
        <v>0</v>
      </c>
      <c r="F579" t="s">
        <v>47</v>
      </c>
      <c r="G579">
        <v>1</v>
      </c>
      <c r="H579" t="s">
        <v>48</v>
      </c>
      <c r="I579">
        <v>0</v>
      </c>
      <c r="J579" t="s">
        <v>47</v>
      </c>
      <c r="K579">
        <v>0</v>
      </c>
      <c r="L579" t="s">
        <v>47</v>
      </c>
      <c r="M579">
        <v>0</v>
      </c>
      <c r="N579" t="s">
        <v>47</v>
      </c>
      <c r="O579">
        <v>0</v>
      </c>
      <c r="P579" t="s">
        <v>47</v>
      </c>
      <c r="Q579">
        <v>0</v>
      </c>
      <c r="R579" t="s">
        <v>47</v>
      </c>
      <c r="S579">
        <v>0</v>
      </c>
      <c r="T579" t="s">
        <v>47</v>
      </c>
    </row>
    <row r="580" spans="1:20" x14ac:dyDescent="0.35">
      <c r="A580" s="1" t="s">
        <v>1819</v>
      </c>
      <c r="B580" t="s">
        <v>14</v>
      </c>
      <c r="C580" t="s">
        <v>47</v>
      </c>
      <c r="D580" t="s">
        <v>1164</v>
      </c>
      <c r="E580">
        <v>0</v>
      </c>
      <c r="F580" t="s">
        <v>47</v>
      </c>
      <c r="G580">
        <v>0</v>
      </c>
      <c r="H580" t="s">
        <v>47</v>
      </c>
      <c r="I580">
        <v>0</v>
      </c>
      <c r="J580" t="s">
        <v>47</v>
      </c>
      <c r="K580">
        <v>0</v>
      </c>
      <c r="L580" t="s">
        <v>47</v>
      </c>
      <c r="M580">
        <v>0</v>
      </c>
      <c r="N580" t="s">
        <v>47</v>
      </c>
      <c r="O580">
        <v>0</v>
      </c>
      <c r="P580" t="s">
        <v>47</v>
      </c>
      <c r="Q580">
        <v>1</v>
      </c>
      <c r="R580" t="s">
        <v>45</v>
      </c>
      <c r="S580">
        <v>0</v>
      </c>
      <c r="T580" t="s">
        <v>47</v>
      </c>
    </row>
    <row r="581" spans="1:20" x14ac:dyDescent="0.35">
      <c r="A581" s="1" t="s">
        <v>1820</v>
      </c>
      <c r="B581" t="s">
        <v>14</v>
      </c>
      <c r="C581" t="s">
        <v>47</v>
      </c>
      <c r="D581" t="s">
        <v>1165</v>
      </c>
      <c r="E581">
        <v>1</v>
      </c>
      <c r="F581" t="s">
        <v>45</v>
      </c>
      <c r="G581">
        <v>0</v>
      </c>
      <c r="H581" t="s">
        <v>47</v>
      </c>
      <c r="I581">
        <v>0</v>
      </c>
      <c r="J581" t="s">
        <v>47</v>
      </c>
      <c r="K581">
        <v>0</v>
      </c>
      <c r="L581" t="s">
        <v>47</v>
      </c>
      <c r="M581">
        <v>0</v>
      </c>
      <c r="N581" t="s">
        <v>47</v>
      </c>
      <c r="O581">
        <v>0</v>
      </c>
      <c r="P581" t="s">
        <v>47</v>
      </c>
      <c r="Q581">
        <v>1</v>
      </c>
      <c r="R581" t="s">
        <v>45</v>
      </c>
      <c r="S581">
        <v>0</v>
      </c>
      <c r="T581" t="s">
        <v>47</v>
      </c>
    </row>
    <row r="582" spans="1:20" x14ac:dyDescent="0.35">
      <c r="A582" s="1" t="s">
        <v>1821</v>
      </c>
      <c r="B582" t="s">
        <v>14</v>
      </c>
      <c r="C582" t="s">
        <v>47</v>
      </c>
      <c r="D582" t="s">
        <v>1166</v>
      </c>
      <c r="E582">
        <v>1</v>
      </c>
      <c r="F582" t="s">
        <v>45</v>
      </c>
      <c r="G582">
        <v>0</v>
      </c>
      <c r="H582" t="s">
        <v>47</v>
      </c>
      <c r="I582">
        <v>0</v>
      </c>
      <c r="J582" t="s">
        <v>47</v>
      </c>
      <c r="K582">
        <v>0</v>
      </c>
      <c r="L582" t="s">
        <v>47</v>
      </c>
      <c r="M582">
        <v>0</v>
      </c>
      <c r="N582" t="s">
        <v>47</v>
      </c>
      <c r="O582">
        <v>0</v>
      </c>
      <c r="P582" t="s">
        <v>47</v>
      </c>
      <c r="Q582">
        <v>1</v>
      </c>
      <c r="R582" t="s">
        <v>45</v>
      </c>
      <c r="S582">
        <v>0</v>
      </c>
      <c r="T582" t="s">
        <v>47</v>
      </c>
    </row>
    <row r="583" spans="1:20" x14ac:dyDescent="0.35">
      <c r="A583" s="1" t="s">
        <v>1822</v>
      </c>
      <c r="B583" t="s">
        <v>14</v>
      </c>
      <c r="C583" t="s">
        <v>47</v>
      </c>
      <c r="D583" t="s">
        <v>1167</v>
      </c>
      <c r="E583">
        <v>1</v>
      </c>
      <c r="F583" t="s">
        <v>45</v>
      </c>
      <c r="G583">
        <v>0</v>
      </c>
      <c r="H583" t="s">
        <v>47</v>
      </c>
      <c r="I583">
        <v>0</v>
      </c>
      <c r="J583" t="s">
        <v>47</v>
      </c>
      <c r="K583">
        <v>0</v>
      </c>
      <c r="L583" t="s">
        <v>47</v>
      </c>
      <c r="M583">
        <v>0</v>
      </c>
      <c r="N583" t="s">
        <v>47</v>
      </c>
      <c r="O583">
        <v>1</v>
      </c>
      <c r="P583" t="s">
        <v>45</v>
      </c>
      <c r="Q583">
        <v>0</v>
      </c>
      <c r="R583" t="s">
        <v>47</v>
      </c>
      <c r="S583">
        <v>0</v>
      </c>
      <c r="T583" t="s">
        <v>47</v>
      </c>
    </row>
    <row r="584" spans="1:20" x14ac:dyDescent="0.35">
      <c r="A584" s="1" t="s">
        <v>1823</v>
      </c>
      <c r="B584" t="s">
        <v>14</v>
      </c>
      <c r="C584" t="s">
        <v>47</v>
      </c>
      <c r="D584" t="s">
        <v>1168</v>
      </c>
      <c r="E584">
        <v>1</v>
      </c>
      <c r="F584" t="s">
        <v>45</v>
      </c>
      <c r="G584">
        <v>1</v>
      </c>
      <c r="H584" t="s">
        <v>45</v>
      </c>
      <c r="I584">
        <v>0</v>
      </c>
      <c r="J584" t="s">
        <v>47</v>
      </c>
      <c r="K584">
        <v>0</v>
      </c>
      <c r="L584" t="s">
        <v>47</v>
      </c>
      <c r="M584">
        <v>0</v>
      </c>
      <c r="N584" t="s">
        <v>47</v>
      </c>
      <c r="O584">
        <v>1</v>
      </c>
      <c r="P584" t="s">
        <v>45</v>
      </c>
      <c r="Q584">
        <v>0</v>
      </c>
      <c r="R584" t="s">
        <v>47</v>
      </c>
      <c r="S584">
        <v>0</v>
      </c>
      <c r="T584" t="s">
        <v>47</v>
      </c>
    </row>
    <row r="585" spans="1:20" x14ac:dyDescent="0.35">
      <c r="A585" s="1" t="s">
        <v>1824</v>
      </c>
      <c r="B585" t="s">
        <v>14</v>
      </c>
      <c r="C585" t="s">
        <v>47</v>
      </c>
      <c r="D585" t="s">
        <v>1169</v>
      </c>
      <c r="E585">
        <v>0</v>
      </c>
      <c r="F585" t="s">
        <v>47</v>
      </c>
      <c r="G585">
        <v>0</v>
      </c>
      <c r="H585" t="s">
        <v>47</v>
      </c>
      <c r="I585">
        <v>0</v>
      </c>
      <c r="J585" t="s">
        <v>47</v>
      </c>
      <c r="K585">
        <v>0</v>
      </c>
      <c r="L585" t="s">
        <v>47</v>
      </c>
      <c r="M585">
        <v>0</v>
      </c>
      <c r="N585" t="s">
        <v>47</v>
      </c>
      <c r="O585">
        <v>0</v>
      </c>
      <c r="P585" t="s">
        <v>47</v>
      </c>
      <c r="Q585">
        <v>1</v>
      </c>
      <c r="R585" t="s">
        <v>45</v>
      </c>
      <c r="S585">
        <v>0</v>
      </c>
      <c r="T585" t="s">
        <v>47</v>
      </c>
    </row>
    <row r="586" spans="1:20" x14ac:dyDescent="0.35">
      <c r="A586" s="1" t="s">
        <v>1825</v>
      </c>
      <c r="B586" t="s">
        <v>14</v>
      </c>
      <c r="C586" t="s">
        <v>47</v>
      </c>
      <c r="D586" t="s">
        <v>1170</v>
      </c>
      <c r="E586">
        <v>0</v>
      </c>
      <c r="F586" t="s">
        <v>47</v>
      </c>
      <c r="G586">
        <v>1</v>
      </c>
      <c r="H586" t="s">
        <v>48</v>
      </c>
      <c r="I586">
        <v>0</v>
      </c>
      <c r="J586" t="s">
        <v>47</v>
      </c>
      <c r="K586">
        <v>0</v>
      </c>
      <c r="L586" t="s">
        <v>47</v>
      </c>
      <c r="M586">
        <v>0</v>
      </c>
      <c r="N586" t="s">
        <v>47</v>
      </c>
      <c r="O586">
        <v>0</v>
      </c>
      <c r="P586" t="s">
        <v>47</v>
      </c>
      <c r="Q586">
        <v>1</v>
      </c>
      <c r="R586" t="s">
        <v>48</v>
      </c>
      <c r="S586">
        <v>0</v>
      </c>
      <c r="T586" t="s">
        <v>47</v>
      </c>
    </row>
    <row r="587" spans="1:20" x14ac:dyDescent="0.35">
      <c r="A587" s="1" t="s">
        <v>1826</v>
      </c>
      <c r="B587" t="s">
        <v>14</v>
      </c>
      <c r="C587" t="s">
        <v>47</v>
      </c>
      <c r="D587" t="s">
        <v>1171</v>
      </c>
      <c r="E587">
        <v>1</v>
      </c>
      <c r="F587" t="s">
        <v>45</v>
      </c>
      <c r="G587">
        <v>0</v>
      </c>
      <c r="H587" t="s">
        <v>47</v>
      </c>
      <c r="I587">
        <v>0</v>
      </c>
      <c r="J587" t="s">
        <v>47</v>
      </c>
      <c r="K587">
        <v>0</v>
      </c>
      <c r="L587" t="s">
        <v>47</v>
      </c>
      <c r="M587">
        <v>0</v>
      </c>
      <c r="N587" t="s">
        <v>47</v>
      </c>
      <c r="O587">
        <v>0</v>
      </c>
      <c r="P587" t="s">
        <v>47</v>
      </c>
      <c r="Q587">
        <v>0</v>
      </c>
      <c r="R587" t="s">
        <v>47</v>
      </c>
      <c r="S587">
        <v>0</v>
      </c>
      <c r="T587" t="s">
        <v>47</v>
      </c>
    </row>
    <row r="588" spans="1:20" x14ac:dyDescent="0.35">
      <c r="A588" s="1" t="s">
        <v>1827</v>
      </c>
      <c r="B588" t="s">
        <v>14</v>
      </c>
      <c r="C588" t="s">
        <v>47</v>
      </c>
      <c r="D588" t="s">
        <v>1172</v>
      </c>
      <c r="E588">
        <v>1</v>
      </c>
      <c r="F588" t="s">
        <v>45</v>
      </c>
      <c r="G588">
        <v>0</v>
      </c>
      <c r="H588" t="s">
        <v>47</v>
      </c>
      <c r="I588">
        <v>0</v>
      </c>
      <c r="J588" t="s">
        <v>47</v>
      </c>
      <c r="K588">
        <v>0</v>
      </c>
      <c r="L588" t="s">
        <v>47</v>
      </c>
      <c r="M588">
        <v>1</v>
      </c>
      <c r="N588" t="s">
        <v>45</v>
      </c>
      <c r="O588">
        <v>0</v>
      </c>
      <c r="P588" t="s">
        <v>47</v>
      </c>
      <c r="Q588">
        <v>0</v>
      </c>
      <c r="R588" t="s">
        <v>47</v>
      </c>
      <c r="S588">
        <v>0</v>
      </c>
      <c r="T588" t="s">
        <v>47</v>
      </c>
    </row>
    <row r="589" spans="1:20" x14ac:dyDescent="0.35">
      <c r="A589" s="1" t="s">
        <v>1828</v>
      </c>
      <c r="B589" t="s">
        <v>14</v>
      </c>
      <c r="C589" t="s">
        <v>47</v>
      </c>
      <c r="D589" t="s">
        <v>1174</v>
      </c>
      <c r="E589">
        <v>0</v>
      </c>
      <c r="F589" t="s">
        <v>47</v>
      </c>
      <c r="G589">
        <v>1</v>
      </c>
      <c r="H589" t="s">
        <v>45</v>
      </c>
      <c r="I589">
        <v>0</v>
      </c>
      <c r="J589" t="s">
        <v>47</v>
      </c>
      <c r="K589">
        <v>0</v>
      </c>
      <c r="L589" t="s">
        <v>47</v>
      </c>
      <c r="M589">
        <v>0</v>
      </c>
      <c r="N589" t="s">
        <v>47</v>
      </c>
      <c r="O589">
        <v>0</v>
      </c>
      <c r="P589" t="s">
        <v>47</v>
      </c>
      <c r="Q589">
        <v>1</v>
      </c>
      <c r="R589" t="s">
        <v>45</v>
      </c>
      <c r="S589">
        <v>0</v>
      </c>
      <c r="T589" t="s">
        <v>47</v>
      </c>
    </row>
    <row r="590" spans="1:20" x14ac:dyDescent="0.35">
      <c r="A590" s="1" t="s">
        <v>1829</v>
      </c>
      <c r="B590" t="s">
        <v>14</v>
      </c>
      <c r="C590" t="s">
        <v>47</v>
      </c>
      <c r="D590" t="s">
        <v>1175</v>
      </c>
      <c r="E590">
        <v>0</v>
      </c>
      <c r="F590" t="s">
        <v>47</v>
      </c>
      <c r="G590">
        <v>0</v>
      </c>
      <c r="H590" t="s">
        <v>47</v>
      </c>
      <c r="I590">
        <v>0</v>
      </c>
      <c r="J590" t="s">
        <v>47</v>
      </c>
      <c r="K590">
        <v>0</v>
      </c>
      <c r="L590" t="s">
        <v>47</v>
      </c>
      <c r="M590">
        <v>0</v>
      </c>
      <c r="N590" t="s">
        <v>47</v>
      </c>
      <c r="O590">
        <v>0</v>
      </c>
      <c r="P590" t="s">
        <v>47</v>
      </c>
      <c r="Q590">
        <v>1</v>
      </c>
      <c r="R590" t="s">
        <v>45</v>
      </c>
      <c r="S590">
        <v>0</v>
      </c>
      <c r="T590" t="s">
        <v>47</v>
      </c>
    </row>
    <row r="591" spans="1:20" x14ac:dyDescent="0.35">
      <c r="A591" s="1" t="s">
        <v>1830</v>
      </c>
      <c r="B591" t="s">
        <v>14</v>
      </c>
      <c r="C591" t="s">
        <v>47</v>
      </c>
      <c r="D591" t="s">
        <v>1176</v>
      </c>
      <c r="E591">
        <v>1</v>
      </c>
      <c r="F591" t="s">
        <v>45</v>
      </c>
      <c r="G591">
        <v>1</v>
      </c>
      <c r="H591" t="s">
        <v>45</v>
      </c>
      <c r="I591">
        <v>0</v>
      </c>
      <c r="J591" t="s">
        <v>47</v>
      </c>
      <c r="K591">
        <v>0</v>
      </c>
      <c r="L591" t="s">
        <v>47</v>
      </c>
      <c r="M591">
        <v>0</v>
      </c>
      <c r="N591" t="s">
        <v>47</v>
      </c>
      <c r="O591">
        <v>0</v>
      </c>
      <c r="P591" t="s">
        <v>47</v>
      </c>
      <c r="Q591">
        <v>0</v>
      </c>
      <c r="R591" t="s">
        <v>47</v>
      </c>
      <c r="S591">
        <v>0</v>
      </c>
      <c r="T591" t="s">
        <v>47</v>
      </c>
    </row>
    <row r="592" spans="1:20" x14ac:dyDescent="0.35">
      <c r="A592" s="1" t="s">
        <v>1831</v>
      </c>
      <c r="B592" t="s">
        <v>16</v>
      </c>
      <c r="C592" t="s">
        <v>47</v>
      </c>
      <c r="D592" t="s">
        <v>1177</v>
      </c>
      <c r="E592">
        <v>1</v>
      </c>
      <c r="F592" t="s">
        <v>45</v>
      </c>
      <c r="G592">
        <v>0</v>
      </c>
      <c r="H592" t="s">
        <v>47</v>
      </c>
      <c r="I592">
        <v>0</v>
      </c>
      <c r="J592" t="s">
        <v>47</v>
      </c>
      <c r="K592">
        <v>0</v>
      </c>
      <c r="L592" t="s">
        <v>47</v>
      </c>
      <c r="M592">
        <v>0</v>
      </c>
      <c r="N592" t="s">
        <v>47</v>
      </c>
      <c r="O592">
        <v>0</v>
      </c>
      <c r="P592" t="s">
        <v>47</v>
      </c>
      <c r="Q592">
        <v>0</v>
      </c>
      <c r="R592" t="s">
        <v>47</v>
      </c>
      <c r="S592">
        <v>0</v>
      </c>
      <c r="T592" t="s">
        <v>47</v>
      </c>
    </row>
    <row r="593" spans="1:20" x14ac:dyDescent="0.35">
      <c r="A593" s="1" t="s">
        <v>1832</v>
      </c>
      <c r="B593" t="s">
        <v>14</v>
      </c>
      <c r="C593" t="s">
        <v>47</v>
      </c>
      <c r="D593" t="s">
        <v>1178</v>
      </c>
      <c r="E593">
        <v>1</v>
      </c>
      <c r="F593" t="s">
        <v>45</v>
      </c>
      <c r="G593">
        <v>0</v>
      </c>
      <c r="H593" t="s">
        <v>47</v>
      </c>
      <c r="I593">
        <v>0</v>
      </c>
      <c r="J593" t="s">
        <v>47</v>
      </c>
      <c r="K593">
        <v>0</v>
      </c>
      <c r="L593" t="s">
        <v>47</v>
      </c>
      <c r="M593">
        <v>0</v>
      </c>
      <c r="N593" t="s">
        <v>47</v>
      </c>
      <c r="O593">
        <v>0</v>
      </c>
      <c r="P593" t="s">
        <v>47</v>
      </c>
      <c r="Q593">
        <v>1</v>
      </c>
      <c r="R593" t="s">
        <v>45</v>
      </c>
      <c r="S593">
        <v>0</v>
      </c>
      <c r="T593" t="s">
        <v>47</v>
      </c>
    </row>
    <row r="594" spans="1:20" x14ac:dyDescent="0.35">
      <c r="A594" s="1" t="s">
        <v>1833</v>
      </c>
      <c r="B594" t="s">
        <v>14</v>
      </c>
      <c r="C594" t="s">
        <v>47</v>
      </c>
      <c r="D594" t="s">
        <v>1179</v>
      </c>
      <c r="E594">
        <v>1</v>
      </c>
      <c r="F594" t="s">
        <v>45</v>
      </c>
      <c r="G594">
        <v>0</v>
      </c>
      <c r="H594" t="s">
        <v>47</v>
      </c>
      <c r="I594">
        <v>0</v>
      </c>
      <c r="J594" t="s">
        <v>47</v>
      </c>
      <c r="K594">
        <v>0</v>
      </c>
      <c r="L594" t="s">
        <v>47</v>
      </c>
      <c r="M594">
        <v>0</v>
      </c>
      <c r="N594" t="s">
        <v>47</v>
      </c>
      <c r="O594">
        <v>0</v>
      </c>
      <c r="P594" t="s">
        <v>47</v>
      </c>
      <c r="Q594">
        <v>1</v>
      </c>
      <c r="R594" t="s">
        <v>45</v>
      </c>
      <c r="S594">
        <v>0</v>
      </c>
      <c r="T594" t="s">
        <v>47</v>
      </c>
    </row>
    <row r="595" spans="1:20" x14ac:dyDescent="0.35">
      <c r="A595" s="1" t="s">
        <v>1834</v>
      </c>
      <c r="B595" t="s">
        <v>14</v>
      </c>
      <c r="C595" t="s">
        <v>47</v>
      </c>
      <c r="D595" t="s">
        <v>1180</v>
      </c>
      <c r="E595">
        <v>1</v>
      </c>
      <c r="F595" t="s">
        <v>45</v>
      </c>
      <c r="G595">
        <v>1</v>
      </c>
      <c r="H595" t="s">
        <v>45</v>
      </c>
      <c r="I595">
        <v>0</v>
      </c>
      <c r="J595" t="s">
        <v>47</v>
      </c>
      <c r="K595">
        <v>0</v>
      </c>
      <c r="L595" t="s">
        <v>47</v>
      </c>
      <c r="M595">
        <v>0</v>
      </c>
      <c r="N595" t="s">
        <v>47</v>
      </c>
      <c r="O595">
        <v>0</v>
      </c>
      <c r="P595" t="s">
        <v>47</v>
      </c>
      <c r="Q595">
        <v>1</v>
      </c>
      <c r="R595" t="s">
        <v>45</v>
      </c>
      <c r="S595">
        <v>0</v>
      </c>
      <c r="T595" t="s">
        <v>47</v>
      </c>
    </row>
    <row r="596" spans="1:20" x14ac:dyDescent="0.35">
      <c r="A596" s="1" t="s">
        <v>1835</v>
      </c>
      <c r="B596" t="s">
        <v>14</v>
      </c>
      <c r="C596" t="s">
        <v>47</v>
      </c>
      <c r="D596" t="s">
        <v>1181</v>
      </c>
      <c r="E596">
        <v>1</v>
      </c>
      <c r="F596" t="s">
        <v>45</v>
      </c>
      <c r="G596">
        <v>0</v>
      </c>
      <c r="H596" t="s">
        <v>47</v>
      </c>
      <c r="I596">
        <v>0</v>
      </c>
      <c r="J596" t="s">
        <v>47</v>
      </c>
      <c r="K596">
        <v>0</v>
      </c>
      <c r="L596" t="s">
        <v>47</v>
      </c>
      <c r="M596">
        <v>0</v>
      </c>
      <c r="N596" t="s">
        <v>47</v>
      </c>
      <c r="O596">
        <v>0</v>
      </c>
      <c r="P596" t="s">
        <v>47</v>
      </c>
      <c r="Q596">
        <v>1</v>
      </c>
      <c r="R596" t="s">
        <v>45</v>
      </c>
      <c r="S596">
        <v>0</v>
      </c>
      <c r="T596" t="s">
        <v>47</v>
      </c>
    </row>
    <row r="597" spans="1:20" x14ac:dyDescent="0.35">
      <c r="A597" s="1" t="s">
        <v>1836</v>
      </c>
      <c r="B597" t="s">
        <v>14</v>
      </c>
      <c r="C597" t="s">
        <v>47</v>
      </c>
      <c r="D597" t="s">
        <v>1182</v>
      </c>
      <c r="E597">
        <v>1</v>
      </c>
      <c r="F597" t="s">
        <v>45</v>
      </c>
      <c r="G597">
        <v>1</v>
      </c>
      <c r="H597" t="s">
        <v>45</v>
      </c>
      <c r="I597">
        <v>0</v>
      </c>
      <c r="J597" t="s">
        <v>47</v>
      </c>
      <c r="K597">
        <v>0</v>
      </c>
      <c r="L597" t="s">
        <v>47</v>
      </c>
      <c r="M597">
        <v>0</v>
      </c>
      <c r="N597" t="s">
        <v>47</v>
      </c>
      <c r="O597">
        <v>0</v>
      </c>
      <c r="P597" t="s">
        <v>47</v>
      </c>
      <c r="Q597">
        <v>0</v>
      </c>
      <c r="R597" t="s">
        <v>47</v>
      </c>
      <c r="S597">
        <v>1</v>
      </c>
      <c r="T597" t="s">
        <v>45</v>
      </c>
    </row>
    <row r="598" spans="1:20" x14ac:dyDescent="0.35">
      <c r="A598" s="1" t="s">
        <v>1837</v>
      </c>
      <c r="B598" t="s">
        <v>14</v>
      </c>
      <c r="C598" t="s">
        <v>47</v>
      </c>
      <c r="D598" t="s">
        <v>1183</v>
      </c>
      <c r="E598">
        <v>1</v>
      </c>
      <c r="F598" t="s">
        <v>45</v>
      </c>
      <c r="G598">
        <v>1</v>
      </c>
      <c r="H598" t="s">
        <v>45</v>
      </c>
      <c r="I598">
        <v>0</v>
      </c>
      <c r="J598" t="s">
        <v>47</v>
      </c>
      <c r="K598">
        <v>0</v>
      </c>
      <c r="L598" t="s">
        <v>47</v>
      </c>
      <c r="M598">
        <v>0</v>
      </c>
      <c r="N598" t="s">
        <v>47</v>
      </c>
      <c r="O598">
        <v>0</v>
      </c>
      <c r="P598" t="s">
        <v>47</v>
      </c>
      <c r="Q598">
        <v>1</v>
      </c>
      <c r="R598" t="s">
        <v>45</v>
      </c>
      <c r="S598">
        <v>0</v>
      </c>
      <c r="T598" t="s">
        <v>47</v>
      </c>
    </row>
    <row r="599" spans="1:20" x14ac:dyDescent="0.35">
      <c r="A599" s="1" t="s">
        <v>1838</v>
      </c>
      <c r="B599" t="s">
        <v>14</v>
      </c>
      <c r="C599" t="s">
        <v>47</v>
      </c>
      <c r="D599" t="s">
        <v>1184</v>
      </c>
      <c r="E599">
        <v>0</v>
      </c>
      <c r="F599" t="s">
        <v>47</v>
      </c>
      <c r="G599">
        <v>1</v>
      </c>
      <c r="H599" t="s">
        <v>45</v>
      </c>
      <c r="I599">
        <v>0</v>
      </c>
      <c r="J599" t="s">
        <v>47</v>
      </c>
      <c r="K599">
        <v>0</v>
      </c>
      <c r="L599" t="s">
        <v>47</v>
      </c>
      <c r="M599">
        <v>0</v>
      </c>
      <c r="N599" t="s">
        <v>47</v>
      </c>
      <c r="O599">
        <v>0</v>
      </c>
      <c r="P599" t="s">
        <v>47</v>
      </c>
      <c r="Q599">
        <v>0</v>
      </c>
      <c r="R599" t="s">
        <v>47</v>
      </c>
      <c r="S599">
        <v>0</v>
      </c>
      <c r="T599" t="s">
        <v>47</v>
      </c>
    </row>
    <row r="600" spans="1:20" x14ac:dyDescent="0.35">
      <c r="A600" s="1" t="s">
        <v>1839</v>
      </c>
      <c r="B600" t="s">
        <v>14</v>
      </c>
      <c r="C600" t="s">
        <v>47</v>
      </c>
      <c r="D600" t="s">
        <v>1185</v>
      </c>
      <c r="E600">
        <v>1</v>
      </c>
      <c r="F600" t="s">
        <v>45</v>
      </c>
      <c r="G600">
        <v>1</v>
      </c>
      <c r="H600" t="s">
        <v>45</v>
      </c>
      <c r="I600">
        <v>0</v>
      </c>
      <c r="J600" t="s">
        <v>47</v>
      </c>
      <c r="K600">
        <v>0</v>
      </c>
      <c r="L600" t="s">
        <v>47</v>
      </c>
      <c r="M600">
        <v>0</v>
      </c>
      <c r="N600" t="s">
        <v>47</v>
      </c>
      <c r="O600">
        <v>0</v>
      </c>
      <c r="P600" t="s">
        <v>47</v>
      </c>
      <c r="Q600">
        <v>1</v>
      </c>
      <c r="R600" t="s">
        <v>45</v>
      </c>
      <c r="S600">
        <v>0</v>
      </c>
      <c r="T600" t="s">
        <v>47</v>
      </c>
    </row>
    <row r="601" spans="1:20" x14ac:dyDescent="0.35">
      <c r="A601" s="1" t="s">
        <v>1840</v>
      </c>
      <c r="B601" t="s">
        <v>14</v>
      </c>
      <c r="C601" t="s">
        <v>47</v>
      </c>
      <c r="D601" t="s">
        <v>1186</v>
      </c>
      <c r="E601">
        <v>1</v>
      </c>
      <c r="F601" t="s">
        <v>45</v>
      </c>
      <c r="G601">
        <v>1</v>
      </c>
      <c r="H601" t="s">
        <v>45</v>
      </c>
      <c r="I601">
        <v>0</v>
      </c>
      <c r="J601" t="s">
        <v>47</v>
      </c>
      <c r="K601">
        <v>0</v>
      </c>
      <c r="L601" t="s">
        <v>47</v>
      </c>
      <c r="M601">
        <v>0</v>
      </c>
      <c r="N601" t="s">
        <v>47</v>
      </c>
      <c r="O601">
        <v>0</v>
      </c>
      <c r="P601" t="s">
        <v>47</v>
      </c>
      <c r="Q601">
        <v>1</v>
      </c>
      <c r="R601" t="s">
        <v>45</v>
      </c>
      <c r="S601">
        <v>0</v>
      </c>
      <c r="T601" t="s">
        <v>47</v>
      </c>
    </row>
    <row r="602" spans="1:20" x14ac:dyDescent="0.35">
      <c r="A602" s="1" t="s">
        <v>1841</v>
      </c>
      <c r="B602" t="s">
        <v>16</v>
      </c>
      <c r="C602" t="s">
        <v>47</v>
      </c>
      <c r="D602" t="s">
        <v>1187</v>
      </c>
      <c r="E602">
        <v>1</v>
      </c>
      <c r="F602" t="s">
        <v>45</v>
      </c>
      <c r="G602">
        <v>1</v>
      </c>
      <c r="H602" t="s">
        <v>45</v>
      </c>
      <c r="I602">
        <v>0</v>
      </c>
      <c r="J602" t="s">
        <v>47</v>
      </c>
      <c r="K602">
        <v>0</v>
      </c>
      <c r="L602" t="s">
        <v>47</v>
      </c>
      <c r="M602">
        <v>0</v>
      </c>
      <c r="N602" t="s">
        <v>47</v>
      </c>
      <c r="O602">
        <v>0</v>
      </c>
      <c r="P602" t="s">
        <v>47</v>
      </c>
      <c r="Q602">
        <v>1</v>
      </c>
      <c r="R602" t="s">
        <v>45</v>
      </c>
      <c r="S602">
        <v>0</v>
      </c>
      <c r="T602" t="s">
        <v>47</v>
      </c>
    </row>
    <row r="603" spans="1:20" x14ac:dyDescent="0.35">
      <c r="A603" s="1" t="s">
        <v>1842</v>
      </c>
      <c r="B603" t="s">
        <v>14</v>
      </c>
      <c r="C603" t="s">
        <v>47</v>
      </c>
      <c r="D603" t="s">
        <v>1188</v>
      </c>
      <c r="E603">
        <v>1</v>
      </c>
      <c r="F603" t="s">
        <v>45</v>
      </c>
      <c r="G603">
        <v>1</v>
      </c>
      <c r="H603" t="s">
        <v>45</v>
      </c>
      <c r="I603">
        <v>0</v>
      </c>
      <c r="J603" t="s">
        <v>47</v>
      </c>
      <c r="K603">
        <v>0</v>
      </c>
      <c r="L603" t="s">
        <v>47</v>
      </c>
      <c r="M603">
        <v>0</v>
      </c>
      <c r="N603" t="s">
        <v>47</v>
      </c>
      <c r="O603">
        <v>0</v>
      </c>
      <c r="P603" t="s">
        <v>47</v>
      </c>
      <c r="Q603">
        <v>0</v>
      </c>
      <c r="R603" t="s">
        <v>47</v>
      </c>
      <c r="S603">
        <v>0</v>
      </c>
      <c r="T603" t="s">
        <v>47</v>
      </c>
    </row>
    <row r="604" spans="1:20" x14ac:dyDescent="0.35">
      <c r="A604" s="1" t="s">
        <v>1843</v>
      </c>
      <c r="B604" t="s">
        <v>14</v>
      </c>
      <c r="C604" t="s">
        <v>47</v>
      </c>
      <c r="D604" t="s">
        <v>1189</v>
      </c>
      <c r="E604">
        <v>1</v>
      </c>
      <c r="F604" t="s">
        <v>45</v>
      </c>
      <c r="G604">
        <v>1</v>
      </c>
      <c r="H604" t="s">
        <v>45</v>
      </c>
      <c r="I604">
        <v>0</v>
      </c>
      <c r="J604" t="s">
        <v>47</v>
      </c>
      <c r="K604">
        <v>0</v>
      </c>
      <c r="L604" t="s">
        <v>47</v>
      </c>
    </row>
    <row r="605" spans="1:20" x14ac:dyDescent="0.35">
      <c r="A605" s="1" t="s">
        <v>1844</v>
      </c>
      <c r="B605" t="s">
        <v>14</v>
      </c>
      <c r="C605" t="s">
        <v>47</v>
      </c>
      <c r="D605" t="s">
        <v>1190</v>
      </c>
      <c r="E605">
        <v>1</v>
      </c>
      <c r="F605" t="s">
        <v>45</v>
      </c>
      <c r="G605">
        <v>1</v>
      </c>
      <c r="H605" t="s">
        <v>45</v>
      </c>
      <c r="I605">
        <v>0</v>
      </c>
      <c r="J605" t="s">
        <v>47</v>
      </c>
      <c r="K605">
        <v>0</v>
      </c>
      <c r="L605" t="s">
        <v>47</v>
      </c>
      <c r="M605">
        <v>0</v>
      </c>
      <c r="N605" t="s">
        <v>47</v>
      </c>
      <c r="O605">
        <v>0</v>
      </c>
      <c r="P605" t="s">
        <v>47</v>
      </c>
      <c r="Q605">
        <v>0</v>
      </c>
      <c r="R605" t="s">
        <v>47</v>
      </c>
      <c r="S605">
        <v>0</v>
      </c>
      <c r="T605" t="s">
        <v>47</v>
      </c>
    </row>
    <row r="606" spans="1:20" x14ac:dyDescent="0.35">
      <c r="A606" s="1" t="s">
        <v>1845</v>
      </c>
      <c r="B606" t="s">
        <v>14</v>
      </c>
      <c r="C606" t="s">
        <v>47</v>
      </c>
      <c r="D606" t="s">
        <v>1191</v>
      </c>
      <c r="E606">
        <v>1</v>
      </c>
      <c r="F606" t="s">
        <v>45</v>
      </c>
      <c r="G606">
        <v>1</v>
      </c>
      <c r="H606" t="s">
        <v>45</v>
      </c>
      <c r="I606">
        <v>0</v>
      </c>
      <c r="J606" t="s">
        <v>47</v>
      </c>
      <c r="K606">
        <v>0</v>
      </c>
      <c r="L606" t="s">
        <v>47</v>
      </c>
      <c r="M606">
        <v>0</v>
      </c>
      <c r="N606" t="s">
        <v>47</v>
      </c>
      <c r="O606">
        <v>0</v>
      </c>
      <c r="P606" t="s">
        <v>47</v>
      </c>
      <c r="Q606">
        <v>1</v>
      </c>
      <c r="R606" t="s">
        <v>45</v>
      </c>
      <c r="S606">
        <v>0</v>
      </c>
      <c r="T606" t="s">
        <v>47</v>
      </c>
    </row>
    <row r="607" spans="1:20" x14ac:dyDescent="0.35">
      <c r="A607" s="1" t="s">
        <v>1846</v>
      </c>
      <c r="B607" t="s">
        <v>14</v>
      </c>
      <c r="C607" t="s">
        <v>47</v>
      </c>
      <c r="D607" t="s">
        <v>1192</v>
      </c>
      <c r="E607">
        <v>0</v>
      </c>
      <c r="F607" t="s">
        <v>47</v>
      </c>
      <c r="G607">
        <v>0</v>
      </c>
      <c r="H607" t="s">
        <v>47</v>
      </c>
      <c r="I607">
        <v>0</v>
      </c>
      <c r="J607" t="s">
        <v>47</v>
      </c>
      <c r="K607">
        <v>0</v>
      </c>
      <c r="L607" t="s">
        <v>47</v>
      </c>
      <c r="M607">
        <v>0</v>
      </c>
      <c r="N607" t="s">
        <v>47</v>
      </c>
      <c r="O607">
        <v>0</v>
      </c>
      <c r="P607" t="s">
        <v>47</v>
      </c>
      <c r="Q607">
        <v>1</v>
      </c>
      <c r="R607" t="s">
        <v>45</v>
      </c>
      <c r="S607">
        <v>0</v>
      </c>
      <c r="T607" t="s">
        <v>47</v>
      </c>
    </row>
    <row r="608" spans="1:20" x14ac:dyDescent="0.35">
      <c r="A608" s="1" t="s">
        <v>1847</v>
      </c>
      <c r="B608" t="s">
        <v>14</v>
      </c>
      <c r="C608" t="s">
        <v>47</v>
      </c>
      <c r="D608" t="s">
        <v>1193</v>
      </c>
      <c r="E608">
        <v>1</v>
      </c>
      <c r="F608" t="s">
        <v>45</v>
      </c>
      <c r="G608">
        <v>1</v>
      </c>
      <c r="H608" t="s">
        <v>45</v>
      </c>
      <c r="I608">
        <v>0</v>
      </c>
      <c r="J608" t="s">
        <v>47</v>
      </c>
      <c r="K608">
        <v>0</v>
      </c>
      <c r="L608" t="s">
        <v>47</v>
      </c>
      <c r="M608">
        <v>0</v>
      </c>
      <c r="N608" t="s">
        <v>47</v>
      </c>
      <c r="O608">
        <v>0</v>
      </c>
      <c r="P608" t="s">
        <v>47</v>
      </c>
      <c r="Q608">
        <v>1</v>
      </c>
      <c r="R608" t="s">
        <v>45</v>
      </c>
      <c r="S608">
        <v>0</v>
      </c>
      <c r="T608" t="s">
        <v>47</v>
      </c>
    </row>
    <row r="609" spans="1:20" x14ac:dyDescent="0.35">
      <c r="A609" s="1" t="s">
        <v>1848</v>
      </c>
      <c r="B609" t="s">
        <v>14</v>
      </c>
      <c r="C609" t="s">
        <v>47</v>
      </c>
      <c r="D609" t="s">
        <v>1194</v>
      </c>
      <c r="E609">
        <v>1</v>
      </c>
      <c r="F609" t="s">
        <v>45</v>
      </c>
      <c r="G609">
        <v>0</v>
      </c>
      <c r="H609" t="s">
        <v>47</v>
      </c>
      <c r="I609">
        <v>0</v>
      </c>
      <c r="J609" t="s">
        <v>47</v>
      </c>
      <c r="K609">
        <v>0</v>
      </c>
      <c r="L609" t="s">
        <v>47</v>
      </c>
      <c r="M609">
        <v>0</v>
      </c>
      <c r="N609" t="s">
        <v>47</v>
      </c>
      <c r="O609">
        <v>0</v>
      </c>
      <c r="P609" t="s">
        <v>47</v>
      </c>
      <c r="Q609">
        <v>1</v>
      </c>
      <c r="R609" t="s">
        <v>45</v>
      </c>
      <c r="S609">
        <v>0</v>
      </c>
      <c r="T609" t="s">
        <v>47</v>
      </c>
    </row>
    <row r="610" spans="1:20" x14ac:dyDescent="0.35">
      <c r="A610" s="1" t="s">
        <v>1849</v>
      </c>
      <c r="B610" t="s">
        <v>14</v>
      </c>
      <c r="C610" t="s">
        <v>47</v>
      </c>
      <c r="D610" t="s">
        <v>1195</v>
      </c>
      <c r="E610">
        <v>0</v>
      </c>
      <c r="F610" t="s">
        <v>47</v>
      </c>
      <c r="G610">
        <v>1</v>
      </c>
      <c r="H610" t="s">
        <v>45</v>
      </c>
      <c r="I610">
        <v>0</v>
      </c>
      <c r="J610" t="s">
        <v>47</v>
      </c>
      <c r="K610">
        <v>0</v>
      </c>
      <c r="L610" t="s">
        <v>47</v>
      </c>
      <c r="M610">
        <v>0</v>
      </c>
      <c r="N610" t="s">
        <v>47</v>
      </c>
      <c r="O610">
        <v>0</v>
      </c>
      <c r="P610" t="s">
        <v>47</v>
      </c>
      <c r="Q610">
        <v>0</v>
      </c>
      <c r="R610" t="s">
        <v>47</v>
      </c>
      <c r="S610">
        <v>0</v>
      </c>
      <c r="T610" t="s">
        <v>47</v>
      </c>
    </row>
    <row r="611" spans="1:20" x14ac:dyDescent="0.35">
      <c r="A611" s="1" t="s">
        <v>1850</v>
      </c>
      <c r="B611" t="s">
        <v>14</v>
      </c>
      <c r="C611" t="s">
        <v>47</v>
      </c>
      <c r="D611" t="s">
        <v>1196</v>
      </c>
      <c r="E611">
        <v>1</v>
      </c>
      <c r="F611" t="s">
        <v>45</v>
      </c>
      <c r="G611">
        <v>0</v>
      </c>
      <c r="H611" t="s">
        <v>47</v>
      </c>
      <c r="I611">
        <v>0</v>
      </c>
      <c r="J611" t="s">
        <v>47</v>
      </c>
      <c r="K611">
        <v>0</v>
      </c>
      <c r="L611" t="s">
        <v>47</v>
      </c>
      <c r="M611">
        <v>0</v>
      </c>
      <c r="N611" t="s">
        <v>47</v>
      </c>
      <c r="O611">
        <v>0</v>
      </c>
      <c r="P611" t="s">
        <v>47</v>
      </c>
      <c r="Q611">
        <v>0</v>
      </c>
      <c r="R611" t="s">
        <v>47</v>
      </c>
      <c r="S611">
        <v>0</v>
      </c>
      <c r="T611" t="s">
        <v>47</v>
      </c>
    </row>
    <row r="612" spans="1:20" x14ac:dyDescent="0.35">
      <c r="A612" s="1" t="s">
        <v>1851</v>
      </c>
      <c r="B612" t="s">
        <v>14</v>
      </c>
      <c r="C612" t="s">
        <v>47</v>
      </c>
      <c r="D612" t="s">
        <v>1197</v>
      </c>
      <c r="E612">
        <v>1</v>
      </c>
      <c r="F612" t="s">
        <v>45</v>
      </c>
      <c r="G612">
        <v>1</v>
      </c>
      <c r="H612" t="s">
        <v>45</v>
      </c>
      <c r="I612">
        <v>0</v>
      </c>
      <c r="J612" t="s">
        <v>47</v>
      </c>
      <c r="K612">
        <v>0</v>
      </c>
      <c r="L612" t="s">
        <v>47</v>
      </c>
      <c r="M612">
        <v>0</v>
      </c>
      <c r="N612" t="s">
        <v>47</v>
      </c>
      <c r="O612">
        <v>0</v>
      </c>
      <c r="P612" t="s">
        <v>47</v>
      </c>
      <c r="Q612">
        <v>1</v>
      </c>
      <c r="R612" t="s">
        <v>45</v>
      </c>
      <c r="S612">
        <v>0</v>
      </c>
      <c r="T612" t="s">
        <v>47</v>
      </c>
    </row>
    <row r="613" spans="1:20" x14ac:dyDescent="0.35">
      <c r="A613" s="1" t="s">
        <v>1852</v>
      </c>
      <c r="B613" t="s">
        <v>14</v>
      </c>
      <c r="C613" t="s">
        <v>47</v>
      </c>
      <c r="D613" t="s">
        <v>1198</v>
      </c>
      <c r="E613">
        <v>1</v>
      </c>
      <c r="F613" t="s">
        <v>45</v>
      </c>
      <c r="G613">
        <v>1</v>
      </c>
      <c r="H613" t="s">
        <v>45</v>
      </c>
      <c r="I613">
        <v>0</v>
      </c>
      <c r="J613" t="s">
        <v>47</v>
      </c>
      <c r="K613">
        <v>0</v>
      </c>
      <c r="L613" t="s">
        <v>47</v>
      </c>
      <c r="M613">
        <v>0</v>
      </c>
      <c r="N613" t="s">
        <v>47</v>
      </c>
      <c r="O613">
        <v>0</v>
      </c>
      <c r="P613" t="s">
        <v>47</v>
      </c>
      <c r="Q613">
        <v>1</v>
      </c>
      <c r="R613" t="s">
        <v>45</v>
      </c>
      <c r="S613">
        <v>0</v>
      </c>
      <c r="T613" t="s">
        <v>47</v>
      </c>
    </row>
    <row r="614" spans="1:20" x14ac:dyDescent="0.35">
      <c r="A614" s="1" t="s">
        <v>1853</v>
      </c>
      <c r="B614" t="s">
        <v>14</v>
      </c>
      <c r="C614" t="s">
        <v>47</v>
      </c>
      <c r="D614" t="s">
        <v>1199</v>
      </c>
      <c r="E614">
        <v>1</v>
      </c>
      <c r="F614" t="s">
        <v>45</v>
      </c>
      <c r="G614">
        <v>0</v>
      </c>
      <c r="H614" t="s">
        <v>47</v>
      </c>
      <c r="I614">
        <v>0</v>
      </c>
      <c r="J614" t="s">
        <v>47</v>
      </c>
      <c r="K614">
        <v>0</v>
      </c>
      <c r="L614" t="s">
        <v>47</v>
      </c>
      <c r="M614">
        <v>0</v>
      </c>
      <c r="N614" t="s">
        <v>47</v>
      </c>
      <c r="O614">
        <v>0</v>
      </c>
      <c r="P614" t="s">
        <v>47</v>
      </c>
      <c r="Q614">
        <v>1</v>
      </c>
      <c r="R614" t="s">
        <v>45</v>
      </c>
      <c r="S614">
        <v>0</v>
      </c>
      <c r="T614" t="s">
        <v>47</v>
      </c>
    </row>
    <row r="615" spans="1:20" x14ac:dyDescent="0.35">
      <c r="A615" s="1" t="s">
        <v>1854</v>
      </c>
      <c r="B615" t="s">
        <v>14</v>
      </c>
      <c r="C615" t="s">
        <v>47</v>
      </c>
      <c r="D615" t="s">
        <v>1200</v>
      </c>
      <c r="E615">
        <v>0</v>
      </c>
      <c r="F615" t="s">
        <v>47</v>
      </c>
      <c r="G615">
        <v>1</v>
      </c>
      <c r="H615" t="s">
        <v>45</v>
      </c>
      <c r="I615">
        <v>0</v>
      </c>
      <c r="J615" t="s">
        <v>47</v>
      </c>
      <c r="K615">
        <v>0</v>
      </c>
      <c r="L615" t="s">
        <v>47</v>
      </c>
      <c r="M615">
        <v>0</v>
      </c>
      <c r="N615" t="s">
        <v>47</v>
      </c>
      <c r="O615">
        <v>0</v>
      </c>
      <c r="P615" t="s">
        <v>47</v>
      </c>
      <c r="Q615">
        <v>1</v>
      </c>
      <c r="R615" t="s">
        <v>45</v>
      </c>
      <c r="S615">
        <v>0</v>
      </c>
      <c r="T615" t="s">
        <v>47</v>
      </c>
    </row>
    <row r="616" spans="1:20" x14ac:dyDescent="0.35">
      <c r="A616" s="1" t="s">
        <v>1855</v>
      </c>
      <c r="B616" t="s">
        <v>16</v>
      </c>
      <c r="C616" t="s">
        <v>47</v>
      </c>
      <c r="D616" t="s">
        <v>1201</v>
      </c>
      <c r="E616">
        <v>1</v>
      </c>
      <c r="F616" t="s">
        <v>45</v>
      </c>
      <c r="G616">
        <v>0</v>
      </c>
      <c r="H616" t="s">
        <v>47</v>
      </c>
      <c r="I616">
        <v>0</v>
      </c>
      <c r="J616" t="s">
        <v>47</v>
      </c>
      <c r="K616">
        <v>0</v>
      </c>
      <c r="L616" t="s">
        <v>47</v>
      </c>
      <c r="M616">
        <v>0</v>
      </c>
      <c r="N616" t="s">
        <v>47</v>
      </c>
      <c r="O616">
        <v>0</v>
      </c>
      <c r="P616" t="s">
        <v>47</v>
      </c>
      <c r="Q616">
        <v>1</v>
      </c>
      <c r="R616" t="s">
        <v>45</v>
      </c>
      <c r="S616">
        <v>0</v>
      </c>
      <c r="T616" t="s">
        <v>47</v>
      </c>
    </row>
    <row r="617" spans="1:20" x14ac:dyDescent="0.35">
      <c r="A617" s="1" t="s">
        <v>1856</v>
      </c>
      <c r="B617" t="s">
        <v>14</v>
      </c>
      <c r="C617" t="s">
        <v>47</v>
      </c>
      <c r="D617" t="s">
        <v>1202</v>
      </c>
      <c r="E617">
        <v>1</v>
      </c>
      <c r="F617" t="s">
        <v>45</v>
      </c>
      <c r="G617">
        <v>1</v>
      </c>
      <c r="H617" t="s">
        <v>45</v>
      </c>
      <c r="I617">
        <v>0</v>
      </c>
      <c r="J617" t="s">
        <v>47</v>
      </c>
      <c r="K617">
        <v>0</v>
      </c>
      <c r="L617" t="s">
        <v>47</v>
      </c>
      <c r="M617">
        <v>0</v>
      </c>
      <c r="N617" t="s">
        <v>47</v>
      </c>
      <c r="O617">
        <v>0</v>
      </c>
      <c r="P617" t="s">
        <v>47</v>
      </c>
      <c r="Q617">
        <v>0</v>
      </c>
      <c r="R617" t="s">
        <v>47</v>
      </c>
      <c r="S617">
        <v>0</v>
      </c>
      <c r="T617" t="s">
        <v>47</v>
      </c>
    </row>
    <row r="618" spans="1:20" x14ac:dyDescent="0.35">
      <c r="A618" s="1" t="s">
        <v>1857</v>
      </c>
      <c r="B618" t="s">
        <v>14</v>
      </c>
      <c r="C618" t="s">
        <v>47</v>
      </c>
      <c r="D618" t="s">
        <v>1203</v>
      </c>
      <c r="E618">
        <v>0</v>
      </c>
      <c r="F618" t="s">
        <v>47</v>
      </c>
      <c r="G618">
        <v>0</v>
      </c>
      <c r="H618" t="s">
        <v>47</v>
      </c>
      <c r="I618">
        <v>0</v>
      </c>
      <c r="J618" t="s">
        <v>47</v>
      </c>
      <c r="K618">
        <v>0</v>
      </c>
      <c r="L618" t="s">
        <v>47</v>
      </c>
      <c r="M618">
        <v>0</v>
      </c>
      <c r="N618" t="s">
        <v>47</v>
      </c>
      <c r="O618">
        <v>0</v>
      </c>
      <c r="P618" t="s">
        <v>47</v>
      </c>
      <c r="Q618">
        <v>1</v>
      </c>
      <c r="R618" t="s">
        <v>45</v>
      </c>
      <c r="S618">
        <v>0</v>
      </c>
      <c r="T618" t="s">
        <v>47</v>
      </c>
    </row>
    <row r="619" spans="1:20" x14ac:dyDescent="0.35">
      <c r="A619" s="1" t="s">
        <v>1858</v>
      </c>
      <c r="B619" t="s">
        <v>14</v>
      </c>
      <c r="C619" t="s">
        <v>47</v>
      </c>
      <c r="D619" t="s">
        <v>1204</v>
      </c>
      <c r="E619">
        <v>0</v>
      </c>
      <c r="F619" t="s">
        <v>47</v>
      </c>
      <c r="G619">
        <v>1</v>
      </c>
      <c r="H619" t="s">
        <v>45</v>
      </c>
      <c r="I619">
        <v>0</v>
      </c>
      <c r="J619" t="s">
        <v>47</v>
      </c>
      <c r="K619">
        <v>0</v>
      </c>
      <c r="L619" t="s">
        <v>47</v>
      </c>
      <c r="M619">
        <v>0</v>
      </c>
      <c r="N619" t="s">
        <v>47</v>
      </c>
      <c r="O619">
        <v>0</v>
      </c>
      <c r="P619" t="s">
        <v>47</v>
      </c>
      <c r="Q619">
        <v>1</v>
      </c>
      <c r="R619" t="s">
        <v>45</v>
      </c>
      <c r="S619">
        <v>0</v>
      </c>
      <c r="T619" t="s">
        <v>47</v>
      </c>
    </row>
    <row r="620" spans="1:20" x14ac:dyDescent="0.35">
      <c r="A620" s="1" t="s">
        <v>1859</v>
      </c>
      <c r="B620" t="s">
        <v>14</v>
      </c>
      <c r="C620" t="s">
        <v>47</v>
      </c>
      <c r="D620" t="s">
        <v>1205</v>
      </c>
      <c r="E620">
        <v>1</v>
      </c>
      <c r="F620" t="s">
        <v>45</v>
      </c>
      <c r="G620">
        <v>1</v>
      </c>
      <c r="H620" t="s">
        <v>45</v>
      </c>
      <c r="I620">
        <v>0</v>
      </c>
      <c r="J620" t="s">
        <v>47</v>
      </c>
      <c r="K620">
        <v>0</v>
      </c>
      <c r="L620" t="s">
        <v>47</v>
      </c>
      <c r="M620">
        <v>0</v>
      </c>
      <c r="N620" t="s">
        <v>47</v>
      </c>
      <c r="O620">
        <v>0</v>
      </c>
      <c r="P620" t="s">
        <v>47</v>
      </c>
      <c r="Q620">
        <v>1</v>
      </c>
      <c r="R620" t="s">
        <v>45</v>
      </c>
      <c r="S620">
        <v>0</v>
      </c>
      <c r="T620" t="s">
        <v>47</v>
      </c>
    </row>
    <row r="621" spans="1:20" x14ac:dyDescent="0.35">
      <c r="A621" s="1" t="s">
        <v>1860</v>
      </c>
      <c r="B621" t="s">
        <v>14</v>
      </c>
      <c r="C621" t="s">
        <v>47</v>
      </c>
      <c r="D621" t="s">
        <v>1206</v>
      </c>
      <c r="E621">
        <v>1</v>
      </c>
      <c r="F621" t="s">
        <v>45</v>
      </c>
      <c r="G621">
        <v>1</v>
      </c>
      <c r="H621" t="s">
        <v>45</v>
      </c>
      <c r="I621">
        <v>0</v>
      </c>
      <c r="J621" t="s">
        <v>47</v>
      </c>
      <c r="K621">
        <v>0</v>
      </c>
      <c r="L621" t="s">
        <v>47</v>
      </c>
      <c r="M621">
        <v>0</v>
      </c>
      <c r="N621" t="s">
        <v>47</v>
      </c>
      <c r="O621">
        <v>0</v>
      </c>
      <c r="P621" t="s">
        <v>47</v>
      </c>
      <c r="Q621">
        <v>0</v>
      </c>
      <c r="R621" t="s">
        <v>47</v>
      </c>
      <c r="S621">
        <v>0</v>
      </c>
      <c r="T621" t="s">
        <v>47</v>
      </c>
    </row>
    <row r="622" spans="1:20" x14ac:dyDescent="0.35">
      <c r="A622" s="1" t="s">
        <v>1861</v>
      </c>
      <c r="B622" t="s">
        <v>14</v>
      </c>
      <c r="C622" t="s">
        <v>47</v>
      </c>
      <c r="D622" t="s">
        <v>1207</v>
      </c>
      <c r="E622">
        <v>1</v>
      </c>
      <c r="F622" t="s">
        <v>45</v>
      </c>
      <c r="G622">
        <v>1</v>
      </c>
      <c r="H622" t="s">
        <v>45</v>
      </c>
      <c r="I622">
        <v>0</v>
      </c>
      <c r="J622" t="s">
        <v>47</v>
      </c>
      <c r="K622">
        <v>0</v>
      </c>
      <c r="L622" t="s">
        <v>47</v>
      </c>
      <c r="M622">
        <v>0</v>
      </c>
      <c r="N622" t="s">
        <v>47</v>
      </c>
      <c r="O622">
        <v>0</v>
      </c>
      <c r="P622" t="s">
        <v>47</v>
      </c>
      <c r="Q622">
        <v>0</v>
      </c>
      <c r="R622" t="s">
        <v>47</v>
      </c>
      <c r="S622">
        <v>0</v>
      </c>
      <c r="T622" t="s">
        <v>47</v>
      </c>
    </row>
    <row r="623" spans="1:20" x14ac:dyDescent="0.35">
      <c r="A623" s="1" t="s">
        <v>1862</v>
      </c>
      <c r="B623" t="s">
        <v>14</v>
      </c>
      <c r="C623" t="s">
        <v>47</v>
      </c>
      <c r="D623" t="s">
        <v>1208</v>
      </c>
      <c r="E623">
        <v>1</v>
      </c>
      <c r="F623" t="s">
        <v>45</v>
      </c>
      <c r="G623">
        <v>1</v>
      </c>
      <c r="H623" t="s">
        <v>45</v>
      </c>
      <c r="I623">
        <v>0</v>
      </c>
      <c r="J623" t="s">
        <v>47</v>
      </c>
      <c r="K623">
        <v>0</v>
      </c>
      <c r="L623" t="s">
        <v>47</v>
      </c>
      <c r="M623">
        <v>0</v>
      </c>
      <c r="N623" t="s">
        <v>47</v>
      </c>
      <c r="O623">
        <v>0</v>
      </c>
      <c r="P623" t="s">
        <v>47</v>
      </c>
      <c r="Q623">
        <v>0</v>
      </c>
      <c r="R623" t="s">
        <v>47</v>
      </c>
      <c r="S623">
        <v>0</v>
      </c>
      <c r="T623" t="s">
        <v>47</v>
      </c>
    </row>
    <row r="624" spans="1:20" x14ac:dyDescent="0.35">
      <c r="A624" s="1" t="s">
        <v>1863</v>
      </c>
      <c r="B624" t="s">
        <v>14</v>
      </c>
      <c r="C624" t="s">
        <v>47</v>
      </c>
      <c r="D624" t="s">
        <v>1209</v>
      </c>
      <c r="E624">
        <v>0</v>
      </c>
      <c r="F624" t="s">
        <v>47</v>
      </c>
      <c r="G624">
        <v>1</v>
      </c>
      <c r="H624" t="s">
        <v>45</v>
      </c>
      <c r="I624">
        <v>0</v>
      </c>
      <c r="J624" t="s">
        <v>47</v>
      </c>
      <c r="K624">
        <v>0</v>
      </c>
      <c r="L624" t="s">
        <v>47</v>
      </c>
      <c r="M624">
        <v>0</v>
      </c>
      <c r="N624" t="s">
        <v>47</v>
      </c>
      <c r="O624">
        <v>0</v>
      </c>
      <c r="P624" t="s">
        <v>47</v>
      </c>
      <c r="Q624">
        <v>1</v>
      </c>
      <c r="R624" t="s">
        <v>45</v>
      </c>
      <c r="S624">
        <v>0</v>
      </c>
      <c r="T624" t="s">
        <v>47</v>
      </c>
    </row>
    <row r="625" spans="1:20" x14ac:dyDescent="0.35">
      <c r="A625" s="1" t="s">
        <v>1864</v>
      </c>
      <c r="B625" t="s">
        <v>16</v>
      </c>
      <c r="C625" t="s">
        <v>47</v>
      </c>
      <c r="D625" t="s">
        <v>1210</v>
      </c>
      <c r="E625">
        <v>1</v>
      </c>
      <c r="F625" t="s">
        <v>45</v>
      </c>
      <c r="G625">
        <v>1</v>
      </c>
      <c r="H625" t="s">
        <v>45</v>
      </c>
      <c r="I625">
        <v>0</v>
      </c>
      <c r="J625" t="s">
        <v>47</v>
      </c>
      <c r="K625">
        <v>0</v>
      </c>
      <c r="L625" t="s">
        <v>47</v>
      </c>
      <c r="M625">
        <v>0</v>
      </c>
      <c r="N625" t="s">
        <v>47</v>
      </c>
      <c r="O625">
        <v>0</v>
      </c>
      <c r="P625" t="s">
        <v>47</v>
      </c>
      <c r="Q625">
        <v>0</v>
      </c>
      <c r="R625" t="s">
        <v>47</v>
      </c>
      <c r="S625">
        <v>0</v>
      </c>
      <c r="T625" t="s">
        <v>47</v>
      </c>
    </row>
    <row r="626" spans="1:20" x14ac:dyDescent="0.35">
      <c r="A626" s="1" t="s">
        <v>1865</v>
      </c>
      <c r="B626" t="s">
        <v>16</v>
      </c>
      <c r="C626" t="s">
        <v>47</v>
      </c>
      <c r="D626" t="s">
        <v>1211</v>
      </c>
      <c r="E626">
        <v>1</v>
      </c>
      <c r="F626" t="s">
        <v>45</v>
      </c>
      <c r="G626">
        <v>1</v>
      </c>
      <c r="H626" t="s">
        <v>45</v>
      </c>
      <c r="I626">
        <v>0</v>
      </c>
      <c r="J626" t="s">
        <v>47</v>
      </c>
      <c r="K626">
        <v>0</v>
      </c>
      <c r="L626" t="s">
        <v>47</v>
      </c>
      <c r="M626">
        <v>0</v>
      </c>
      <c r="N626" t="s">
        <v>47</v>
      </c>
      <c r="O626">
        <v>0</v>
      </c>
      <c r="P626" t="s">
        <v>47</v>
      </c>
      <c r="Q626">
        <v>0</v>
      </c>
      <c r="R626" t="s">
        <v>47</v>
      </c>
      <c r="S626">
        <v>0</v>
      </c>
      <c r="T626" t="s">
        <v>47</v>
      </c>
    </row>
    <row r="627" spans="1:20" x14ac:dyDescent="0.35">
      <c r="A627" s="1" t="s">
        <v>1866</v>
      </c>
      <c r="B627" t="s">
        <v>14</v>
      </c>
      <c r="C627" t="s">
        <v>47</v>
      </c>
      <c r="D627" t="s">
        <v>1214</v>
      </c>
      <c r="E627">
        <v>1</v>
      </c>
      <c r="F627" t="s">
        <v>45</v>
      </c>
      <c r="G627">
        <v>1</v>
      </c>
      <c r="H627" t="s">
        <v>45</v>
      </c>
      <c r="I627">
        <v>0</v>
      </c>
      <c r="J627" t="s">
        <v>47</v>
      </c>
      <c r="K627">
        <v>0</v>
      </c>
      <c r="L627" t="s">
        <v>47</v>
      </c>
      <c r="M627">
        <v>0</v>
      </c>
      <c r="N627" t="s">
        <v>47</v>
      </c>
      <c r="O627">
        <v>0</v>
      </c>
      <c r="P627" t="s">
        <v>47</v>
      </c>
      <c r="Q627">
        <v>0</v>
      </c>
      <c r="R627" t="s">
        <v>47</v>
      </c>
      <c r="S627">
        <v>0</v>
      </c>
      <c r="T627" t="s">
        <v>47</v>
      </c>
    </row>
    <row r="628" spans="1:20" x14ac:dyDescent="0.35">
      <c r="A628" s="1" t="s">
        <v>1867</v>
      </c>
      <c r="B628" t="s">
        <v>14</v>
      </c>
      <c r="C628" t="s">
        <v>47</v>
      </c>
      <c r="D628" t="s">
        <v>1215</v>
      </c>
      <c r="E628">
        <v>1</v>
      </c>
      <c r="F628" t="s">
        <v>45</v>
      </c>
      <c r="G628">
        <v>1</v>
      </c>
      <c r="H628" t="s">
        <v>45</v>
      </c>
      <c r="I628">
        <v>0</v>
      </c>
      <c r="J628" t="s">
        <v>47</v>
      </c>
      <c r="K628">
        <v>0</v>
      </c>
      <c r="L628" t="s">
        <v>47</v>
      </c>
      <c r="M628">
        <v>0</v>
      </c>
      <c r="N628" t="s">
        <v>47</v>
      </c>
      <c r="O628">
        <v>0</v>
      </c>
      <c r="P628" t="s">
        <v>47</v>
      </c>
      <c r="Q628">
        <v>0</v>
      </c>
      <c r="R628" t="s">
        <v>47</v>
      </c>
      <c r="S628">
        <v>0</v>
      </c>
      <c r="T628" t="s">
        <v>47</v>
      </c>
    </row>
    <row r="629" spans="1:20" x14ac:dyDescent="0.35">
      <c r="A629" s="1" t="s">
        <v>1868</v>
      </c>
      <c r="B629" t="s">
        <v>14</v>
      </c>
      <c r="C629" t="s">
        <v>47</v>
      </c>
      <c r="D629" t="s">
        <v>1216</v>
      </c>
      <c r="E629">
        <v>0</v>
      </c>
      <c r="F629" t="s">
        <v>47</v>
      </c>
      <c r="G629">
        <v>1</v>
      </c>
      <c r="H629" t="s">
        <v>45</v>
      </c>
      <c r="I629">
        <v>0</v>
      </c>
      <c r="J629" t="s">
        <v>47</v>
      </c>
      <c r="K629">
        <v>0</v>
      </c>
      <c r="L629" t="s">
        <v>47</v>
      </c>
      <c r="M629">
        <v>0</v>
      </c>
      <c r="N629" t="s">
        <v>47</v>
      </c>
      <c r="O629">
        <v>0</v>
      </c>
      <c r="P629" t="s">
        <v>47</v>
      </c>
      <c r="Q629">
        <v>1</v>
      </c>
      <c r="R629" t="s">
        <v>45</v>
      </c>
      <c r="S629">
        <v>0</v>
      </c>
      <c r="T629" t="s">
        <v>47</v>
      </c>
    </row>
    <row r="630" spans="1:20" x14ac:dyDescent="0.35">
      <c r="A630" s="1" t="s">
        <v>1869</v>
      </c>
      <c r="B630" t="s">
        <v>14</v>
      </c>
      <c r="C630" t="s">
        <v>47</v>
      </c>
      <c r="D630" t="s">
        <v>1217</v>
      </c>
      <c r="E630">
        <v>1</v>
      </c>
      <c r="F630" t="s">
        <v>45</v>
      </c>
      <c r="G630">
        <v>1</v>
      </c>
      <c r="H630" t="s">
        <v>45</v>
      </c>
      <c r="I630">
        <v>0</v>
      </c>
      <c r="J630" t="s">
        <v>47</v>
      </c>
      <c r="K630">
        <v>0</v>
      </c>
      <c r="L630" t="s">
        <v>47</v>
      </c>
      <c r="M630">
        <v>0</v>
      </c>
      <c r="N630" t="s">
        <v>47</v>
      </c>
      <c r="O630">
        <v>0</v>
      </c>
      <c r="P630" t="s">
        <v>47</v>
      </c>
      <c r="Q630">
        <v>1</v>
      </c>
      <c r="R630" t="s">
        <v>45</v>
      </c>
      <c r="S630">
        <v>0</v>
      </c>
      <c r="T630" t="s">
        <v>47</v>
      </c>
    </row>
    <row r="631" spans="1:20" x14ac:dyDescent="0.35">
      <c r="A631" s="1" t="s">
        <v>1870</v>
      </c>
      <c r="B631" t="s">
        <v>14</v>
      </c>
      <c r="C631" t="s">
        <v>47</v>
      </c>
      <c r="D631" t="s">
        <v>1218</v>
      </c>
      <c r="E631">
        <v>1</v>
      </c>
      <c r="F631" t="s">
        <v>45</v>
      </c>
      <c r="G631">
        <v>1</v>
      </c>
      <c r="H631" t="s">
        <v>45</v>
      </c>
      <c r="I631">
        <v>0</v>
      </c>
      <c r="J631" t="s">
        <v>47</v>
      </c>
      <c r="K631">
        <v>0</v>
      </c>
      <c r="L631" t="s">
        <v>47</v>
      </c>
      <c r="M631">
        <v>0</v>
      </c>
      <c r="N631" t="s">
        <v>47</v>
      </c>
      <c r="O631">
        <v>0</v>
      </c>
      <c r="P631" t="s">
        <v>47</v>
      </c>
      <c r="Q631">
        <v>0</v>
      </c>
      <c r="R631" t="s">
        <v>47</v>
      </c>
      <c r="S631">
        <v>0</v>
      </c>
      <c r="T631" t="s">
        <v>47</v>
      </c>
    </row>
    <row r="632" spans="1:20" x14ac:dyDescent="0.35">
      <c r="A632" s="1" t="s">
        <v>1871</v>
      </c>
      <c r="B632" t="s">
        <v>14</v>
      </c>
      <c r="C632" t="s">
        <v>47</v>
      </c>
      <c r="D632" t="s">
        <v>1219</v>
      </c>
      <c r="E632">
        <v>1</v>
      </c>
      <c r="F632" t="s">
        <v>45</v>
      </c>
      <c r="G632">
        <v>1</v>
      </c>
      <c r="H632" t="s">
        <v>45</v>
      </c>
      <c r="I632">
        <v>0</v>
      </c>
      <c r="J632" t="s">
        <v>47</v>
      </c>
      <c r="K632">
        <v>0</v>
      </c>
      <c r="L632" t="s">
        <v>47</v>
      </c>
      <c r="M632">
        <v>1</v>
      </c>
      <c r="N632" t="s">
        <v>45</v>
      </c>
      <c r="O632">
        <v>0</v>
      </c>
      <c r="P632" t="s">
        <v>47</v>
      </c>
      <c r="Q632">
        <v>0</v>
      </c>
      <c r="R632" t="s">
        <v>47</v>
      </c>
      <c r="S632">
        <v>0</v>
      </c>
      <c r="T632" t="s">
        <v>47</v>
      </c>
    </row>
    <row r="633" spans="1:20" x14ac:dyDescent="0.35">
      <c r="A633" s="1" t="s">
        <v>1872</v>
      </c>
      <c r="B633" t="s">
        <v>16</v>
      </c>
      <c r="C633" t="s">
        <v>47</v>
      </c>
      <c r="D633" t="s">
        <v>1224</v>
      </c>
      <c r="E633">
        <v>1</v>
      </c>
      <c r="F633" t="s">
        <v>45</v>
      </c>
      <c r="G633">
        <v>1</v>
      </c>
      <c r="H633" t="s">
        <v>45</v>
      </c>
      <c r="I633">
        <v>0</v>
      </c>
      <c r="J633" t="s">
        <v>47</v>
      </c>
      <c r="K633">
        <v>0</v>
      </c>
      <c r="L633" t="s">
        <v>47</v>
      </c>
      <c r="M633">
        <v>0</v>
      </c>
      <c r="N633" t="s">
        <v>47</v>
      </c>
      <c r="O633">
        <v>0</v>
      </c>
      <c r="P633" t="s">
        <v>47</v>
      </c>
      <c r="Q633">
        <v>0</v>
      </c>
      <c r="R633" t="s">
        <v>47</v>
      </c>
      <c r="S633">
        <v>0</v>
      </c>
      <c r="T633" t="s">
        <v>47</v>
      </c>
    </row>
    <row r="634" spans="1:20" x14ac:dyDescent="0.35">
      <c r="A634" s="1" t="s">
        <v>1873</v>
      </c>
      <c r="B634" t="s">
        <v>14</v>
      </c>
      <c r="C634" t="s">
        <v>47</v>
      </c>
      <c r="D634" t="s">
        <v>1212</v>
      </c>
      <c r="E634">
        <v>1</v>
      </c>
      <c r="F634" t="s">
        <v>45</v>
      </c>
      <c r="G634">
        <v>0</v>
      </c>
      <c r="H634" t="s">
        <v>47</v>
      </c>
      <c r="I634">
        <v>0</v>
      </c>
      <c r="J634" t="s">
        <v>47</v>
      </c>
      <c r="K634">
        <v>0</v>
      </c>
      <c r="L634" t="s">
        <v>47</v>
      </c>
      <c r="M634">
        <v>0</v>
      </c>
      <c r="N634" t="s">
        <v>47</v>
      </c>
      <c r="O634">
        <v>0</v>
      </c>
      <c r="P634" t="s">
        <v>47</v>
      </c>
      <c r="Q634">
        <v>1</v>
      </c>
      <c r="R634" t="s">
        <v>45</v>
      </c>
      <c r="S634">
        <v>0</v>
      </c>
      <c r="T634" t="s">
        <v>47</v>
      </c>
    </row>
    <row r="635" spans="1:20" x14ac:dyDescent="0.35">
      <c r="A635" s="1" t="s">
        <v>1874</v>
      </c>
      <c r="B635" t="s">
        <v>14</v>
      </c>
      <c r="C635" t="s">
        <v>47</v>
      </c>
      <c r="D635" t="s">
        <v>1220</v>
      </c>
      <c r="E635">
        <v>1</v>
      </c>
      <c r="F635" t="s">
        <v>45</v>
      </c>
      <c r="G635">
        <v>1</v>
      </c>
      <c r="H635" t="s">
        <v>45</v>
      </c>
      <c r="I635">
        <v>0</v>
      </c>
      <c r="J635" t="s">
        <v>47</v>
      </c>
      <c r="K635">
        <v>0</v>
      </c>
      <c r="L635" t="s">
        <v>47</v>
      </c>
      <c r="M635">
        <v>1</v>
      </c>
      <c r="N635" t="s">
        <v>45</v>
      </c>
      <c r="O635">
        <v>0</v>
      </c>
      <c r="P635" t="s">
        <v>47</v>
      </c>
      <c r="Q635">
        <v>0</v>
      </c>
      <c r="R635" t="s">
        <v>47</v>
      </c>
      <c r="S635">
        <v>0</v>
      </c>
      <c r="T635" t="s">
        <v>47</v>
      </c>
    </row>
    <row r="636" spans="1:20" x14ac:dyDescent="0.35">
      <c r="A636" s="1" t="s">
        <v>1875</v>
      </c>
      <c r="B636" t="s">
        <v>14</v>
      </c>
      <c r="C636" t="s">
        <v>47</v>
      </c>
      <c r="D636" t="s">
        <v>1221</v>
      </c>
      <c r="E636">
        <v>1</v>
      </c>
      <c r="F636" t="s">
        <v>45</v>
      </c>
      <c r="G636">
        <v>0</v>
      </c>
      <c r="H636" t="s">
        <v>47</v>
      </c>
      <c r="I636">
        <v>0</v>
      </c>
      <c r="J636" t="s">
        <v>47</v>
      </c>
      <c r="K636">
        <v>0</v>
      </c>
      <c r="L636" t="s">
        <v>47</v>
      </c>
      <c r="M636">
        <v>0</v>
      </c>
      <c r="N636" t="s">
        <v>47</v>
      </c>
      <c r="O636">
        <v>0</v>
      </c>
      <c r="P636" t="s">
        <v>47</v>
      </c>
      <c r="Q636">
        <v>0</v>
      </c>
      <c r="R636" t="s">
        <v>47</v>
      </c>
      <c r="S636">
        <v>0</v>
      </c>
      <c r="T636" t="s">
        <v>47</v>
      </c>
    </row>
    <row r="637" spans="1:20" x14ac:dyDescent="0.35">
      <c r="A637" s="1" t="s">
        <v>1876</v>
      </c>
      <c r="B637" t="s">
        <v>14</v>
      </c>
      <c r="C637" t="s">
        <v>47</v>
      </c>
      <c r="D637" t="s">
        <v>1222</v>
      </c>
      <c r="E637">
        <v>1</v>
      </c>
      <c r="F637" t="s">
        <v>45</v>
      </c>
      <c r="G637">
        <v>1</v>
      </c>
      <c r="H637" t="s">
        <v>45</v>
      </c>
      <c r="I637">
        <v>0</v>
      </c>
      <c r="J637" t="s">
        <v>47</v>
      </c>
      <c r="K637">
        <v>0</v>
      </c>
      <c r="L637" t="s">
        <v>47</v>
      </c>
      <c r="M637">
        <v>0</v>
      </c>
      <c r="N637" t="s">
        <v>47</v>
      </c>
      <c r="O637">
        <v>0</v>
      </c>
      <c r="P637" t="s">
        <v>47</v>
      </c>
      <c r="Q637">
        <v>0</v>
      </c>
      <c r="R637" t="s">
        <v>47</v>
      </c>
      <c r="S637">
        <v>0</v>
      </c>
      <c r="T637" t="s">
        <v>47</v>
      </c>
    </row>
    <row r="638" spans="1:20" x14ac:dyDescent="0.35">
      <c r="A638" s="1" t="s">
        <v>1877</v>
      </c>
      <c r="B638" t="s">
        <v>14</v>
      </c>
      <c r="C638" t="s">
        <v>47</v>
      </c>
      <c r="D638" t="s">
        <v>1223</v>
      </c>
      <c r="E638">
        <v>1</v>
      </c>
      <c r="F638" t="s">
        <v>45</v>
      </c>
      <c r="G638">
        <v>1</v>
      </c>
      <c r="H638" t="s">
        <v>45</v>
      </c>
      <c r="I638">
        <v>0</v>
      </c>
      <c r="J638" t="s">
        <v>47</v>
      </c>
      <c r="K638">
        <v>0</v>
      </c>
      <c r="L638" t="s">
        <v>47</v>
      </c>
      <c r="M638">
        <v>1</v>
      </c>
      <c r="N638" t="s">
        <v>45</v>
      </c>
      <c r="O638">
        <v>0</v>
      </c>
      <c r="P638" t="s">
        <v>47</v>
      </c>
      <c r="Q638">
        <v>0</v>
      </c>
      <c r="R638" t="s">
        <v>47</v>
      </c>
      <c r="S638">
        <v>0</v>
      </c>
      <c r="T638" t="s">
        <v>47</v>
      </c>
    </row>
    <row r="639" spans="1:20" x14ac:dyDescent="0.35">
      <c r="A639" s="1" t="s">
        <v>1878</v>
      </c>
      <c r="B639" t="s">
        <v>14</v>
      </c>
      <c r="C639" t="s">
        <v>47</v>
      </c>
      <c r="D639" t="s">
        <v>1213</v>
      </c>
      <c r="E639">
        <v>1</v>
      </c>
      <c r="F639" t="s">
        <v>45</v>
      </c>
      <c r="G639">
        <v>1</v>
      </c>
      <c r="H639" t="s">
        <v>45</v>
      </c>
      <c r="I639">
        <v>0</v>
      </c>
      <c r="J639" t="s">
        <v>47</v>
      </c>
      <c r="K639">
        <v>0</v>
      </c>
      <c r="L639" t="s">
        <v>47</v>
      </c>
      <c r="M639">
        <v>0</v>
      </c>
      <c r="N639" t="s">
        <v>47</v>
      </c>
      <c r="O639">
        <v>0</v>
      </c>
      <c r="P639" t="s">
        <v>47</v>
      </c>
      <c r="Q639">
        <v>0</v>
      </c>
      <c r="R639" t="s">
        <v>47</v>
      </c>
      <c r="S639">
        <v>0</v>
      </c>
      <c r="T639" t="s">
        <v>47</v>
      </c>
    </row>
    <row r="640" spans="1:20" x14ac:dyDescent="0.35">
      <c r="A640" s="1" t="s">
        <v>1879</v>
      </c>
      <c r="B640" t="s">
        <v>14</v>
      </c>
      <c r="C640" t="s">
        <v>47</v>
      </c>
      <c r="D640" t="s">
        <v>1225</v>
      </c>
      <c r="E640">
        <v>1</v>
      </c>
      <c r="F640" t="s">
        <v>45</v>
      </c>
      <c r="G640">
        <v>1</v>
      </c>
      <c r="H640" t="s">
        <v>45</v>
      </c>
      <c r="I640">
        <v>0</v>
      </c>
      <c r="J640" t="s">
        <v>47</v>
      </c>
      <c r="K640">
        <v>1</v>
      </c>
      <c r="L640" t="s">
        <v>45</v>
      </c>
      <c r="M640">
        <v>0</v>
      </c>
      <c r="N640" t="s">
        <v>47</v>
      </c>
      <c r="O640">
        <v>0</v>
      </c>
      <c r="P640" t="s">
        <v>47</v>
      </c>
      <c r="Q640">
        <v>0</v>
      </c>
      <c r="R640" t="s">
        <v>47</v>
      </c>
      <c r="S640">
        <v>0</v>
      </c>
      <c r="T640" t="s">
        <v>47</v>
      </c>
    </row>
    <row r="641" spans="1:20" x14ac:dyDescent="0.35">
      <c r="A641" s="1" t="s">
        <v>1880</v>
      </c>
      <c r="B641" t="s">
        <v>14</v>
      </c>
      <c r="C641" t="s">
        <v>47</v>
      </c>
      <c r="D641" t="s">
        <v>1226</v>
      </c>
      <c r="E641">
        <v>1</v>
      </c>
      <c r="F641" t="s">
        <v>45</v>
      </c>
      <c r="G641">
        <v>0</v>
      </c>
      <c r="H641" t="s">
        <v>47</v>
      </c>
      <c r="I641">
        <v>0</v>
      </c>
      <c r="J641" t="s">
        <v>47</v>
      </c>
      <c r="K641">
        <v>0</v>
      </c>
      <c r="L641" t="s">
        <v>47</v>
      </c>
      <c r="M641">
        <v>0</v>
      </c>
      <c r="N641" t="s">
        <v>47</v>
      </c>
      <c r="O641">
        <v>0</v>
      </c>
      <c r="P641" t="s">
        <v>47</v>
      </c>
      <c r="Q641">
        <v>0</v>
      </c>
      <c r="R641" t="s">
        <v>47</v>
      </c>
      <c r="S641">
        <v>0</v>
      </c>
      <c r="T641" t="s">
        <v>47</v>
      </c>
    </row>
    <row r="642" spans="1:20" x14ac:dyDescent="0.35">
      <c r="A642" s="1" t="s">
        <v>1881</v>
      </c>
      <c r="B642" t="s">
        <v>14</v>
      </c>
      <c r="C642" t="s">
        <v>47</v>
      </c>
      <c r="D642" t="s">
        <v>1227</v>
      </c>
      <c r="E642">
        <v>1</v>
      </c>
      <c r="F642" t="s">
        <v>45</v>
      </c>
      <c r="G642">
        <v>1</v>
      </c>
      <c r="H642" t="s">
        <v>45</v>
      </c>
      <c r="I642">
        <v>0</v>
      </c>
      <c r="J642" t="s">
        <v>47</v>
      </c>
      <c r="K642">
        <v>0</v>
      </c>
      <c r="L642" t="s">
        <v>47</v>
      </c>
      <c r="M642">
        <v>0</v>
      </c>
      <c r="N642" t="s">
        <v>47</v>
      </c>
      <c r="O642">
        <v>0</v>
      </c>
      <c r="P642" t="s">
        <v>47</v>
      </c>
      <c r="Q642">
        <v>0</v>
      </c>
      <c r="R642" t="s">
        <v>47</v>
      </c>
      <c r="S642">
        <v>0</v>
      </c>
      <c r="T642" t="s">
        <v>47</v>
      </c>
    </row>
    <row r="643" spans="1:20" x14ac:dyDescent="0.35">
      <c r="A643" s="1" t="s">
        <v>1882</v>
      </c>
      <c r="B643" t="s">
        <v>14</v>
      </c>
      <c r="C643" t="s">
        <v>47</v>
      </c>
      <c r="D643" t="s">
        <v>1228</v>
      </c>
      <c r="E643">
        <v>1</v>
      </c>
      <c r="F643" t="s">
        <v>45</v>
      </c>
      <c r="G643">
        <v>1</v>
      </c>
      <c r="H643" t="s">
        <v>45</v>
      </c>
      <c r="I643">
        <v>0</v>
      </c>
      <c r="J643" t="s">
        <v>47</v>
      </c>
      <c r="K643">
        <v>0</v>
      </c>
      <c r="L643" t="s">
        <v>47</v>
      </c>
      <c r="M643">
        <v>0</v>
      </c>
      <c r="N643" t="s">
        <v>47</v>
      </c>
      <c r="O643">
        <v>0</v>
      </c>
      <c r="P643" t="s">
        <v>47</v>
      </c>
      <c r="Q643">
        <v>0</v>
      </c>
      <c r="R643" t="s">
        <v>47</v>
      </c>
      <c r="S643">
        <v>0</v>
      </c>
      <c r="T643" t="s">
        <v>47</v>
      </c>
    </row>
    <row r="644" spans="1:20" x14ac:dyDescent="0.35">
      <c r="A644" s="1" t="s">
        <v>1883</v>
      </c>
      <c r="B644" t="s">
        <v>14</v>
      </c>
      <c r="C644" t="s">
        <v>47</v>
      </c>
      <c r="D644" t="s">
        <v>1229</v>
      </c>
      <c r="E644">
        <v>0</v>
      </c>
      <c r="F644" t="s">
        <v>47</v>
      </c>
      <c r="G644">
        <v>1</v>
      </c>
      <c r="H644" t="s">
        <v>45</v>
      </c>
      <c r="I644">
        <v>0</v>
      </c>
      <c r="J644" t="s">
        <v>47</v>
      </c>
      <c r="K644">
        <v>0</v>
      </c>
      <c r="L644" t="s">
        <v>47</v>
      </c>
      <c r="M644">
        <v>0</v>
      </c>
      <c r="N644" t="s">
        <v>47</v>
      </c>
      <c r="O644">
        <v>0</v>
      </c>
      <c r="P644" t="s">
        <v>47</v>
      </c>
      <c r="Q644">
        <v>0</v>
      </c>
      <c r="R644" t="s">
        <v>47</v>
      </c>
      <c r="S644">
        <v>0</v>
      </c>
      <c r="T644" t="s">
        <v>47</v>
      </c>
    </row>
    <row r="645" spans="1:20" x14ac:dyDescent="0.35">
      <c r="A645" s="1" t="s">
        <v>1884</v>
      </c>
      <c r="B645" t="s">
        <v>14</v>
      </c>
      <c r="C645" t="s">
        <v>47</v>
      </c>
      <c r="D645" t="s">
        <v>1230</v>
      </c>
      <c r="E645">
        <v>1</v>
      </c>
      <c r="F645" t="s">
        <v>45</v>
      </c>
      <c r="G645">
        <v>1</v>
      </c>
      <c r="H645" t="s">
        <v>45</v>
      </c>
      <c r="I645">
        <v>0</v>
      </c>
      <c r="J645" t="s">
        <v>47</v>
      </c>
      <c r="K645">
        <v>0</v>
      </c>
      <c r="L645" t="s">
        <v>47</v>
      </c>
      <c r="M645">
        <v>0</v>
      </c>
      <c r="N645" t="s">
        <v>47</v>
      </c>
      <c r="O645">
        <v>0</v>
      </c>
      <c r="P645" t="s">
        <v>47</v>
      </c>
      <c r="Q645">
        <v>0</v>
      </c>
      <c r="R645" t="s">
        <v>47</v>
      </c>
      <c r="S645">
        <v>0</v>
      </c>
      <c r="T645" t="s">
        <v>47</v>
      </c>
    </row>
    <row r="646" spans="1:20" x14ac:dyDescent="0.35">
      <c r="A646" s="1" t="s">
        <v>1885</v>
      </c>
      <c r="B646" t="s">
        <v>16</v>
      </c>
      <c r="C646" t="s">
        <v>47</v>
      </c>
      <c r="D646" t="s">
        <v>1231</v>
      </c>
      <c r="E646">
        <v>1</v>
      </c>
      <c r="F646" t="s">
        <v>45</v>
      </c>
      <c r="G646">
        <v>1</v>
      </c>
      <c r="H646" t="s">
        <v>45</v>
      </c>
      <c r="I646">
        <v>0</v>
      </c>
      <c r="J646" t="s">
        <v>47</v>
      </c>
      <c r="K646">
        <v>0</v>
      </c>
      <c r="L646" t="s">
        <v>47</v>
      </c>
      <c r="M646">
        <v>0</v>
      </c>
      <c r="N646" t="s">
        <v>47</v>
      </c>
      <c r="O646">
        <v>0</v>
      </c>
      <c r="P646" t="s">
        <v>47</v>
      </c>
      <c r="Q646">
        <v>0</v>
      </c>
      <c r="R646" t="s">
        <v>47</v>
      </c>
      <c r="S646">
        <v>0</v>
      </c>
      <c r="T646" t="s">
        <v>47</v>
      </c>
    </row>
    <row r="647" spans="1:20" x14ac:dyDescent="0.35">
      <c r="A647" s="1" t="s">
        <v>1886</v>
      </c>
      <c r="B647" t="s">
        <v>14</v>
      </c>
      <c r="C647" t="s">
        <v>47</v>
      </c>
      <c r="D647" t="s">
        <v>1232</v>
      </c>
      <c r="E647">
        <v>0</v>
      </c>
      <c r="F647" t="s">
        <v>47</v>
      </c>
      <c r="G647">
        <v>1</v>
      </c>
      <c r="H647" t="s">
        <v>45</v>
      </c>
      <c r="I647">
        <v>0</v>
      </c>
      <c r="J647" t="s">
        <v>47</v>
      </c>
      <c r="K647">
        <v>0</v>
      </c>
      <c r="L647" t="s">
        <v>47</v>
      </c>
      <c r="M647">
        <v>0</v>
      </c>
      <c r="N647" t="s">
        <v>47</v>
      </c>
      <c r="O647">
        <v>0</v>
      </c>
      <c r="P647" t="s">
        <v>47</v>
      </c>
      <c r="Q647">
        <v>0</v>
      </c>
      <c r="R647" t="s">
        <v>47</v>
      </c>
      <c r="S647">
        <v>0</v>
      </c>
      <c r="T647" t="s">
        <v>47</v>
      </c>
    </row>
    <row r="648" spans="1:20" x14ac:dyDescent="0.35">
      <c r="A648" s="1" t="s">
        <v>1887</v>
      </c>
      <c r="B648" t="s">
        <v>16</v>
      </c>
      <c r="C648" t="s">
        <v>47</v>
      </c>
      <c r="D648" t="s">
        <v>1233</v>
      </c>
      <c r="E648">
        <v>1</v>
      </c>
      <c r="F648" t="s">
        <v>45</v>
      </c>
      <c r="G648">
        <v>1</v>
      </c>
      <c r="H648" t="s">
        <v>45</v>
      </c>
      <c r="I648">
        <v>0</v>
      </c>
      <c r="J648" t="s">
        <v>47</v>
      </c>
      <c r="K648">
        <v>1</v>
      </c>
      <c r="L648" t="s">
        <v>45</v>
      </c>
      <c r="M648">
        <v>0</v>
      </c>
      <c r="N648" t="s">
        <v>47</v>
      </c>
      <c r="O648">
        <v>0</v>
      </c>
      <c r="P648" t="s">
        <v>47</v>
      </c>
      <c r="Q648">
        <v>0</v>
      </c>
      <c r="R648" t="s">
        <v>47</v>
      </c>
      <c r="S648">
        <v>0</v>
      </c>
      <c r="T648" t="s">
        <v>47</v>
      </c>
    </row>
    <row r="649" spans="1:20" x14ac:dyDescent="0.35">
      <c r="A649" s="1" t="s">
        <v>1888</v>
      </c>
      <c r="B649" t="s">
        <v>14</v>
      </c>
      <c r="C649" t="s">
        <v>47</v>
      </c>
      <c r="D649" t="s">
        <v>1234</v>
      </c>
      <c r="E649">
        <v>1</v>
      </c>
      <c r="F649" t="s">
        <v>45</v>
      </c>
      <c r="G649">
        <v>0</v>
      </c>
      <c r="H649" t="s">
        <v>47</v>
      </c>
      <c r="I649">
        <v>0</v>
      </c>
      <c r="J649" t="s">
        <v>47</v>
      </c>
      <c r="K649">
        <v>0</v>
      </c>
      <c r="L649" t="s">
        <v>47</v>
      </c>
      <c r="M649">
        <v>1</v>
      </c>
      <c r="N649" t="s">
        <v>45</v>
      </c>
      <c r="O649">
        <v>0</v>
      </c>
      <c r="P649" t="s">
        <v>47</v>
      </c>
      <c r="Q649">
        <v>1</v>
      </c>
      <c r="R649" t="s">
        <v>45</v>
      </c>
      <c r="S649">
        <v>0</v>
      </c>
      <c r="T649" t="s">
        <v>47</v>
      </c>
    </row>
    <row r="650" spans="1:20" x14ac:dyDescent="0.35">
      <c r="A650" s="1" t="s">
        <v>1889</v>
      </c>
      <c r="B650" t="s">
        <v>14</v>
      </c>
      <c r="C650" t="s">
        <v>47</v>
      </c>
      <c r="D650" t="s">
        <v>1235</v>
      </c>
      <c r="E650">
        <v>1</v>
      </c>
      <c r="F650" t="s">
        <v>45</v>
      </c>
      <c r="G650">
        <v>1</v>
      </c>
      <c r="H650" t="s">
        <v>45</v>
      </c>
      <c r="I650">
        <v>0</v>
      </c>
      <c r="J650" t="s">
        <v>47</v>
      </c>
      <c r="K650">
        <v>0</v>
      </c>
      <c r="L650" t="s">
        <v>47</v>
      </c>
      <c r="M650">
        <v>1</v>
      </c>
      <c r="N650" t="s">
        <v>45</v>
      </c>
      <c r="O650">
        <v>0</v>
      </c>
      <c r="P650" t="s">
        <v>47</v>
      </c>
      <c r="Q650">
        <v>0</v>
      </c>
      <c r="R650" t="s">
        <v>47</v>
      </c>
      <c r="S650">
        <v>0</v>
      </c>
      <c r="T650" t="s">
        <v>47</v>
      </c>
    </row>
    <row r="651" spans="1:20" x14ac:dyDescent="0.35">
      <c r="A651" s="1" t="s">
        <v>1890</v>
      </c>
      <c r="B651" t="s">
        <v>14</v>
      </c>
      <c r="C651" t="s">
        <v>47</v>
      </c>
      <c r="D651" t="s">
        <v>1236</v>
      </c>
      <c r="E651">
        <v>1</v>
      </c>
      <c r="F651" t="s">
        <v>45</v>
      </c>
      <c r="G651">
        <v>1</v>
      </c>
      <c r="H651" t="s">
        <v>48</v>
      </c>
      <c r="I651">
        <v>0</v>
      </c>
      <c r="J651" t="s">
        <v>47</v>
      </c>
      <c r="K651">
        <v>0</v>
      </c>
      <c r="L651" t="s">
        <v>47</v>
      </c>
      <c r="M651">
        <v>0</v>
      </c>
      <c r="N651" t="s">
        <v>47</v>
      </c>
      <c r="O651">
        <v>0</v>
      </c>
      <c r="P651" t="s">
        <v>47</v>
      </c>
      <c r="Q651">
        <v>0</v>
      </c>
      <c r="R651" t="s">
        <v>47</v>
      </c>
      <c r="S651">
        <v>0</v>
      </c>
      <c r="T651" t="s">
        <v>47</v>
      </c>
    </row>
    <row r="652" spans="1:20" x14ac:dyDescent="0.35">
      <c r="A652" s="1" t="s">
        <v>1891</v>
      </c>
      <c r="B652" t="s">
        <v>14</v>
      </c>
      <c r="C652" t="s">
        <v>47</v>
      </c>
      <c r="D652" t="s">
        <v>1237</v>
      </c>
      <c r="E652">
        <v>1</v>
      </c>
      <c r="F652" t="s">
        <v>45</v>
      </c>
      <c r="G652">
        <v>1</v>
      </c>
      <c r="H652" t="s">
        <v>45</v>
      </c>
      <c r="I652">
        <v>0</v>
      </c>
      <c r="J652" t="s">
        <v>47</v>
      </c>
      <c r="K652">
        <v>0</v>
      </c>
      <c r="L652" t="s">
        <v>47</v>
      </c>
      <c r="M652">
        <v>0</v>
      </c>
      <c r="N652" t="s">
        <v>47</v>
      </c>
      <c r="O652">
        <v>0</v>
      </c>
      <c r="P652" t="s">
        <v>47</v>
      </c>
      <c r="Q652">
        <v>0</v>
      </c>
      <c r="R652" t="s">
        <v>47</v>
      </c>
      <c r="S652">
        <v>0</v>
      </c>
      <c r="T652" t="s">
        <v>47</v>
      </c>
    </row>
    <row r="653" spans="1:20" x14ac:dyDescent="0.35">
      <c r="A653" s="1" t="s">
        <v>1892</v>
      </c>
      <c r="B653" t="s">
        <v>14</v>
      </c>
      <c r="C653" t="s">
        <v>47</v>
      </c>
      <c r="D653" t="s">
        <v>1238</v>
      </c>
      <c r="E653">
        <v>1</v>
      </c>
      <c r="F653" t="s">
        <v>45</v>
      </c>
      <c r="G653">
        <v>0</v>
      </c>
      <c r="H653" t="s">
        <v>47</v>
      </c>
      <c r="I653">
        <v>0</v>
      </c>
      <c r="J653" t="s">
        <v>47</v>
      </c>
      <c r="K653">
        <v>0</v>
      </c>
      <c r="L653" t="s">
        <v>47</v>
      </c>
      <c r="M653">
        <v>0</v>
      </c>
      <c r="N653" t="s">
        <v>47</v>
      </c>
      <c r="O653">
        <v>0</v>
      </c>
      <c r="P653" t="s">
        <v>47</v>
      </c>
      <c r="Q653">
        <v>0</v>
      </c>
      <c r="R653" t="s">
        <v>47</v>
      </c>
      <c r="S653">
        <v>0</v>
      </c>
      <c r="T653" t="s">
        <v>47</v>
      </c>
    </row>
    <row r="654" spans="1:20" x14ac:dyDescent="0.35">
      <c r="A654" s="1" t="s">
        <v>1893</v>
      </c>
      <c r="B654" t="s">
        <v>14</v>
      </c>
      <c r="C654" t="s">
        <v>47</v>
      </c>
      <c r="D654" t="s">
        <v>1239</v>
      </c>
      <c r="E654">
        <v>1</v>
      </c>
      <c r="F654" t="s">
        <v>45</v>
      </c>
      <c r="G654">
        <v>0</v>
      </c>
      <c r="H654" t="s">
        <v>47</v>
      </c>
      <c r="I654">
        <v>0</v>
      </c>
      <c r="J654" t="s">
        <v>47</v>
      </c>
      <c r="K654">
        <v>0</v>
      </c>
      <c r="L654" t="s">
        <v>47</v>
      </c>
      <c r="M654">
        <v>0</v>
      </c>
      <c r="N654" t="s">
        <v>47</v>
      </c>
      <c r="O654">
        <v>1</v>
      </c>
      <c r="P654" t="s">
        <v>45</v>
      </c>
      <c r="Q654">
        <v>0</v>
      </c>
      <c r="R654" t="s">
        <v>47</v>
      </c>
      <c r="S654">
        <v>0</v>
      </c>
      <c r="T654" t="s">
        <v>47</v>
      </c>
    </row>
    <row r="655" spans="1:20" x14ac:dyDescent="0.35">
      <c r="A655" s="1" t="s">
        <v>1894</v>
      </c>
      <c r="B655" t="s">
        <v>14</v>
      </c>
      <c r="C655" t="s">
        <v>47</v>
      </c>
      <c r="D655" t="s">
        <v>1240</v>
      </c>
      <c r="E655">
        <v>1</v>
      </c>
      <c r="F655" t="s">
        <v>45</v>
      </c>
      <c r="G655">
        <v>0</v>
      </c>
      <c r="H655" t="s">
        <v>47</v>
      </c>
      <c r="I655">
        <v>0</v>
      </c>
      <c r="J655" t="s">
        <v>47</v>
      </c>
      <c r="K655">
        <v>0</v>
      </c>
      <c r="L655" t="s">
        <v>47</v>
      </c>
      <c r="M655">
        <v>0</v>
      </c>
      <c r="N655" t="s">
        <v>47</v>
      </c>
      <c r="O655">
        <v>0</v>
      </c>
      <c r="P655" t="s">
        <v>47</v>
      </c>
      <c r="Q655">
        <v>0</v>
      </c>
      <c r="R655" t="s">
        <v>47</v>
      </c>
      <c r="S655">
        <v>0</v>
      </c>
      <c r="T655" t="s">
        <v>47</v>
      </c>
    </row>
    <row r="656" spans="1:20" x14ac:dyDescent="0.35">
      <c r="A656" s="1" t="s">
        <v>1895</v>
      </c>
      <c r="B656" t="s">
        <v>14</v>
      </c>
      <c r="C656" t="s">
        <v>47</v>
      </c>
      <c r="D656" t="s">
        <v>1241</v>
      </c>
      <c r="E656">
        <v>1</v>
      </c>
      <c r="F656" t="s">
        <v>45</v>
      </c>
      <c r="G656">
        <v>1</v>
      </c>
      <c r="H656" t="s">
        <v>55</v>
      </c>
      <c r="I656">
        <v>0</v>
      </c>
      <c r="J656" t="s">
        <v>47</v>
      </c>
      <c r="K656">
        <v>0</v>
      </c>
      <c r="L656" t="s">
        <v>47</v>
      </c>
      <c r="M656">
        <v>0</v>
      </c>
      <c r="N656" t="s">
        <v>47</v>
      </c>
      <c r="O656">
        <v>0</v>
      </c>
      <c r="P656" t="s">
        <v>47</v>
      </c>
      <c r="Q656">
        <v>0</v>
      </c>
      <c r="R656" t="s">
        <v>47</v>
      </c>
      <c r="S656">
        <v>0</v>
      </c>
      <c r="T656" t="s">
        <v>47</v>
      </c>
    </row>
    <row r="657" spans="1:20" x14ac:dyDescent="0.35">
      <c r="A657" s="1" t="s">
        <v>1896</v>
      </c>
      <c r="B657" t="s">
        <v>14</v>
      </c>
      <c r="C657" t="s">
        <v>47</v>
      </c>
      <c r="D657" t="s">
        <v>1242</v>
      </c>
      <c r="E657">
        <v>1</v>
      </c>
      <c r="F657" t="s">
        <v>45</v>
      </c>
      <c r="G657">
        <v>1</v>
      </c>
      <c r="H657" t="s">
        <v>45</v>
      </c>
      <c r="I657">
        <v>0</v>
      </c>
      <c r="J657" t="s">
        <v>47</v>
      </c>
      <c r="K657">
        <v>0</v>
      </c>
      <c r="L657" t="s">
        <v>47</v>
      </c>
      <c r="M657">
        <v>0</v>
      </c>
      <c r="N657" t="s">
        <v>47</v>
      </c>
      <c r="O657">
        <v>0</v>
      </c>
      <c r="P657" t="s">
        <v>47</v>
      </c>
      <c r="Q657">
        <v>0</v>
      </c>
      <c r="R657" t="s">
        <v>47</v>
      </c>
      <c r="S657">
        <v>0</v>
      </c>
      <c r="T657" t="s">
        <v>47</v>
      </c>
    </row>
    <row r="658" spans="1:20" x14ac:dyDescent="0.35">
      <c r="A658" s="1" t="s">
        <v>1897</v>
      </c>
      <c r="B658" t="s">
        <v>16</v>
      </c>
      <c r="C658" t="s">
        <v>47</v>
      </c>
      <c r="D658" t="s">
        <v>1243</v>
      </c>
      <c r="E658">
        <v>1</v>
      </c>
      <c r="F658" t="s">
        <v>45</v>
      </c>
      <c r="G658">
        <v>1</v>
      </c>
      <c r="H658" t="s">
        <v>45</v>
      </c>
      <c r="I658">
        <v>0</v>
      </c>
      <c r="J658" t="s">
        <v>47</v>
      </c>
      <c r="K658">
        <v>0</v>
      </c>
      <c r="L658" t="s">
        <v>47</v>
      </c>
      <c r="M658">
        <v>0</v>
      </c>
      <c r="N658" t="s">
        <v>47</v>
      </c>
      <c r="O658">
        <v>0</v>
      </c>
      <c r="P658" t="s">
        <v>47</v>
      </c>
      <c r="Q658">
        <v>1</v>
      </c>
      <c r="R658" t="s">
        <v>45</v>
      </c>
      <c r="S658">
        <v>0</v>
      </c>
      <c r="T658" t="s">
        <v>47</v>
      </c>
    </row>
    <row r="659" spans="1:20" x14ac:dyDescent="0.35">
      <c r="A659" s="1" t="s">
        <v>1898</v>
      </c>
      <c r="B659" t="s">
        <v>14</v>
      </c>
      <c r="C659" t="s">
        <v>47</v>
      </c>
      <c r="D659" t="s">
        <v>1244</v>
      </c>
      <c r="E659">
        <v>1</v>
      </c>
      <c r="F659" t="s">
        <v>45</v>
      </c>
      <c r="G659">
        <v>1</v>
      </c>
      <c r="H659" t="s">
        <v>45</v>
      </c>
      <c r="I659">
        <v>0</v>
      </c>
      <c r="J659" t="s">
        <v>47</v>
      </c>
      <c r="K659">
        <v>0</v>
      </c>
      <c r="L659" t="s">
        <v>47</v>
      </c>
      <c r="M659">
        <v>0</v>
      </c>
      <c r="N659" t="s">
        <v>47</v>
      </c>
      <c r="O659">
        <v>0</v>
      </c>
      <c r="P659" t="s">
        <v>47</v>
      </c>
      <c r="Q659">
        <v>0</v>
      </c>
      <c r="R659" t="s">
        <v>47</v>
      </c>
      <c r="S659">
        <v>0</v>
      </c>
      <c r="T659" t="s">
        <v>47</v>
      </c>
    </row>
    <row r="660" spans="1:20" x14ac:dyDescent="0.35">
      <c r="A660" s="1" t="s">
        <v>1899</v>
      </c>
      <c r="B660" t="s">
        <v>14</v>
      </c>
      <c r="C660" t="s">
        <v>47</v>
      </c>
      <c r="D660" t="s">
        <v>1245</v>
      </c>
      <c r="E660">
        <v>0</v>
      </c>
      <c r="F660" t="s">
        <v>47</v>
      </c>
      <c r="G660">
        <v>0</v>
      </c>
      <c r="H660" t="s">
        <v>47</v>
      </c>
      <c r="I660">
        <v>0</v>
      </c>
      <c r="J660" t="s">
        <v>47</v>
      </c>
      <c r="K660">
        <v>0</v>
      </c>
      <c r="L660" t="s">
        <v>47</v>
      </c>
      <c r="M660">
        <v>0</v>
      </c>
      <c r="N660" t="s">
        <v>47</v>
      </c>
      <c r="O660">
        <v>0</v>
      </c>
      <c r="P660" t="s">
        <v>47</v>
      </c>
      <c r="Q660">
        <v>1</v>
      </c>
      <c r="R660" t="s">
        <v>45</v>
      </c>
      <c r="S660">
        <v>0</v>
      </c>
      <c r="T660" t="s">
        <v>47</v>
      </c>
    </row>
    <row r="661" spans="1:20" x14ac:dyDescent="0.35">
      <c r="A661" s="1" t="s">
        <v>1900</v>
      </c>
      <c r="B661" t="s">
        <v>14</v>
      </c>
      <c r="C661" t="s">
        <v>47</v>
      </c>
      <c r="D661" t="s">
        <v>1246</v>
      </c>
      <c r="E661">
        <v>1</v>
      </c>
      <c r="F661" t="s">
        <v>45</v>
      </c>
      <c r="G661">
        <v>1</v>
      </c>
      <c r="H661" t="s">
        <v>45</v>
      </c>
      <c r="I661">
        <v>0</v>
      </c>
      <c r="J661" t="s">
        <v>47</v>
      </c>
      <c r="K661">
        <v>0</v>
      </c>
      <c r="L661" t="s">
        <v>47</v>
      </c>
      <c r="M661">
        <v>0</v>
      </c>
      <c r="N661" t="s">
        <v>47</v>
      </c>
      <c r="O661">
        <v>0</v>
      </c>
      <c r="P661" t="s">
        <v>47</v>
      </c>
      <c r="Q661">
        <v>1</v>
      </c>
      <c r="R661" t="s">
        <v>45</v>
      </c>
      <c r="S661">
        <v>0</v>
      </c>
      <c r="T661" t="s">
        <v>47</v>
      </c>
    </row>
    <row r="662" spans="1:20" x14ac:dyDescent="0.35">
      <c r="A662" s="1" t="s">
        <v>1901</v>
      </c>
      <c r="B662" t="s">
        <v>14</v>
      </c>
      <c r="C662" t="s">
        <v>47</v>
      </c>
      <c r="D662" t="s">
        <v>1247</v>
      </c>
      <c r="E662">
        <v>1</v>
      </c>
      <c r="F662" t="s">
        <v>45</v>
      </c>
      <c r="G662">
        <v>0</v>
      </c>
      <c r="H662" t="s">
        <v>47</v>
      </c>
      <c r="I662">
        <v>0</v>
      </c>
      <c r="J662" t="s">
        <v>47</v>
      </c>
      <c r="K662">
        <v>0</v>
      </c>
      <c r="L662" t="s">
        <v>47</v>
      </c>
      <c r="M662">
        <v>1</v>
      </c>
      <c r="N662" t="s">
        <v>45</v>
      </c>
      <c r="O662">
        <v>0</v>
      </c>
      <c r="P662" t="s">
        <v>47</v>
      </c>
      <c r="Q662">
        <v>0</v>
      </c>
      <c r="R662" t="s">
        <v>47</v>
      </c>
      <c r="S662">
        <v>0</v>
      </c>
      <c r="T662" t="s">
        <v>47</v>
      </c>
    </row>
    <row r="663" spans="1:20" x14ac:dyDescent="0.35">
      <c r="A663" s="1" t="s">
        <v>1902</v>
      </c>
      <c r="B663" t="s">
        <v>16</v>
      </c>
      <c r="C663" t="s">
        <v>47</v>
      </c>
      <c r="D663" t="s">
        <v>1248</v>
      </c>
      <c r="E663">
        <v>1</v>
      </c>
      <c r="F663" t="s">
        <v>45</v>
      </c>
      <c r="G663">
        <v>1</v>
      </c>
      <c r="H663" t="s">
        <v>45</v>
      </c>
      <c r="I663">
        <v>0</v>
      </c>
      <c r="J663" t="s">
        <v>47</v>
      </c>
      <c r="K663">
        <v>0</v>
      </c>
      <c r="L663" t="s">
        <v>47</v>
      </c>
      <c r="M663">
        <v>0</v>
      </c>
      <c r="N663" t="s">
        <v>47</v>
      </c>
      <c r="O663">
        <v>0</v>
      </c>
      <c r="P663" t="s">
        <v>47</v>
      </c>
      <c r="Q663">
        <v>0</v>
      </c>
      <c r="R663" t="s">
        <v>47</v>
      </c>
      <c r="S663">
        <v>0</v>
      </c>
      <c r="T663" t="s">
        <v>47</v>
      </c>
    </row>
    <row r="664" spans="1:20" x14ac:dyDescent="0.35">
      <c r="A664" s="1" t="s">
        <v>1903</v>
      </c>
      <c r="B664" t="s">
        <v>14</v>
      </c>
      <c r="C664" t="s">
        <v>47</v>
      </c>
      <c r="D664" t="s">
        <v>1249</v>
      </c>
      <c r="E664">
        <v>1</v>
      </c>
      <c r="F664" t="s">
        <v>45</v>
      </c>
      <c r="G664">
        <v>1</v>
      </c>
      <c r="H664" t="s">
        <v>45</v>
      </c>
      <c r="I664">
        <v>0</v>
      </c>
      <c r="J664" t="s">
        <v>47</v>
      </c>
      <c r="K664">
        <v>0</v>
      </c>
      <c r="L664" t="s">
        <v>47</v>
      </c>
      <c r="M664">
        <v>1</v>
      </c>
      <c r="N664" t="s">
        <v>45</v>
      </c>
      <c r="O664">
        <v>0</v>
      </c>
      <c r="P664" t="s">
        <v>47</v>
      </c>
      <c r="Q664">
        <v>1</v>
      </c>
      <c r="R664" t="s">
        <v>45</v>
      </c>
      <c r="S664">
        <v>0</v>
      </c>
      <c r="T664" t="s">
        <v>47</v>
      </c>
    </row>
    <row r="665" spans="1:20" x14ac:dyDescent="0.35">
      <c r="A665" s="1" t="s">
        <v>1904</v>
      </c>
      <c r="B665" t="s">
        <v>14</v>
      </c>
      <c r="C665" t="s">
        <v>47</v>
      </c>
      <c r="D665" t="s">
        <v>1250</v>
      </c>
      <c r="E665">
        <v>1</v>
      </c>
      <c r="F665" t="s">
        <v>45</v>
      </c>
      <c r="G665">
        <v>1</v>
      </c>
      <c r="H665" t="s">
        <v>45</v>
      </c>
      <c r="I665">
        <v>0</v>
      </c>
      <c r="J665" t="s">
        <v>47</v>
      </c>
      <c r="K665">
        <v>0</v>
      </c>
      <c r="L665" t="s">
        <v>47</v>
      </c>
      <c r="M665">
        <v>0</v>
      </c>
      <c r="N665" t="s">
        <v>47</v>
      </c>
      <c r="O665">
        <v>0</v>
      </c>
      <c r="P665" t="s">
        <v>47</v>
      </c>
      <c r="Q665">
        <v>0</v>
      </c>
      <c r="R665" t="s">
        <v>47</v>
      </c>
      <c r="S665">
        <v>0</v>
      </c>
      <c r="T665" t="s">
        <v>47</v>
      </c>
    </row>
    <row r="666" spans="1:20" x14ac:dyDescent="0.35">
      <c r="A666" s="1" t="s">
        <v>1905</v>
      </c>
      <c r="B666" t="s">
        <v>14</v>
      </c>
      <c r="C666" t="s">
        <v>47</v>
      </c>
      <c r="D666" t="s">
        <v>1251</v>
      </c>
      <c r="E666">
        <v>1</v>
      </c>
      <c r="F666" t="s">
        <v>45</v>
      </c>
      <c r="G666">
        <v>1</v>
      </c>
      <c r="H666" t="s">
        <v>45</v>
      </c>
      <c r="I666">
        <v>0</v>
      </c>
      <c r="J666" t="s">
        <v>47</v>
      </c>
      <c r="K666">
        <v>0</v>
      </c>
      <c r="L666" t="s">
        <v>47</v>
      </c>
      <c r="M666">
        <v>0</v>
      </c>
      <c r="N666" t="s">
        <v>47</v>
      </c>
      <c r="O666">
        <v>0</v>
      </c>
      <c r="P666" t="s">
        <v>47</v>
      </c>
      <c r="Q666">
        <v>0</v>
      </c>
      <c r="R666" t="s">
        <v>47</v>
      </c>
      <c r="S666">
        <v>0</v>
      </c>
      <c r="T666" t="s">
        <v>47</v>
      </c>
    </row>
    <row r="667" spans="1:20" x14ac:dyDescent="0.35">
      <c r="A667" s="1" t="s">
        <v>1906</v>
      </c>
      <c r="B667" t="s">
        <v>14</v>
      </c>
      <c r="C667" t="s">
        <v>47</v>
      </c>
      <c r="D667" t="s">
        <v>1252</v>
      </c>
      <c r="E667">
        <v>1</v>
      </c>
      <c r="F667" t="s">
        <v>45</v>
      </c>
      <c r="G667">
        <v>1</v>
      </c>
      <c r="H667" t="s">
        <v>45</v>
      </c>
      <c r="I667">
        <v>0</v>
      </c>
      <c r="J667" t="s">
        <v>47</v>
      </c>
      <c r="K667">
        <v>0</v>
      </c>
      <c r="L667" t="s">
        <v>47</v>
      </c>
      <c r="M667">
        <v>0</v>
      </c>
      <c r="N667" t="s">
        <v>47</v>
      </c>
      <c r="O667">
        <v>0</v>
      </c>
      <c r="P667" t="s">
        <v>47</v>
      </c>
      <c r="Q667">
        <v>0</v>
      </c>
      <c r="R667" t="s">
        <v>47</v>
      </c>
      <c r="S667">
        <v>0</v>
      </c>
      <c r="T667" t="s">
        <v>47</v>
      </c>
    </row>
    <row r="668" spans="1:20" x14ac:dyDescent="0.35">
      <c r="A668" s="1" t="s">
        <v>1907</v>
      </c>
      <c r="B668" t="s">
        <v>16</v>
      </c>
      <c r="C668" t="s">
        <v>47</v>
      </c>
      <c r="D668" t="s">
        <v>1253</v>
      </c>
      <c r="E668">
        <v>0</v>
      </c>
      <c r="F668" t="s">
        <v>47</v>
      </c>
      <c r="G668">
        <v>1</v>
      </c>
      <c r="H668" t="s">
        <v>45</v>
      </c>
      <c r="I668">
        <v>0</v>
      </c>
      <c r="J668" t="s">
        <v>47</v>
      </c>
      <c r="K668">
        <v>0</v>
      </c>
      <c r="L668" t="s">
        <v>47</v>
      </c>
      <c r="M668">
        <v>0</v>
      </c>
      <c r="N668" t="s">
        <v>47</v>
      </c>
      <c r="O668">
        <v>0</v>
      </c>
      <c r="P668" t="s">
        <v>47</v>
      </c>
      <c r="Q668">
        <v>0</v>
      </c>
      <c r="R668" t="s">
        <v>47</v>
      </c>
      <c r="S668">
        <v>0</v>
      </c>
      <c r="T668" t="s">
        <v>47</v>
      </c>
    </row>
    <row r="669" spans="1:20" x14ac:dyDescent="0.35">
      <c r="A669" s="1" t="s">
        <v>1908</v>
      </c>
      <c r="B669" t="s">
        <v>16</v>
      </c>
      <c r="C669" t="s">
        <v>47</v>
      </c>
      <c r="D669" t="s">
        <v>1254</v>
      </c>
      <c r="E669">
        <v>1</v>
      </c>
      <c r="F669" t="s">
        <v>45</v>
      </c>
      <c r="G669">
        <v>1</v>
      </c>
      <c r="H669" t="s">
        <v>45</v>
      </c>
      <c r="I669">
        <v>0</v>
      </c>
      <c r="J669" t="s">
        <v>47</v>
      </c>
      <c r="K669">
        <v>0</v>
      </c>
      <c r="L669" t="s">
        <v>47</v>
      </c>
      <c r="M669">
        <v>0</v>
      </c>
      <c r="N669" t="s">
        <v>47</v>
      </c>
      <c r="O669">
        <v>0</v>
      </c>
      <c r="P669" t="s">
        <v>47</v>
      </c>
      <c r="Q669">
        <v>0</v>
      </c>
      <c r="R669" t="s">
        <v>47</v>
      </c>
      <c r="S669">
        <v>0</v>
      </c>
      <c r="T669" t="s">
        <v>47</v>
      </c>
    </row>
    <row r="670" spans="1:20" x14ac:dyDescent="0.35">
      <c r="A670" s="1" t="s">
        <v>1909</v>
      </c>
      <c r="B670" t="s">
        <v>14</v>
      </c>
      <c r="C670" t="s">
        <v>47</v>
      </c>
      <c r="D670" t="s">
        <v>1256</v>
      </c>
      <c r="E670">
        <v>0</v>
      </c>
      <c r="F670" t="s">
        <v>47</v>
      </c>
      <c r="G670">
        <v>1</v>
      </c>
      <c r="H670" t="s">
        <v>45</v>
      </c>
      <c r="I670">
        <v>0</v>
      </c>
      <c r="J670" t="s">
        <v>47</v>
      </c>
      <c r="K670">
        <v>0</v>
      </c>
      <c r="L670" t="s">
        <v>47</v>
      </c>
      <c r="M670">
        <v>0</v>
      </c>
      <c r="N670" t="s">
        <v>47</v>
      </c>
      <c r="O670">
        <v>0</v>
      </c>
      <c r="P670" t="s">
        <v>47</v>
      </c>
      <c r="Q670">
        <v>0</v>
      </c>
      <c r="R670" t="s">
        <v>47</v>
      </c>
      <c r="S670">
        <v>0</v>
      </c>
      <c r="T670" t="s">
        <v>47</v>
      </c>
    </row>
    <row r="671" spans="1:20" x14ac:dyDescent="0.35">
      <c r="A671" s="1" t="s">
        <v>1910</v>
      </c>
      <c r="B671" t="s">
        <v>14</v>
      </c>
      <c r="C671" t="s">
        <v>47</v>
      </c>
      <c r="D671" t="s">
        <v>1257</v>
      </c>
      <c r="E671">
        <v>0</v>
      </c>
      <c r="F671" t="s">
        <v>47</v>
      </c>
      <c r="G671">
        <v>0</v>
      </c>
      <c r="H671" t="s">
        <v>47</v>
      </c>
      <c r="I671">
        <v>0</v>
      </c>
      <c r="J671" t="s">
        <v>47</v>
      </c>
      <c r="K671">
        <v>0</v>
      </c>
      <c r="L671" t="s">
        <v>47</v>
      </c>
      <c r="M671">
        <v>0</v>
      </c>
      <c r="N671" t="s">
        <v>47</v>
      </c>
      <c r="O671">
        <v>0</v>
      </c>
      <c r="P671" t="s">
        <v>47</v>
      </c>
      <c r="Q671">
        <v>1</v>
      </c>
      <c r="R671" t="s">
        <v>45</v>
      </c>
      <c r="S671">
        <v>0</v>
      </c>
      <c r="T671" t="s">
        <v>47</v>
      </c>
    </row>
    <row r="672" spans="1:20" x14ac:dyDescent="0.35">
      <c r="A672" s="1" t="s">
        <v>1911</v>
      </c>
      <c r="B672" t="s">
        <v>16</v>
      </c>
      <c r="C672" t="s">
        <v>47</v>
      </c>
      <c r="D672" t="s">
        <v>1258</v>
      </c>
      <c r="E672">
        <v>0</v>
      </c>
      <c r="F672" t="s">
        <v>47</v>
      </c>
      <c r="G672">
        <v>1</v>
      </c>
      <c r="H672" t="s">
        <v>45</v>
      </c>
      <c r="I672">
        <v>0</v>
      </c>
      <c r="J672" t="s">
        <v>47</v>
      </c>
      <c r="K672">
        <v>0</v>
      </c>
      <c r="L672" t="s">
        <v>47</v>
      </c>
      <c r="M672">
        <v>0</v>
      </c>
      <c r="N672" t="s">
        <v>47</v>
      </c>
      <c r="O672">
        <v>0</v>
      </c>
      <c r="P672" t="s">
        <v>47</v>
      </c>
      <c r="Q672">
        <v>0</v>
      </c>
      <c r="R672" t="s">
        <v>47</v>
      </c>
      <c r="S672">
        <v>0</v>
      </c>
      <c r="T672" t="s">
        <v>47</v>
      </c>
    </row>
    <row r="673" spans="1:20" x14ac:dyDescent="0.35">
      <c r="A673" s="1" t="s">
        <v>1912</v>
      </c>
      <c r="B673" t="s">
        <v>14</v>
      </c>
      <c r="C673" t="s">
        <v>47</v>
      </c>
      <c r="D673" t="s">
        <v>1259</v>
      </c>
      <c r="E673">
        <v>0</v>
      </c>
      <c r="F673" t="s">
        <v>47</v>
      </c>
      <c r="G673">
        <v>1</v>
      </c>
      <c r="H673" t="s">
        <v>45</v>
      </c>
      <c r="I673">
        <v>0</v>
      </c>
      <c r="J673" t="s">
        <v>47</v>
      </c>
      <c r="K673">
        <v>0</v>
      </c>
      <c r="L673" t="s">
        <v>47</v>
      </c>
      <c r="M673">
        <v>0</v>
      </c>
      <c r="N673" t="s">
        <v>47</v>
      </c>
      <c r="O673">
        <v>0</v>
      </c>
      <c r="P673" t="s">
        <v>47</v>
      </c>
      <c r="Q673">
        <v>0</v>
      </c>
      <c r="R673" t="s">
        <v>47</v>
      </c>
      <c r="S673">
        <v>0</v>
      </c>
      <c r="T673" t="s">
        <v>47</v>
      </c>
    </row>
    <row r="674" spans="1:20" x14ac:dyDescent="0.35">
      <c r="A674" s="1" t="s">
        <v>1913</v>
      </c>
      <c r="B674" t="s">
        <v>14</v>
      </c>
      <c r="C674" t="s">
        <v>47</v>
      </c>
      <c r="D674" t="s">
        <v>1260</v>
      </c>
      <c r="E674">
        <v>1</v>
      </c>
      <c r="F674" t="s">
        <v>45</v>
      </c>
      <c r="G674">
        <v>0</v>
      </c>
      <c r="H674" t="s">
        <v>47</v>
      </c>
      <c r="I674">
        <v>0</v>
      </c>
      <c r="J674" t="s">
        <v>47</v>
      </c>
      <c r="K674">
        <v>0</v>
      </c>
      <c r="L674" t="s">
        <v>47</v>
      </c>
      <c r="M674">
        <v>0</v>
      </c>
      <c r="N674" t="s">
        <v>47</v>
      </c>
      <c r="O674">
        <v>0</v>
      </c>
      <c r="P674" t="s">
        <v>47</v>
      </c>
      <c r="Q674">
        <v>1</v>
      </c>
      <c r="R674" t="s">
        <v>45</v>
      </c>
      <c r="S674">
        <v>0</v>
      </c>
      <c r="T674" t="s">
        <v>47</v>
      </c>
    </row>
    <row r="675" spans="1:20" x14ac:dyDescent="0.35">
      <c r="A675" s="1" t="s">
        <v>1914</v>
      </c>
      <c r="B675" t="s">
        <v>16</v>
      </c>
      <c r="C675" t="s">
        <v>47</v>
      </c>
      <c r="D675" t="s">
        <v>1261</v>
      </c>
      <c r="E675">
        <v>0</v>
      </c>
      <c r="F675" t="s">
        <v>47</v>
      </c>
      <c r="G675">
        <v>0</v>
      </c>
      <c r="H675" t="s">
        <v>47</v>
      </c>
      <c r="I675">
        <v>0</v>
      </c>
      <c r="J675" t="s">
        <v>47</v>
      </c>
      <c r="K675">
        <v>0</v>
      </c>
      <c r="L675" t="s">
        <v>47</v>
      </c>
      <c r="M675">
        <v>0</v>
      </c>
      <c r="N675" t="s">
        <v>47</v>
      </c>
      <c r="O675">
        <v>0</v>
      </c>
      <c r="P675" t="s">
        <v>47</v>
      </c>
      <c r="Q675">
        <v>1</v>
      </c>
      <c r="R675" t="s">
        <v>45</v>
      </c>
      <c r="S675">
        <v>0</v>
      </c>
      <c r="T675" t="s">
        <v>47</v>
      </c>
    </row>
    <row r="676" spans="1:20" x14ac:dyDescent="0.35">
      <c r="A676" s="1" t="s">
        <v>1915</v>
      </c>
      <c r="B676" t="s">
        <v>14</v>
      </c>
      <c r="C676" t="s">
        <v>47</v>
      </c>
      <c r="D676" t="s">
        <v>1262</v>
      </c>
      <c r="E676">
        <v>1</v>
      </c>
      <c r="F676" t="s">
        <v>45</v>
      </c>
      <c r="G676">
        <v>0</v>
      </c>
      <c r="H676" t="s">
        <v>47</v>
      </c>
      <c r="I676">
        <v>0</v>
      </c>
      <c r="J676" t="s">
        <v>47</v>
      </c>
      <c r="K676">
        <v>0</v>
      </c>
      <c r="L676" t="s">
        <v>47</v>
      </c>
      <c r="M676">
        <v>0</v>
      </c>
      <c r="N676" t="s">
        <v>47</v>
      </c>
      <c r="O676">
        <v>0</v>
      </c>
      <c r="P676" t="s">
        <v>47</v>
      </c>
      <c r="Q676">
        <v>0</v>
      </c>
      <c r="R676" t="s">
        <v>47</v>
      </c>
      <c r="S676">
        <v>0</v>
      </c>
      <c r="T676" t="s">
        <v>47</v>
      </c>
    </row>
    <row r="677" spans="1:20" x14ac:dyDescent="0.35">
      <c r="A677" s="1" t="s">
        <v>1916</v>
      </c>
      <c r="B677" t="s">
        <v>14</v>
      </c>
      <c r="C677" t="s">
        <v>47</v>
      </c>
      <c r="D677" t="s">
        <v>1263</v>
      </c>
      <c r="E677">
        <v>0</v>
      </c>
      <c r="F677" t="s">
        <v>47</v>
      </c>
      <c r="G677">
        <v>1</v>
      </c>
      <c r="H677" t="s">
        <v>45</v>
      </c>
      <c r="I677">
        <v>0</v>
      </c>
      <c r="J677" t="s">
        <v>47</v>
      </c>
      <c r="K677">
        <v>0</v>
      </c>
      <c r="L677" t="s">
        <v>47</v>
      </c>
      <c r="M677">
        <v>0</v>
      </c>
      <c r="N677" t="s">
        <v>47</v>
      </c>
      <c r="O677">
        <v>0</v>
      </c>
      <c r="P677" t="s">
        <v>47</v>
      </c>
      <c r="Q677">
        <v>0</v>
      </c>
      <c r="R677" t="s">
        <v>47</v>
      </c>
      <c r="S677">
        <v>0</v>
      </c>
      <c r="T677" t="s">
        <v>47</v>
      </c>
    </row>
    <row r="678" spans="1:20" x14ac:dyDescent="0.35">
      <c r="A678" s="1" t="s">
        <v>1917</v>
      </c>
      <c r="B678" t="s">
        <v>14</v>
      </c>
      <c r="C678" t="s">
        <v>47</v>
      </c>
      <c r="D678" t="s">
        <v>1264</v>
      </c>
      <c r="E678">
        <v>1</v>
      </c>
      <c r="F678" t="s">
        <v>45</v>
      </c>
      <c r="G678">
        <v>1</v>
      </c>
      <c r="H678" t="s">
        <v>45</v>
      </c>
      <c r="I678">
        <v>0</v>
      </c>
      <c r="J678" t="s">
        <v>47</v>
      </c>
      <c r="K678">
        <v>0</v>
      </c>
      <c r="L678" t="s">
        <v>47</v>
      </c>
      <c r="M678">
        <v>0</v>
      </c>
      <c r="N678" t="s">
        <v>47</v>
      </c>
      <c r="O678">
        <v>0</v>
      </c>
      <c r="P678" t="s">
        <v>47</v>
      </c>
      <c r="Q678">
        <v>1</v>
      </c>
      <c r="R678" t="s">
        <v>45</v>
      </c>
      <c r="S678">
        <v>0</v>
      </c>
      <c r="T678" t="s">
        <v>47</v>
      </c>
    </row>
    <row r="679" spans="1:20" x14ac:dyDescent="0.35">
      <c r="A679" s="1" t="s">
        <v>1918</v>
      </c>
      <c r="B679" t="s">
        <v>14</v>
      </c>
      <c r="C679" t="s">
        <v>47</v>
      </c>
      <c r="D679" t="s">
        <v>1255</v>
      </c>
      <c r="E679">
        <v>1</v>
      </c>
      <c r="F679" t="s">
        <v>45</v>
      </c>
      <c r="G679">
        <v>0</v>
      </c>
      <c r="H679" t="s">
        <v>47</v>
      </c>
      <c r="I679">
        <v>0</v>
      </c>
      <c r="J679" t="s">
        <v>47</v>
      </c>
      <c r="K679">
        <v>0</v>
      </c>
      <c r="L679" t="s">
        <v>47</v>
      </c>
      <c r="M679">
        <v>0</v>
      </c>
      <c r="N679" t="s">
        <v>47</v>
      </c>
      <c r="O679">
        <v>0</v>
      </c>
      <c r="P679" t="s">
        <v>47</v>
      </c>
      <c r="Q679">
        <v>0</v>
      </c>
      <c r="R679" t="s">
        <v>47</v>
      </c>
      <c r="S679">
        <v>0</v>
      </c>
      <c r="T679" t="s">
        <v>47</v>
      </c>
    </row>
    <row r="680" spans="1:20" x14ac:dyDescent="0.35">
      <c r="A680" s="1" t="s">
        <v>1919</v>
      </c>
      <c r="B680" t="s">
        <v>14</v>
      </c>
      <c r="C680" t="s">
        <v>47</v>
      </c>
      <c r="D680" t="s">
        <v>1265</v>
      </c>
      <c r="E680">
        <v>1</v>
      </c>
      <c r="F680" t="s">
        <v>45</v>
      </c>
      <c r="G680">
        <v>0</v>
      </c>
      <c r="H680" t="s">
        <v>47</v>
      </c>
      <c r="I680">
        <v>0</v>
      </c>
      <c r="J680" t="s">
        <v>47</v>
      </c>
      <c r="K680">
        <v>0</v>
      </c>
      <c r="L680" t="s">
        <v>47</v>
      </c>
      <c r="M680">
        <v>0</v>
      </c>
      <c r="N680" t="s">
        <v>47</v>
      </c>
      <c r="O680">
        <v>0</v>
      </c>
      <c r="P680" t="s">
        <v>47</v>
      </c>
      <c r="Q680">
        <v>0</v>
      </c>
      <c r="R680" t="s">
        <v>47</v>
      </c>
      <c r="S680">
        <v>0</v>
      </c>
      <c r="T680" t="s">
        <v>47</v>
      </c>
    </row>
    <row r="681" spans="1:20" x14ac:dyDescent="0.35">
      <c r="A681" s="1" t="s">
        <v>1920</v>
      </c>
      <c r="B681" t="s">
        <v>14</v>
      </c>
      <c r="C681" t="s">
        <v>47</v>
      </c>
      <c r="D681" t="s">
        <v>1266</v>
      </c>
      <c r="E681">
        <v>1</v>
      </c>
      <c r="F681" t="s">
        <v>45</v>
      </c>
      <c r="G681">
        <v>1</v>
      </c>
      <c r="H681" t="s">
        <v>45</v>
      </c>
      <c r="I681">
        <v>0</v>
      </c>
      <c r="J681" t="s">
        <v>47</v>
      </c>
      <c r="K681">
        <v>0</v>
      </c>
      <c r="L681" t="s">
        <v>47</v>
      </c>
      <c r="M681">
        <v>0</v>
      </c>
      <c r="N681" t="s">
        <v>47</v>
      </c>
      <c r="O681">
        <v>0</v>
      </c>
      <c r="P681" t="s">
        <v>47</v>
      </c>
      <c r="Q681">
        <v>0</v>
      </c>
      <c r="R681" t="s">
        <v>47</v>
      </c>
      <c r="S681">
        <v>0</v>
      </c>
      <c r="T681" t="s">
        <v>47</v>
      </c>
    </row>
    <row r="682" spans="1:20" x14ac:dyDescent="0.35">
      <c r="A682" s="1" t="s">
        <v>1921</v>
      </c>
      <c r="B682" t="s">
        <v>14</v>
      </c>
      <c r="C682" t="s">
        <v>47</v>
      </c>
      <c r="D682" t="s">
        <v>1267</v>
      </c>
      <c r="E682">
        <v>1</v>
      </c>
      <c r="F682" t="s">
        <v>45</v>
      </c>
      <c r="G682">
        <v>0</v>
      </c>
      <c r="H682" t="s">
        <v>47</v>
      </c>
      <c r="I682">
        <v>0</v>
      </c>
      <c r="J682" t="s">
        <v>47</v>
      </c>
      <c r="K682">
        <v>0</v>
      </c>
      <c r="L682" t="s">
        <v>47</v>
      </c>
      <c r="M682">
        <v>0</v>
      </c>
      <c r="N682" t="s">
        <v>47</v>
      </c>
      <c r="O682">
        <v>0</v>
      </c>
      <c r="P682" t="s">
        <v>47</v>
      </c>
      <c r="Q682">
        <v>0</v>
      </c>
      <c r="R682" t="s">
        <v>47</v>
      </c>
      <c r="S682">
        <v>0</v>
      </c>
      <c r="T682" t="s">
        <v>47</v>
      </c>
    </row>
    <row r="683" spans="1:20" x14ac:dyDescent="0.35">
      <c r="A683" s="1" t="s">
        <v>1922</v>
      </c>
      <c r="B683" t="s">
        <v>16</v>
      </c>
      <c r="C683" t="s">
        <v>47</v>
      </c>
      <c r="D683" t="s">
        <v>1268</v>
      </c>
      <c r="E683">
        <v>0</v>
      </c>
      <c r="F683" t="s">
        <v>47</v>
      </c>
      <c r="G683">
        <v>1</v>
      </c>
      <c r="H683" t="s">
        <v>45</v>
      </c>
      <c r="I683">
        <v>0</v>
      </c>
      <c r="J683" t="s">
        <v>47</v>
      </c>
      <c r="K683">
        <v>0</v>
      </c>
      <c r="L683" t="s">
        <v>47</v>
      </c>
      <c r="M683">
        <v>0</v>
      </c>
      <c r="N683" t="s">
        <v>47</v>
      </c>
      <c r="O683">
        <v>0</v>
      </c>
      <c r="P683" t="s">
        <v>47</v>
      </c>
      <c r="Q683">
        <v>0</v>
      </c>
      <c r="R683" t="s">
        <v>47</v>
      </c>
      <c r="S683">
        <v>0</v>
      </c>
      <c r="T683" t="s">
        <v>47</v>
      </c>
    </row>
    <row r="684" spans="1:20" x14ac:dyDescent="0.35">
      <c r="A684" s="1" t="s">
        <v>1923</v>
      </c>
      <c r="B684" t="s">
        <v>16</v>
      </c>
      <c r="C684" t="s">
        <v>47</v>
      </c>
      <c r="D684" t="s">
        <v>1269</v>
      </c>
      <c r="E684">
        <v>1</v>
      </c>
      <c r="F684" t="s">
        <v>45</v>
      </c>
      <c r="G684">
        <v>1</v>
      </c>
      <c r="H684" t="s">
        <v>45</v>
      </c>
      <c r="I684">
        <v>0</v>
      </c>
      <c r="J684" t="s">
        <v>47</v>
      </c>
      <c r="K684">
        <v>0</v>
      </c>
      <c r="L684" t="s">
        <v>47</v>
      </c>
      <c r="M684">
        <v>0</v>
      </c>
      <c r="N684" t="s">
        <v>47</v>
      </c>
      <c r="O684">
        <v>0</v>
      </c>
      <c r="P684" t="s">
        <v>47</v>
      </c>
      <c r="Q684">
        <v>1</v>
      </c>
      <c r="R684" t="s">
        <v>45</v>
      </c>
      <c r="S684">
        <v>0</v>
      </c>
      <c r="T684" t="s">
        <v>47</v>
      </c>
    </row>
    <row r="685" spans="1:20" x14ac:dyDescent="0.35">
      <c r="A685" s="1" t="s">
        <v>1924</v>
      </c>
      <c r="B685" t="s">
        <v>14</v>
      </c>
      <c r="C685" t="s">
        <v>47</v>
      </c>
      <c r="D685" t="s">
        <v>1270</v>
      </c>
      <c r="E685">
        <v>1</v>
      </c>
      <c r="F685" t="s">
        <v>45</v>
      </c>
      <c r="G685">
        <v>1</v>
      </c>
      <c r="H685" t="s">
        <v>45</v>
      </c>
      <c r="I685">
        <v>0</v>
      </c>
      <c r="J685" t="s">
        <v>47</v>
      </c>
      <c r="K685">
        <v>0</v>
      </c>
      <c r="L685" t="s">
        <v>47</v>
      </c>
      <c r="M685">
        <v>0</v>
      </c>
      <c r="N685" t="s">
        <v>47</v>
      </c>
      <c r="O685">
        <v>0</v>
      </c>
      <c r="P685" t="s">
        <v>47</v>
      </c>
      <c r="Q685">
        <v>0</v>
      </c>
      <c r="R685" t="s">
        <v>47</v>
      </c>
      <c r="S685">
        <v>0</v>
      </c>
      <c r="T685" t="s">
        <v>47</v>
      </c>
    </row>
    <row r="686" spans="1:20" x14ac:dyDescent="0.35">
      <c r="A686" s="1" t="s">
        <v>1925</v>
      </c>
      <c r="B686" t="s">
        <v>14</v>
      </c>
      <c r="C686" t="s">
        <v>47</v>
      </c>
      <c r="D686" t="s">
        <v>1271</v>
      </c>
      <c r="E686">
        <v>0</v>
      </c>
      <c r="F686" t="s">
        <v>47</v>
      </c>
      <c r="G686">
        <v>0</v>
      </c>
      <c r="H686" t="s">
        <v>47</v>
      </c>
      <c r="I686">
        <v>0</v>
      </c>
      <c r="J686" t="s">
        <v>47</v>
      </c>
      <c r="K686">
        <v>0</v>
      </c>
      <c r="L686" t="s">
        <v>47</v>
      </c>
      <c r="M686">
        <v>0</v>
      </c>
      <c r="N686" t="s">
        <v>47</v>
      </c>
      <c r="O686">
        <v>0</v>
      </c>
      <c r="P686" t="s">
        <v>47</v>
      </c>
      <c r="Q686">
        <v>1</v>
      </c>
      <c r="R686" t="s">
        <v>45</v>
      </c>
      <c r="S686">
        <v>0</v>
      </c>
      <c r="T686" t="s">
        <v>47</v>
      </c>
    </row>
    <row r="687" spans="1:20" x14ac:dyDescent="0.35">
      <c r="A687" s="1" t="s">
        <v>1926</v>
      </c>
      <c r="B687" t="s">
        <v>14</v>
      </c>
      <c r="C687" t="s">
        <v>47</v>
      </c>
      <c r="D687" t="s">
        <v>1272</v>
      </c>
      <c r="E687">
        <v>0</v>
      </c>
      <c r="F687" t="s">
        <v>47</v>
      </c>
      <c r="G687">
        <v>0</v>
      </c>
      <c r="H687" t="s">
        <v>47</v>
      </c>
      <c r="I687">
        <v>0</v>
      </c>
      <c r="J687" t="s">
        <v>47</v>
      </c>
      <c r="K687">
        <v>0</v>
      </c>
      <c r="L687" t="s">
        <v>47</v>
      </c>
      <c r="M687">
        <v>0</v>
      </c>
      <c r="N687" t="s">
        <v>47</v>
      </c>
      <c r="O687">
        <v>0</v>
      </c>
      <c r="P687" t="s">
        <v>47</v>
      </c>
      <c r="Q687">
        <v>1</v>
      </c>
      <c r="R687" t="s">
        <v>45</v>
      </c>
      <c r="S687">
        <v>0</v>
      </c>
      <c r="T687" t="s">
        <v>47</v>
      </c>
    </row>
    <row r="688" spans="1:20" x14ac:dyDescent="0.35">
      <c r="A688" s="1" t="s">
        <v>1927</v>
      </c>
      <c r="B688" t="s">
        <v>14</v>
      </c>
      <c r="C688" t="s">
        <v>47</v>
      </c>
      <c r="D688" t="s">
        <v>1273</v>
      </c>
      <c r="E688">
        <v>1</v>
      </c>
      <c r="F688" t="s">
        <v>45</v>
      </c>
      <c r="G688">
        <v>0</v>
      </c>
      <c r="H688" t="s">
        <v>47</v>
      </c>
      <c r="I688">
        <v>0</v>
      </c>
      <c r="J688" t="s">
        <v>47</v>
      </c>
      <c r="K688">
        <v>0</v>
      </c>
      <c r="L688" t="s">
        <v>47</v>
      </c>
      <c r="M688">
        <v>0</v>
      </c>
      <c r="N688" t="s">
        <v>47</v>
      </c>
      <c r="O688">
        <v>0</v>
      </c>
      <c r="P688" t="s">
        <v>47</v>
      </c>
      <c r="Q688">
        <v>0</v>
      </c>
      <c r="R688" t="s">
        <v>47</v>
      </c>
      <c r="S688">
        <v>0</v>
      </c>
      <c r="T688" t="s">
        <v>47</v>
      </c>
    </row>
    <row r="689" spans="1:20" x14ac:dyDescent="0.35">
      <c r="A689" s="1" t="s">
        <v>1928</v>
      </c>
      <c r="B689" t="s">
        <v>14</v>
      </c>
      <c r="C689" t="s">
        <v>47</v>
      </c>
      <c r="D689" t="s">
        <v>1274</v>
      </c>
      <c r="E689">
        <v>0</v>
      </c>
      <c r="F689" t="s">
        <v>47</v>
      </c>
      <c r="G689">
        <v>1</v>
      </c>
      <c r="H689" t="s">
        <v>45</v>
      </c>
      <c r="I689">
        <v>0</v>
      </c>
      <c r="J689" t="s">
        <v>47</v>
      </c>
      <c r="K689">
        <v>0</v>
      </c>
      <c r="L689" t="s">
        <v>47</v>
      </c>
      <c r="M689">
        <v>0</v>
      </c>
      <c r="N689" t="s">
        <v>47</v>
      </c>
      <c r="O689">
        <v>0</v>
      </c>
      <c r="P689" t="s">
        <v>47</v>
      </c>
      <c r="Q689">
        <v>0</v>
      </c>
      <c r="R689" t="s">
        <v>47</v>
      </c>
      <c r="S689">
        <v>0</v>
      </c>
      <c r="T689" t="s">
        <v>47</v>
      </c>
    </row>
    <row r="690" spans="1:20" x14ac:dyDescent="0.35">
      <c r="A690" s="1" t="s">
        <v>1929</v>
      </c>
      <c r="B690" t="s">
        <v>14</v>
      </c>
      <c r="C690" t="s">
        <v>47</v>
      </c>
      <c r="D690" t="s">
        <v>1275</v>
      </c>
      <c r="E690">
        <v>0</v>
      </c>
      <c r="F690" t="s">
        <v>47</v>
      </c>
      <c r="G690">
        <v>1</v>
      </c>
      <c r="H690" t="s">
        <v>45</v>
      </c>
      <c r="I690">
        <v>0</v>
      </c>
      <c r="J690" t="s">
        <v>47</v>
      </c>
      <c r="K690">
        <v>0</v>
      </c>
      <c r="L690" t="s">
        <v>47</v>
      </c>
      <c r="M690">
        <v>0</v>
      </c>
      <c r="N690" t="s">
        <v>47</v>
      </c>
      <c r="O690">
        <v>0</v>
      </c>
      <c r="P690" t="s">
        <v>47</v>
      </c>
      <c r="Q690">
        <v>0</v>
      </c>
      <c r="R690" t="s">
        <v>47</v>
      </c>
      <c r="S690">
        <v>0</v>
      </c>
      <c r="T690" t="s">
        <v>47</v>
      </c>
    </row>
    <row r="691" spans="1:20" x14ac:dyDescent="0.35">
      <c r="A691" s="1" t="s">
        <v>1930</v>
      </c>
      <c r="B691" t="s">
        <v>14</v>
      </c>
      <c r="C691" t="s">
        <v>47</v>
      </c>
      <c r="D691" t="s">
        <v>1276</v>
      </c>
      <c r="E691">
        <v>1</v>
      </c>
      <c r="F691" t="s">
        <v>45</v>
      </c>
      <c r="G691">
        <v>1</v>
      </c>
      <c r="H691" t="s">
        <v>45</v>
      </c>
      <c r="I691">
        <v>0</v>
      </c>
      <c r="J691" t="s">
        <v>47</v>
      </c>
      <c r="K691">
        <v>0</v>
      </c>
      <c r="L691" t="s">
        <v>47</v>
      </c>
      <c r="M691">
        <v>0</v>
      </c>
      <c r="N691" t="s">
        <v>47</v>
      </c>
      <c r="O691">
        <v>0</v>
      </c>
      <c r="P691" t="s">
        <v>47</v>
      </c>
      <c r="Q691">
        <v>0</v>
      </c>
      <c r="R691" t="s">
        <v>47</v>
      </c>
      <c r="S691">
        <v>0</v>
      </c>
      <c r="T691" t="s">
        <v>47</v>
      </c>
    </row>
    <row r="692" spans="1:20" x14ac:dyDescent="0.35">
      <c r="A692" s="1" t="s">
        <v>1931</v>
      </c>
      <c r="B692" t="s">
        <v>14</v>
      </c>
      <c r="C692" t="s">
        <v>47</v>
      </c>
      <c r="D692" t="s">
        <v>1277</v>
      </c>
      <c r="E692">
        <v>1</v>
      </c>
      <c r="F692" t="s">
        <v>45</v>
      </c>
      <c r="G692">
        <v>0</v>
      </c>
      <c r="H692" t="s">
        <v>47</v>
      </c>
      <c r="I692">
        <v>0</v>
      </c>
      <c r="J692" t="s">
        <v>47</v>
      </c>
      <c r="K692">
        <v>0</v>
      </c>
      <c r="L692" t="s">
        <v>47</v>
      </c>
      <c r="M692">
        <v>0</v>
      </c>
      <c r="N692" t="s">
        <v>47</v>
      </c>
      <c r="O692">
        <v>0</v>
      </c>
      <c r="P692" t="s">
        <v>47</v>
      </c>
      <c r="Q692">
        <v>0</v>
      </c>
      <c r="R692" t="s">
        <v>47</v>
      </c>
      <c r="S692">
        <v>0</v>
      </c>
      <c r="T692" t="s">
        <v>47</v>
      </c>
    </row>
    <row r="693" spans="1:20" x14ac:dyDescent="0.35">
      <c r="A693" s="1" t="s">
        <v>1932</v>
      </c>
      <c r="B693" t="s">
        <v>14</v>
      </c>
      <c r="C693" t="s">
        <v>47</v>
      </c>
      <c r="D693" t="s">
        <v>1278</v>
      </c>
      <c r="E693">
        <v>1</v>
      </c>
      <c r="F693" t="s">
        <v>45</v>
      </c>
      <c r="G693">
        <v>1</v>
      </c>
      <c r="H693" t="s">
        <v>45</v>
      </c>
      <c r="I693">
        <v>0</v>
      </c>
      <c r="J693" t="s">
        <v>47</v>
      </c>
      <c r="K693">
        <v>0</v>
      </c>
      <c r="L693" t="s">
        <v>47</v>
      </c>
      <c r="M693">
        <v>0</v>
      </c>
      <c r="N693" t="s">
        <v>47</v>
      </c>
      <c r="O693">
        <v>0</v>
      </c>
      <c r="P693" t="s">
        <v>47</v>
      </c>
      <c r="Q693">
        <v>0</v>
      </c>
      <c r="R693" t="s">
        <v>47</v>
      </c>
      <c r="S693">
        <v>0</v>
      </c>
      <c r="T693" t="s">
        <v>47</v>
      </c>
    </row>
    <row r="694" spans="1:20" x14ac:dyDescent="0.35">
      <c r="A694" s="1" t="s">
        <v>1933</v>
      </c>
      <c r="B694" t="s">
        <v>14</v>
      </c>
      <c r="C694" t="s">
        <v>47</v>
      </c>
      <c r="D694" t="s">
        <v>1279</v>
      </c>
      <c r="E694">
        <v>0</v>
      </c>
      <c r="F694" t="s">
        <v>47</v>
      </c>
      <c r="G694">
        <v>1</v>
      </c>
      <c r="H694" t="s">
        <v>45</v>
      </c>
      <c r="I694">
        <v>0</v>
      </c>
      <c r="J694" t="s">
        <v>47</v>
      </c>
      <c r="K694">
        <v>0</v>
      </c>
      <c r="L694" t="s">
        <v>47</v>
      </c>
      <c r="M694">
        <v>0</v>
      </c>
      <c r="N694" t="s">
        <v>47</v>
      </c>
      <c r="O694">
        <v>0</v>
      </c>
      <c r="P694" t="s">
        <v>47</v>
      </c>
      <c r="Q694">
        <v>0</v>
      </c>
      <c r="R694" t="s">
        <v>47</v>
      </c>
      <c r="S694">
        <v>0</v>
      </c>
      <c r="T694" t="s">
        <v>47</v>
      </c>
    </row>
    <row r="695" spans="1:20" x14ac:dyDescent="0.35">
      <c r="A695" s="1" t="s">
        <v>1934</v>
      </c>
      <c r="B695" t="s">
        <v>14</v>
      </c>
      <c r="C695" t="s">
        <v>47</v>
      </c>
      <c r="D695" t="s">
        <v>1280</v>
      </c>
      <c r="E695">
        <v>1</v>
      </c>
      <c r="F695" t="s">
        <v>45</v>
      </c>
      <c r="G695">
        <v>0</v>
      </c>
      <c r="H695" t="s">
        <v>47</v>
      </c>
      <c r="I695">
        <v>0</v>
      </c>
      <c r="J695" t="s">
        <v>47</v>
      </c>
      <c r="K695">
        <v>0</v>
      </c>
      <c r="L695" t="s">
        <v>47</v>
      </c>
      <c r="M695">
        <v>0</v>
      </c>
      <c r="N695" t="s">
        <v>47</v>
      </c>
      <c r="O695">
        <v>0</v>
      </c>
      <c r="P695" t="s">
        <v>47</v>
      </c>
      <c r="Q695">
        <v>0</v>
      </c>
      <c r="R695" t="s">
        <v>47</v>
      </c>
      <c r="S695">
        <v>0</v>
      </c>
      <c r="T695" t="s">
        <v>47</v>
      </c>
    </row>
    <row r="696" spans="1:20" x14ac:dyDescent="0.35">
      <c r="A696" s="1" t="s">
        <v>1935</v>
      </c>
      <c r="B696" t="s">
        <v>16</v>
      </c>
      <c r="C696" t="s">
        <v>47</v>
      </c>
      <c r="D696" t="s">
        <v>1281</v>
      </c>
      <c r="E696">
        <v>1</v>
      </c>
      <c r="F696" t="s">
        <v>45</v>
      </c>
      <c r="G696">
        <v>1</v>
      </c>
      <c r="H696" t="s">
        <v>45</v>
      </c>
      <c r="I696">
        <v>0</v>
      </c>
      <c r="J696" t="s">
        <v>47</v>
      </c>
      <c r="K696">
        <v>0</v>
      </c>
      <c r="L696" t="s">
        <v>47</v>
      </c>
      <c r="M696">
        <v>0</v>
      </c>
      <c r="N696" t="s">
        <v>47</v>
      </c>
      <c r="O696">
        <v>0</v>
      </c>
      <c r="P696" t="s">
        <v>47</v>
      </c>
      <c r="Q696">
        <v>0</v>
      </c>
      <c r="R696" t="s">
        <v>47</v>
      </c>
      <c r="S696">
        <v>0</v>
      </c>
      <c r="T696" t="s">
        <v>47</v>
      </c>
    </row>
    <row r="697" spans="1:20" x14ac:dyDescent="0.35">
      <c r="A697" s="1" t="s">
        <v>1936</v>
      </c>
      <c r="B697" t="s">
        <v>14</v>
      </c>
      <c r="C697" t="s">
        <v>47</v>
      </c>
      <c r="D697" t="s">
        <v>1282</v>
      </c>
      <c r="E697">
        <v>1</v>
      </c>
      <c r="F697" t="s">
        <v>45</v>
      </c>
      <c r="G697">
        <v>1</v>
      </c>
      <c r="H697" t="s">
        <v>45</v>
      </c>
      <c r="I697">
        <v>0</v>
      </c>
      <c r="J697" t="s">
        <v>47</v>
      </c>
      <c r="K697">
        <v>0</v>
      </c>
      <c r="L697" t="s">
        <v>47</v>
      </c>
      <c r="M697">
        <v>0</v>
      </c>
      <c r="N697" t="s">
        <v>47</v>
      </c>
      <c r="O697">
        <v>0</v>
      </c>
      <c r="P697" t="s">
        <v>47</v>
      </c>
      <c r="Q697">
        <v>0</v>
      </c>
      <c r="R697" t="s">
        <v>47</v>
      </c>
      <c r="S697">
        <v>0</v>
      </c>
      <c r="T697" t="s">
        <v>47</v>
      </c>
    </row>
    <row r="698" spans="1:20" x14ac:dyDescent="0.35">
      <c r="A698" s="1" t="s">
        <v>1937</v>
      </c>
      <c r="B698" t="s">
        <v>14</v>
      </c>
      <c r="C698" t="s">
        <v>47</v>
      </c>
      <c r="D698" t="s">
        <v>1283</v>
      </c>
      <c r="E698">
        <v>1</v>
      </c>
      <c r="F698" t="s">
        <v>45</v>
      </c>
      <c r="G698">
        <v>1</v>
      </c>
      <c r="H698" t="s">
        <v>45</v>
      </c>
      <c r="I698">
        <v>0</v>
      </c>
      <c r="J698" t="s">
        <v>47</v>
      </c>
      <c r="K698">
        <v>0</v>
      </c>
      <c r="L698" t="s">
        <v>47</v>
      </c>
      <c r="M698">
        <v>0</v>
      </c>
      <c r="N698" t="s">
        <v>47</v>
      </c>
      <c r="O698">
        <v>0</v>
      </c>
      <c r="P698" t="s">
        <v>47</v>
      </c>
      <c r="Q698">
        <v>0</v>
      </c>
      <c r="R698" t="s">
        <v>47</v>
      </c>
      <c r="S698">
        <v>0</v>
      </c>
      <c r="T698" t="s">
        <v>47</v>
      </c>
    </row>
    <row r="699" spans="1:20" x14ac:dyDescent="0.35">
      <c r="A699" s="1" t="s">
        <v>1938</v>
      </c>
      <c r="B699" t="s">
        <v>14</v>
      </c>
      <c r="C699" t="s">
        <v>47</v>
      </c>
      <c r="D699" t="s">
        <v>1284</v>
      </c>
      <c r="E699">
        <v>1</v>
      </c>
      <c r="F699" t="s">
        <v>45</v>
      </c>
      <c r="G699">
        <v>1</v>
      </c>
      <c r="H699" t="s">
        <v>45</v>
      </c>
      <c r="I699">
        <v>0</v>
      </c>
      <c r="J699" t="s">
        <v>47</v>
      </c>
      <c r="K699">
        <v>0</v>
      </c>
      <c r="L699" t="s">
        <v>47</v>
      </c>
      <c r="M699">
        <v>0</v>
      </c>
      <c r="N699" t="s">
        <v>47</v>
      </c>
      <c r="O699">
        <v>0</v>
      </c>
      <c r="P699" t="s">
        <v>47</v>
      </c>
      <c r="Q699">
        <v>1</v>
      </c>
      <c r="R699" t="s">
        <v>45</v>
      </c>
      <c r="S699">
        <v>0</v>
      </c>
      <c r="T699" t="s">
        <v>47</v>
      </c>
    </row>
    <row r="700" spans="1:20" x14ac:dyDescent="0.35">
      <c r="A700" s="1" t="s">
        <v>1939</v>
      </c>
      <c r="B700" t="s">
        <v>14</v>
      </c>
      <c r="C700" t="s">
        <v>47</v>
      </c>
      <c r="D700" t="s">
        <v>1285</v>
      </c>
      <c r="E700">
        <v>0</v>
      </c>
      <c r="F700" t="s">
        <v>47</v>
      </c>
      <c r="G700">
        <v>1</v>
      </c>
      <c r="H700" t="s">
        <v>45</v>
      </c>
      <c r="I700">
        <v>0</v>
      </c>
      <c r="J700" t="s">
        <v>47</v>
      </c>
      <c r="K700">
        <v>0</v>
      </c>
      <c r="L700" t="s">
        <v>47</v>
      </c>
      <c r="M700">
        <v>0</v>
      </c>
      <c r="N700" t="s">
        <v>47</v>
      </c>
      <c r="O700">
        <v>0</v>
      </c>
      <c r="P700" t="s">
        <v>47</v>
      </c>
      <c r="Q700">
        <v>0</v>
      </c>
      <c r="R700" t="s">
        <v>47</v>
      </c>
      <c r="S700">
        <v>0</v>
      </c>
      <c r="T700" t="s">
        <v>47</v>
      </c>
    </row>
    <row r="701" spans="1:20" x14ac:dyDescent="0.35">
      <c r="A701" s="1" t="s">
        <v>1940</v>
      </c>
      <c r="B701" t="s">
        <v>14</v>
      </c>
      <c r="C701" t="s">
        <v>47</v>
      </c>
      <c r="D701" t="s">
        <v>1286</v>
      </c>
      <c r="E701">
        <v>1</v>
      </c>
      <c r="F701" t="s">
        <v>45</v>
      </c>
      <c r="G701">
        <v>1</v>
      </c>
      <c r="H701" t="s">
        <v>45</v>
      </c>
      <c r="I701">
        <v>0</v>
      </c>
      <c r="J701" t="s">
        <v>47</v>
      </c>
      <c r="K701">
        <v>0</v>
      </c>
      <c r="L701" t="s">
        <v>47</v>
      </c>
      <c r="M701">
        <v>0</v>
      </c>
      <c r="N701" t="s">
        <v>47</v>
      </c>
      <c r="O701">
        <v>0</v>
      </c>
      <c r="P701" t="s">
        <v>47</v>
      </c>
      <c r="Q701">
        <v>0</v>
      </c>
      <c r="R701" t="s">
        <v>47</v>
      </c>
      <c r="S701">
        <v>0</v>
      </c>
      <c r="T701" t="s">
        <v>47</v>
      </c>
    </row>
    <row r="702" spans="1:20" x14ac:dyDescent="0.35">
      <c r="A702" s="1" t="s">
        <v>1941</v>
      </c>
      <c r="B702" t="s">
        <v>14</v>
      </c>
      <c r="C702" t="s">
        <v>47</v>
      </c>
      <c r="D702" t="s">
        <v>1287</v>
      </c>
      <c r="E702">
        <v>1</v>
      </c>
      <c r="F702" t="s">
        <v>45</v>
      </c>
      <c r="G702">
        <v>1</v>
      </c>
      <c r="H702" t="s">
        <v>45</v>
      </c>
      <c r="I702">
        <v>0</v>
      </c>
      <c r="J702" t="s">
        <v>47</v>
      </c>
      <c r="K702">
        <v>0</v>
      </c>
      <c r="L702" t="s">
        <v>47</v>
      </c>
      <c r="M702">
        <v>0</v>
      </c>
      <c r="N702" t="s">
        <v>47</v>
      </c>
      <c r="O702">
        <v>0</v>
      </c>
      <c r="P702" t="s">
        <v>47</v>
      </c>
      <c r="Q702">
        <v>0</v>
      </c>
      <c r="R702" t="s">
        <v>47</v>
      </c>
      <c r="S702">
        <v>0</v>
      </c>
      <c r="T702" t="s">
        <v>47</v>
      </c>
    </row>
    <row r="703" spans="1:20" x14ac:dyDescent="0.35">
      <c r="A703" s="1" t="s">
        <v>1942</v>
      </c>
      <c r="B703" t="s">
        <v>14</v>
      </c>
      <c r="C703" t="s">
        <v>47</v>
      </c>
      <c r="D703" t="s">
        <v>1288</v>
      </c>
      <c r="E703">
        <v>1</v>
      </c>
      <c r="F703" t="s">
        <v>55</v>
      </c>
      <c r="G703">
        <v>0</v>
      </c>
      <c r="H703" t="s">
        <v>47</v>
      </c>
      <c r="I703">
        <v>0</v>
      </c>
      <c r="J703" t="s">
        <v>47</v>
      </c>
      <c r="K703">
        <v>0</v>
      </c>
      <c r="L703" t="s">
        <v>47</v>
      </c>
      <c r="M703">
        <v>0</v>
      </c>
      <c r="N703" t="s">
        <v>47</v>
      </c>
      <c r="O703">
        <v>0</v>
      </c>
      <c r="P703" t="s">
        <v>47</v>
      </c>
      <c r="Q703">
        <v>0</v>
      </c>
      <c r="R703" t="s">
        <v>47</v>
      </c>
      <c r="S703">
        <v>0</v>
      </c>
      <c r="T703" t="s">
        <v>47</v>
      </c>
    </row>
    <row r="704" spans="1:20" x14ac:dyDescent="0.35">
      <c r="A704" s="1" t="s">
        <v>1943</v>
      </c>
      <c r="B704" t="s">
        <v>16</v>
      </c>
      <c r="C704" t="s">
        <v>47</v>
      </c>
      <c r="D704" t="s">
        <v>1289</v>
      </c>
      <c r="E704">
        <v>1</v>
      </c>
      <c r="F704" t="s">
        <v>45</v>
      </c>
      <c r="G704">
        <v>1</v>
      </c>
      <c r="H704" t="s">
        <v>45</v>
      </c>
      <c r="I704">
        <v>0</v>
      </c>
      <c r="J704" t="s">
        <v>47</v>
      </c>
      <c r="K704">
        <v>0</v>
      </c>
      <c r="L704" t="s">
        <v>47</v>
      </c>
      <c r="M704">
        <v>0</v>
      </c>
      <c r="N704" t="s">
        <v>47</v>
      </c>
      <c r="O704">
        <v>0</v>
      </c>
      <c r="P704" t="s">
        <v>47</v>
      </c>
      <c r="Q704">
        <v>0</v>
      </c>
      <c r="R704" t="s">
        <v>47</v>
      </c>
      <c r="S704">
        <v>0</v>
      </c>
      <c r="T704" t="s">
        <v>47</v>
      </c>
    </row>
    <row r="705" spans="1:20" x14ac:dyDescent="0.35">
      <c r="A705" s="1" t="s">
        <v>1944</v>
      </c>
      <c r="B705" t="s">
        <v>14</v>
      </c>
      <c r="C705" t="s">
        <v>47</v>
      </c>
      <c r="D705" t="s">
        <v>1290</v>
      </c>
      <c r="E705">
        <v>0</v>
      </c>
      <c r="F705" t="s">
        <v>47</v>
      </c>
      <c r="G705">
        <v>0</v>
      </c>
      <c r="H705" t="s">
        <v>47</v>
      </c>
      <c r="I705">
        <v>0</v>
      </c>
      <c r="J705" t="s">
        <v>47</v>
      </c>
      <c r="K705">
        <v>0</v>
      </c>
      <c r="L705" t="s">
        <v>47</v>
      </c>
      <c r="M705">
        <v>0</v>
      </c>
      <c r="N705" t="s">
        <v>47</v>
      </c>
      <c r="O705">
        <v>0</v>
      </c>
      <c r="P705" t="s">
        <v>47</v>
      </c>
      <c r="Q705">
        <v>1</v>
      </c>
      <c r="R705" t="s">
        <v>45</v>
      </c>
      <c r="S705">
        <v>0</v>
      </c>
      <c r="T705" t="s">
        <v>47</v>
      </c>
    </row>
    <row r="706" spans="1:20" x14ac:dyDescent="0.35">
      <c r="A706" s="1" t="s">
        <v>1945</v>
      </c>
      <c r="B706" t="s">
        <v>14</v>
      </c>
      <c r="C706" t="s">
        <v>47</v>
      </c>
      <c r="D706" t="s">
        <v>1291</v>
      </c>
      <c r="E706">
        <v>1</v>
      </c>
      <c r="F706" t="s">
        <v>45</v>
      </c>
      <c r="G706">
        <v>1</v>
      </c>
      <c r="H706" t="s">
        <v>45</v>
      </c>
      <c r="I706">
        <v>0</v>
      </c>
      <c r="J706" t="s">
        <v>47</v>
      </c>
      <c r="K706">
        <v>0</v>
      </c>
      <c r="L706" t="s">
        <v>47</v>
      </c>
      <c r="M706">
        <v>0</v>
      </c>
      <c r="N706" t="s">
        <v>47</v>
      </c>
      <c r="O706">
        <v>0</v>
      </c>
      <c r="P706" t="s">
        <v>47</v>
      </c>
      <c r="Q706">
        <v>0</v>
      </c>
      <c r="R706" t="s">
        <v>47</v>
      </c>
      <c r="S706">
        <v>0</v>
      </c>
      <c r="T706" t="s">
        <v>47</v>
      </c>
    </row>
    <row r="707" spans="1:20" x14ac:dyDescent="0.35">
      <c r="A707" s="1" t="s">
        <v>1946</v>
      </c>
      <c r="B707" t="s">
        <v>14</v>
      </c>
      <c r="C707" t="s">
        <v>47</v>
      </c>
      <c r="D707" t="s">
        <v>1292</v>
      </c>
      <c r="E707">
        <v>1</v>
      </c>
      <c r="F707" t="s">
        <v>55</v>
      </c>
      <c r="G707">
        <v>1</v>
      </c>
      <c r="H707" t="s">
        <v>45</v>
      </c>
      <c r="I707">
        <v>0</v>
      </c>
      <c r="J707" t="s">
        <v>47</v>
      </c>
      <c r="K707">
        <v>0</v>
      </c>
      <c r="L707" t="s">
        <v>47</v>
      </c>
      <c r="M707">
        <v>0</v>
      </c>
      <c r="N707" t="s">
        <v>47</v>
      </c>
      <c r="O707">
        <v>0</v>
      </c>
      <c r="P707" t="s">
        <v>47</v>
      </c>
      <c r="Q707">
        <v>0</v>
      </c>
      <c r="R707" t="s">
        <v>47</v>
      </c>
      <c r="S707">
        <v>0</v>
      </c>
      <c r="T707" t="s">
        <v>47</v>
      </c>
    </row>
    <row r="708" spans="1:20" x14ac:dyDescent="0.35">
      <c r="A708" s="1" t="s">
        <v>1947</v>
      </c>
      <c r="B708" t="s">
        <v>14</v>
      </c>
      <c r="C708" t="s">
        <v>47</v>
      </c>
      <c r="D708" t="s">
        <v>1293</v>
      </c>
      <c r="E708">
        <v>0</v>
      </c>
      <c r="F708" t="s">
        <v>47</v>
      </c>
      <c r="G708">
        <v>1</v>
      </c>
      <c r="H708" t="s">
        <v>45</v>
      </c>
      <c r="I708">
        <v>0</v>
      </c>
      <c r="J708" t="s">
        <v>47</v>
      </c>
      <c r="K708">
        <v>0</v>
      </c>
      <c r="L708" t="s">
        <v>47</v>
      </c>
      <c r="M708">
        <v>0</v>
      </c>
      <c r="N708" t="s">
        <v>47</v>
      </c>
      <c r="O708">
        <v>0</v>
      </c>
      <c r="P708" t="s">
        <v>47</v>
      </c>
      <c r="Q708">
        <v>0</v>
      </c>
      <c r="R708" t="s">
        <v>47</v>
      </c>
      <c r="S708">
        <v>0</v>
      </c>
      <c r="T708" t="s">
        <v>47</v>
      </c>
    </row>
    <row r="709" spans="1:20" x14ac:dyDescent="0.35">
      <c r="A709" s="1" t="s">
        <v>1948</v>
      </c>
      <c r="B709" t="s">
        <v>14</v>
      </c>
      <c r="C709" t="s">
        <v>47</v>
      </c>
      <c r="D709" t="s">
        <v>1294</v>
      </c>
      <c r="E709">
        <v>1</v>
      </c>
      <c r="F709" t="s">
        <v>45</v>
      </c>
      <c r="G709">
        <v>1</v>
      </c>
      <c r="H709" t="s">
        <v>45</v>
      </c>
      <c r="I709">
        <v>0</v>
      </c>
      <c r="J709" t="s">
        <v>47</v>
      </c>
      <c r="K709">
        <v>0</v>
      </c>
      <c r="L709" t="s">
        <v>47</v>
      </c>
      <c r="M709">
        <v>0</v>
      </c>
      <c r="N709" t="s">
        <v>47</v>
      </c>
      <c r="O709">
        <v>0</v>
      </c>
      <c r="P709" t="s">
        <v>47</v>
      </c>
      <c r="Q709">
        <v>1</v>
      </c>
      <c r="R709" t="s">
        <v>45</v>
      </c>
      <c r="S709">
        <v>0</v>
      </c>
      <c r="T709" t="s">
        <v>47</v>
      </c>
    </row>
    <row r="710" spans="1:20" x14ac:dyDescent="0.35">
      <c r="A710" s="1" t="s">
        <v>1949</v>
      </c>
      <c r="B710" t="s">
        <v>14</v>
      </c>
      <c r="C710" t="s">
        <v>47</v>
      </c>
      <c r="D710" t="s">
        <v>1295</v>
      </c>
      <c r="E710">
        <v>0</v>
      </c>
      <c r="F710" t="s">
        <v>47</v>
      </c>
      <c r="G710">
        <v>0</v>
      </c>
      <c r="H710" t="s">
        <v>47</v>
      </c>
      <c r="I710">
        <v>0</v>
      </c>
      <c r="J710" t="s">
        <v>47</v>
      </c>
      <c r="K710">
        <v>0</v>
      </c>
      <c r="L710" t="s">
        <v>47</v>
      </c>
      <c r="M710">
        <v>0</v>
      </c>
      <c r="N710" t="s">
        <v>47</v>
      </c>
      <c r="O710">
        <v>0</v>
      </c>
      <c r="P710" t="s">
        <v>47</v>
      </c>
      <c r="Q710">
        <v>1</v>
      </c>
      <c r="R710" t="s">
        <v>45</v>
      </c>
      <c r="S710">
        <v>0</v>
      </c>
      <c r="T710" t="s">
        <v>47</v>
      </c>
    </row>
    <row r="711" spans="1:20" x14ac:dyDescent="0.35">
      <c r="A711" s="1" t="s">
        <v>1950</v>
      </c>
      <c r="B711" t="s">
        <v>14</v>
      </c>
      <c r="C711" t="s">
        <v>47</v>
      </c>
      <c r="D711" t="s">
        <v>1296</v>
      </c>
      <c r="E711">
        <v>1</v>
      </c>
      <c r="F711" t="s">
        <v>45</v>
      </c>
      <c r="G711">
        <v>0</v>
      </c>
      <c r="H711" t="s">
        <v>47</v>
      </c>
      <c r="I711">
        <v>0</v>
      </c>
      <c r="J711" t="s">
        <v>47</v>
      </c>
      <c r="K711">
        <v>0</v>
      </c>
      <c r="L711" t="s">
        <v>47</v>
      </c>
      <c r="M711">
        <v>0</v>
      </c>
      <c r="N711" t="s">
        <v>47</v>
      </c>
      <c r="O711">
        <v>0</v>
      </c>
      <c r="P711" t="s">
        <v>47</v>
      </c>
      <c r="Q711">
        <v>1</v>
      </c>
      <c r="R711" t="s">
        <v>45</v>
      </c>
      <c r="S711">
        <v>0</v>
      </c>
      <c r="T711" t="s">
        <v>47</v>
      </c>
    </row>
    <row r="712" spans="1:20" x14ac:dyDescent="0.35">
      <c r="A712" s="1" t="s">
        <v>1951</v>
      </c>
      <c r="B712" t="s">
        <v>14</v>
      </c>
      <c r="C712" t="s">
        <v>47</v>
      </c>
      <c r="D712" t="s">
        <v>1297</v>
      </c>
      <c r="E712">
        <v>1</v>
      </c>
      <c r="F712" t="s">
        <v>45</v>
      </c>
      <c r="G712">
        <v>1</v>
      </c>
      <c r="H712" t="s">
        <v>45</v>
      </c>
      <c r="I712">
        <v>0</v>
      </c>
      <c r="J712" t="s">
        <v>47</v>
      </c>
      <c r="K712">
        <v>0</v>
      </c>
      <c r="L712" t="s">
        <v>47</v>
      </c>
      <c r="M712">
        <v>0</v>
      </c>
      <c r="N712" t="s">
        <v>47</v>
      </c>
      <c r="O712">
        <v>0</v>
      </c>
      <c r="P712" t="s">
        <v>47</v>
      </c>
      <c r="Q712">
        <v>1</v>
      </c>
      <c r="R712" t="s">
        <v>45</v>
      </c>
      <c r="S712">
        <v>1</v>
      </c>
      <c r="T712" t="s">
        <v>45</v>
      </c>
    </row>
    <row r="713" spans="1:20" x14ac:dyDescent="0.35">
      <c r="A713" s="1" t="s">
        <v>1952</v>
      </c>
      <c r="B713" t="s">
        <v>14</v>
      </c>
      <c r="C713" t="s">
        <v>47</v>
      </c>
      <c r="D713" t="s">
        <v>1298</v>
      </c>
      <c r="E713">
        <v>1</v>
      </c>
      <c r="F713" t="s">
        <v>55</v>
      </c>
      <c r="G713">
        <v>1</v>
      </c>
      <c r="H713" t="s">
        <v>55</v>
      </c>
      <c r="I713">
        <v>0</v>
      </c>
      <c r="J713" t="s">
        <v>47</v>
      </c>
      <c r="K713">
        <v>0</v>
      </c>
      <c r="L713" t="s">
        <v>47</v>
      </c>
      <c r="M713">
        <v>0</v>
      </c>
      <c r="N713" t="s">
        <v>47</v>
      </c>
      <c r="O713">
        <v>0</v>
      </c>
      <c r="P713" t="s">
        <v>47</v>
      </c>
      <c r="Q713">
        <v>0</v>
      </c>
      <c r="R713" t="s">
        <v>47</v>
      </c>
      <c r="S713">
        <v>0</v>
      </c>
      <c r="T713" t="s">
        <v>47</v>
      </c>
    </row>
    <row r="714" spans="1:20" x14ac:dyDescent="0.35">
      <c r="A714" s="1" t="s">
        <v>1953</v>
      </c>
      <c r="B714" t="s">
        <v>14</v>
      </c>
      <c r="C714" t="s">
        <v>47</v>
      </c>
      <c r="D714" t="s">
        <v>1299</v>
      </c>
      <c r="E714">
        <v>1</v>
      </c>
      <c r="F714" t="s">
        <v>45</v>
      </c>
      <c r="G714">
        <v>1</v>
      </c>
      <c r="H714" t="s">
        <v>45</v>
      </c>
      <c r="I714">
        <v>0</v>
      </c>
      <c r="J714" t="s">
        <v>47</v>
      </c>
      <c r="K714">
        <v>0</v>
      </c>
      <c r="L714" t="s">
        <v>47</v>
      </c>
      <c r="M714">
        <v>0</v>
      </c>
      <c r="N714" t="s">
        <v>47</v>
      </c>
      <c r="O714">
        <v>0</v>
      </c>
      <c r="P714" t="s">
        <v>47</v>
      </c>
      <c r="Q714">
        <v>0</v>
      </c>
      <c r="R714" t="s">
        <v>47</v>
      </c>
      <c r="S714">
        <v>0</v>
      </c>
      <c r="T714" t="s">
        <v>47</v>
      </c>
    </row>
    <row r="715" spans="1:20" x14ac:dyDescent="0.35">
      <c r="A715" s="1" t="s">
        <v>1954</v>
      </c>
      <c r="B715" t="s">
        <v>14</v>
      </c>
      <c r="C715" t="s">
        <v>47</v>
      </c>
      <c r="D715" t="s">
        <v>1300</v>
      </c>
      <c r="E715">
        <v>1</v>
      </c>
      <c r="F715" t="s">
        <v>45</v>
      </c>
      <c r="G715">
        <v>0</v>
      </c>
      <c r="H715" t="s">
        <v>47</v>
      </c>
      <c r="I715">
        <v>0</v>
      </c>
      <c r="J715" t="s">
        <v>47</v>
      </c>
      <c r="K715">
        <v>0</v>
      </c>
      <c r="L715" t="s">
        <v>47</v>
      </c>
      <c r="M715">
        <v>0</v>
      </c>
      <c r="N715" t="s">
        <v>47</v>
      </c>
      <c r="O715">
        <v>0</v>
      </c>
      <c r="P715" t="s">
        <v>47</v>
      </c>
      <c r="Q715">
        <v>0</v>
      </c>
      <c r="R715" t="s">
        <v>47</v>
      </c>
      <c r="S715">
        <v>0</v>
      </c>
      <c r="T715" t="s">
        <v>47</v>
      </c>
    </row>
    <row r="716" spans="1:20" x14ac:dyDescent="0.35">
      <c r="A716" s="1" t="s">
        <v>1955</v>
      </c>
      <c r="B716" t="s">
        <v>14</v>
      </c>
      <c r="C716" t="s">
        <v>47</v>
      </c>
      <c r="D716" t="s">
        <v>1301</v>
      </c>
      <c r="E716">
        <v>1</v>
      </c>
      <c r="F716" t="s">
        <v>45</v>
      </c>
      <c r="G716">
        <v>0</v>
      </c>
      <c r="H716" t="s">
        <v>47</v>
      </c>
      <c r="I716">
        <v>0</v>
      </c>
      <c r="J716" t="s">
        <v>47</v>
      </c>
      <c r="K716">
        <v>0</v>
      </c>
      <c r="L716" t="s">
        <v>47</v>
      </c>
      <c r="M716">
        <v>0</v>
      </c>
      <c r="N716" t="s">
        <v>47</v>
      </c>
      <c r="O716">
        <v>0</v>
      </c>
      <c r="P716" t="s">
        <v>47</v>
      </c>
      <c r="Q716">
        <v>0</v>
      </c>
      <c r="R716" t="s">
        <v>47</v>
      </c>
      <c r="S716">
        <v>0</v>
      </c>
      <c r="T716" t="s">
        <v>47</v>
      </c>
    </row>
    <row r="717" spans="1:20" x14ac:dyDescent="0.35">
      <c r="A717" s="1" t="s">
        <v>1956</v>
      </c>
      <c r="B717" t="s">
        <v>14</v>
      </c>
      <c r="C717" t="s">
        <v>47</v>
      </c>
      <c r="D717" t="s">
        <v>1302</v>
      </c>
      <c r="E717">
        <v>1</v>
      </c>
      <c r="F717" t="s">
        <v>45</v>
      </c>
      <c r="G717">
        <v>1</v>
      </c>
      <c r="H717" t="s">
        <v>45</v>
      </c>
      <c r="I717">
        <v>0</v>
      </c>
      <c r="J717" t="s">
        <v>47</v>
      </c>
      <c r="K717">
        <v>0</v>
      </c>
      <c r="L717" t="s">
        <v>47</v>
      </c>
      <c r="M717">
        <v>0</v>
      </c>
      <c r="N717" t="s">
        <v>47</v>
      </c>
      <c r="O717">
        <v>0</v>
      </c>
      <c r="P717" t="s">
        <v>47</v>
      </c>
      <c r="Q717">
        <v>0</v>
      </c>
      <c r="R717" t="s">
        <v>47</v>
      </c>
      <c r="S717">
        <v>0</v>
      </c>
      <c r="T717" t="s">
        <v>47</v>
      </c>
    </row>
    <row r="718" spans="1:20" x14ac:dyDescent="0.35">
      <c r="A718" s="1" t="s">
        <v>1957</v>
      </c>
      <c r="B718" t="s">
        <v>14</v>
      </c>
      <c r="C718" t="s">
        <v>47</v>
      </c>
      <c r="D718" t="s">
        <v>1303</v>
      </c>
      <c r="E718">
        <v>1</v>
      </c>
      <c r="F718" t="s">
        <v>45</v>
      </c>
      <c r="G718">
        <v>0</v>
      </c>
      <c r="H718" t="s">
        <v>47</v>
      </c>
      <c r="I718">
        <v>0</v>
      </c>
      <c r="J718" t="s">
        <v>47</v>
      </c>
      <c r="K718">
        <v>0</v>
      </c>
      <c r="L718" t="s">
        <v>47</v>
      </c>
      <c r="M718">
        <v>0</v>
      </c>
      <c r="N718" t="s">
        <v>47</v>
      </c>
      <c r="O718">
        <v>1</v>
      </c>
      <c r="P718" t="s">
        <v>45</v>
      </c>
      <c r="Q718">
        <v>0</v>
      </c>
      <c r="R718" t="s">
        <v>47</v>
      </c>
      <c r="S718">
        <v>0</v>
      </c>
      <c r="T718" t="s">
        <v>47</v>
      </c>
    </row>
    <row r="719" spans="1:20" x14ac:dyDescent="0.35">
      <c r="A719" s="1" t="s">
        <v>1958</v>
      </c>
      <c r="B719" t="s">
        <v>14</v>
      </c>
      <c r="C719" t="s">
        <v>47</v>
      </c>
      <c r="D719" t="s">
        <v>1304</v>
      </c>
      <c r="E719">
        <v>0</v>
      </c>
      <c r="F719" t="s">
        <v>47</v>
      </c>
      <c r="G719">
        <v>1</v>
      </c>
      <c r="H719" t="s">
        <v>45</v>
      </c>
      <c r="I719">
        <v>0</v>
      </c>
      <c r="J719" t="s">
        <v>47</v>
      </c>
      <c r="K719">
        <v>0</v>
      </c>
      <c r="L719" t="s">
        <v>47</v>
      </c>
      <c r="M719">
        <v>0</v>
      </c>
      <c r="N719" t="s">
        <v>47</v>
      </c>
      <c r="O719">
        <v>0</v>
      </c>
      <c r="P719" t="s">
        <v>47</v>
      </c>
      <c r="Q719">
        <v>0</v>
      </c>
      <c r="R719" t="s">
        <v>47</v>
      </c>
      <c r="S719">
        <v>0</v>
      </c>
      <c r="T719" t="s">
        <v>47</v>
      </c>
    </row>
    <row r="720" spans="1:20" x14ac:dyDescent="0.35">
      <c r="A720" s="1" t="s">
        <v>1959</v>
      </c>
      <c r="B720" t="s">
        <v>14</v>
      </c>
      <c r="C720" t="s">
        <v>47</v>
      </c>
      <c r="D720" t="s">
        <v>1305</v>
      </c>
      <c r="E720">
        <v>1</v>
      </c>
      <c r="F720" t="s">
        <v>45</v>
      </c>
      <c r="G720">
        <v>1</v>
      </c>
      <c r="H720" t="s">
        <v>45</v>
      </c>
      <c r="I720">
        <v>0</v>
      </c>
      <c r="J720" t="s">
        <v>47</v>
      </c>
      <c r="K720">
        <v>0</v>
      </c>
      <c r="L720" t="s">
        <v>47</v>
      </c>
      <c r="M720">
        <v>0</v>
      </c>
      <c r="N720" t="s">
        <v>47</v>
      </c>
      <c r="O720">
        <v>0</v>
      </c>
      <c r="P720" t="s">
        <v>47</v>
      </c>
      <c r="Q720">
        <v>1</v>
      </c>
      <c r="R720" t="s">
        <v>45</v>
      </c>
      <c r="S720">
        <v>0</v>
      </c>
      <c r="T720" t="s">
        <v>47</v>
      </c>
    </row>
    <row r="721" spans="1:20" x14ac:dyDescent="0.35">
      <c r="A721" s="1" t="s">
        <v>1960</v>
      </c>
      <c r="B721" t="s">
        <v>14</v>
      </c>
      <c r="C721" t="s">
        <v>47</v>
      </c>
      <c r="D721" t="s">
        <v>1306</v>
      </c>
      <c r="E721">
        <v>1</v>
      </c>
      <c r="F721" t="s">
        <v>45</v>
      </c>
      <c r="G721">
        <v>1</v>
      </c>
      <c r="H721" t="s">
        <v>45</v>
      </c>
      <c r="I721">
        <v>0</v>
      </c>
      <c r="J721" t="s">
        <v>47</v>
      </c>
      <c r="K721">
        <v>0</v>
      </c>
      <c r="L721" t="s">
        <v>47</v>
      </c>
      <c r="M721">
        <v>0</v>
      </c>
      <c r="N721" t="s">
        <v>47</v>
      </c>
      <c r="O721">
        <v>0</v>
      </c>
      <c r="P721" t="s">
        <v>47</v>
      </c>
      <c r="Q721">
        <v>0</v>
      </c>
      <c r="R721" t="s">
        <v>47</v>
      </c>
      <c r="S721">
        <v>0</v>
      </c>
      <c r="T721" t="s">
        <v>47</v>
      </c>
    </row>
    <row r="722" spans="1:20" x14ac:dyDescent="0.35">
      <c r="A722" s="1" t="s">
        <v>1961</v>
      </c>
      <c r="B722" t="s">
        <v>14</v>
      </c>
      <c r="C722" t="s">
        <v>47</v>
      </c>
      <c r="D722" t="s">
        <v>1307</v>
      </c>
      <c r="E722">
        <v>1</v>
      </c>
      <c r="F722" t="s">
        <v>45</v>
      </c>
      <c r="G722">
        <v>0</v>
      </c>
      <c r="H722" t="s">
        <v>47</v>
      </c>
      <c r="I722">
        <v>0</v>
      </c>
      <c r="J722" t="s">
        <v>47</v>
      </c>
      <c r="K722">
        <v>0</v>
      </c>
      <c r="L722" t="s">
        <v>47</v>
      </c>
      <c r="M722">
        <v>0</v>
      </c>
      <c r="N722" t="s">
        <v>47</v>
      </c>
      <c r="O722">
        <v>0</v>
      </c>
      <c r="P722" t="s">
        <v>47</v>
      </c>
      <c r="Q722">
        <v>0</v>
      </c>
      <c r="R722" t="s">
        <v>47</v>
      </c>
      <c r="S722">
        <v>0</v>
      </c>
      <c r="T722" t="s">
        <v>47</v>
      </c>
    </row>
    <row r="723" spans="1:20" x14ac:dyDescent="0.35">
      <c r="A723" s="1" t="s">
        <v>1962</v>
      </c>
      <c r="B723" t="s">
        <v>14</v>
      </c>
      <c r="C723" t="s">
        <v>47</v>
      </c>
      <c r="D723" t="s">
        <v>1308</v>
      </c>
      <c r="E723">
        <v>1</v>
      </c>
      <c r="F723" t="s">
        <v>45</v>
      </c>
      <c r="G723">
        <v>0</v>
      </c>
      <c r="H723" t="s">
        <v>47</v>
      </c>
      <c r="I723">
        <v>0</v>
      </c>
      <c r="J723" t="s">
        <v>47</v>
      </c>
      <c r="K723">
        <v>0</v>
      </c>
      <c r="L723" t="s">
        <v>47</v>
      </c>
      <c r="M723">
        <v>0</v>
      </c>
      <c r="N723" t="s">
        <v>47</v>
      </c>
      <c r="O723">
        <v>0</v>
      </c>
      <c r="P723" t="s">
        <v>47</v>
      </c>
      <c r="Q723">
        <v>0</v>
      </c>
      <c r="R723" t="s">
        <v>47</v>
      </c>
      <c r="S723">
        <v>0</v>
      </c>
      <c r="T723" t="s">
        <v>47</v>
      </c>
    </row>
    <row r="724" spans="1:20" x14ac:dyDescent="0.35">
      <c r="A724" s="1" t="s">
        <v>1963</v>
      </c>
      <c r="B724" t="s">
        <v>14</v>
      </c>
      <c r="C724" t="s">
        <v>47</v>
      </c>
      <c r="D724" t="s">
        <v>1309</v>
      </c>
      <c r="E724">
        <v>1</v>
      </c>
      <c r="F724" t="s">
        <v>45</v>
      </c>
      <c r="G724">
        <v>0</v>
      </c>
      <c r="H724" t="s">
        <v>47</v>
      </c>
      <c r="I724">
        <v>0</v>
      </c>
      <c r="J724" t="s">
        <v>47</v>
      </c>
      <c r="K724">
        <v>0</v>
      </c>
      <c r="L724" t="s">
        <v>47</v>
      </c>
      <c r="M724">
        <v>0</v>
      </c>
      <c r="N724" t="s">
        <v>47</v>
      </c>
      <c r="O724">
        <v>0</v>
      </c>
      <c r="P724" t="s">
        <v>47</v>
      </c>
      <c r="Q724">
        <v>0</v>
      </c>
      <c r="R724" t="s">
        <v>47</v>
      </c>
      <c r="S724">
        <v>0</v>
      </c>
      <c r="T724" t="s">
        <v>47</v>
      </c>
    </row>
    <row r="725" spans="1:20" x14ac:dyDescent="0.35">
      <c r="A725" s="1" t="s">
        <v>1964</v>
      </c>
      <c r="B725" t="s">
        <v>14</v>
      </c>
      <c r="C725" t="s">
        <v>47</v>
      </c>
      <c r="D725" t="s">
        <v>1310</v>
      </c>
      <c r="E725">
        <v>0</v>
      </c>
      <c r="F725" t="s">
        <v>47</v>
      </c>
      <c r="G725">
        <v>1</v>
      </c>
      <c r="H725" t="s">
        <v>45</v>
      </c>
      <c r="I725">
        <v>0</v>
      </c>
      <c r="J725" t="s">
        <v>47</v>
      </c>
      <c r="K725">
        <v>0</v>
      </c>
      <c r="L725" t="s">
        <v>47</v>
      </c>
      <c r="M725">
        <v>0</v>
      </c>
      <c r="N725" t="s">
        <v>47</v>
      </c>
      <c r="O725">
        <v>0</v>
      </c>
      <c r="P725" t="s">
        <v>47</v>
      </c>
      <c r="Q725">
        <v>0</v>
      </c>
      <c r="R725" t="s">
        <v>47</v>
      </c>
      <c r="S725">
        <v>0</v>
      </c>
      <c r="T725" t="s">
        <v>47</v>
      </c>
    </row>
    <row r="726" spans="1:20" x14ac:dyDescent="0.35">
      <c r="A726" s="1" t="s">
        <v>1965</v>
      </c>
      <c r="B726" t="s">
        <v>14</v>
      </c>
      <c r="C726" t="s">
        <v>47</v>
      </c>
      <c r="D726" t="s">
        <v>1311</v>
      </c>
      <c r="E726">
        <v>1</v>
      </c>
      <c r="F726" t="s">
        <v>45</v>
      </c>
      <c r="G726">
        <v>0</v>
      </c>
      <c r="H726" t="s">
        <v>47</v>
      </c>
      <c r="I726">
        <v>0</v>
      </c>
      <c r="J726" t="s">
        <v>47</v>
      </c>
      <c r="K726">
        <v>0</v>
      </c>
      <c r="L726" t="s">
        <v>47</v>
      </c>
      <c r="M726">
        <v>0</v>
      </c>
      <c r="N726" t="s">
        <v>47</v>
      </c>
      <c r="O726">
        <v>0</v>
      </c>
      <c r="P726" t="s">
        <v>47</v>
      </c>
      <c r="Q726">
        <v>0</v>
      </c>
      <c r="R726" t="s">
        <v>47</v>
      </c>
      <c r="S726">
        <v>0</v>
      </c>
      <c r="T726" t="s">
        <v>47</v>
      </c>
    </row>
    <row r="727" spans="1:20" x14ac:dyDescent="0.35">
      <c r="A727" s="1" t="s">
        <v>1966</v>
      </c>
      <c r="B727" t="s">
        <v>14</v>
      </c>
      <c r="C727" t="s">
        <v>47</v>
      </c>
      <c r="D727" t="s">
        <v>1312</v>
      </c>
      <c r="E727">
        <v>1</v>
      </c>
      <c r="F727" t="s">
        <v>45</v>
      </c>
      <c r="G727">
        <v>0</v>
      </c>
      <c r="H727" t="s">
        <v>47</v>
      </c>
      <c r="I727">
        <v>0</v>
      </c>
      <c r="J727" t="s">
        <v>47</v>
      </c>
      <c r="K727">
        <v>0</v>
      </c>
      <c r="L727" t="s">
        <v>47</v>
      </c>
      <c r="M727">
        <v>0</v>
      </c>
      <c r="N727" t="s">
        <v>47</v>
      </c>
      <c r="O727">
        <v>0</v>
      </c>
      <c r="P727" t="s">
        <v>47</v>
      </c>
      <c r="Q727">
        <v>1</v>
      </c>
      <c r="R727" t="s">
        <v>45</v>
      </c>
      <c r="S727">
        <v>0</v>
      </c>
      <c r="T727" t="s">
        <v>47</v>
      </c>
    </row>
    <row r="728" spans="1:20" x14ac:dyDescent="0.35">
      <c r="A728" s="1" t="s">
        <v>1967</v>
      </c>
      <c r="B728" t="s">
        <v>14</v>
      </c>
      <c r="C728" t="s">
        <v>47</v>
      </c>
      <c r="D728" t="s">
        <v>1313</v>
      </c>
      <c r="E728">
        <v>1</v>
      </c>
      <c r="F728" t="s">
        <v>45</v>
      </c>
      <c r="G728">
        <v>1</v>
      </c>
      <c r="H728" t="s">
        <v>45</v>
      </c>
      <c r="I728">
        <v>0</v>
      </c>
      <c r="J728" t="s">
        <v>47</v>
      </c>
      <c r="K728">
        <v>0</v>
      </c>
      <c r="L728" t="s">
        <v>47</v>
      </c>
      <c r="M728">
        <v>0</v>
      </c>
      <c r="N728" t="s">
        <v>47</v>
      </c>
      <c r="O728">
        <v>0</v>
      </c>
      <c r="P728" t="s">
        <v>47</v>
      </c>
      <c r="Q728">
        <v>0</v>
      </c>
      <c r="R728" t="s">
        <v>47</v>
      </c>
      <c r="S728">
        <v>0</v>
      </c>
      <c r="T728" t="s">
        <v>47</v>
      </c>
    </row>
    <row r="729" spans="1:20" x14ac:dyDescent="0.35">
      <c r="A729" s="1" t="s">
        <v>1968</v>
      </c>
      <c r="B729" t="s">
        <v>14</v>
      </c>
      <c r="C729" t="s">
        <v>47</v>
      </c>
      <c r="D729" t="s">
        <v>1314</v>
      </c>
      <c r="E729">
        <v>1</v>
      </c>
      <c r="F729" t="s">
        <v>45</v>
      </c>
      <c r="G729">
        <v>0</v>
      </c>
      <c r="H729" t="s">
        <v>47</v>
      </c>
      <c r="I729">
        <v>0</v>
      </c>
      <c r="J729" t="s">
        <v>47</v>
      </c>
      <c r="K729">
        <v>0</v>
      </c>
      <c r="L729" t="s">
        <v>47</v>
      </c>
      <c r="M729">
        <v>0</v>
      </c>
      <c r="N729" t="s">
        <v>47</v>
      </c>
      <c r="O729">
        <v>0</v>
      </c>
      <c r="P729" t="s">
        <v>47</v>
      </c>
      <c r="Q729">
        <v>1</v>
      </c>
      <c r="R729" t="s">
        <v>45</v>
      </c>
      <c r="S729">
        <v>0</v>
      </c>
      <c r="T729" t="s">
        <v>47</v>
      </c>
    </row>
    <row r="730" spans="1:20" x14ac:dyDescent="0.35">
      <c r="A730" s="1" t="s">
        <v>1969</v>
      </c>
      <c r="B730" t="s">
        <v>14</v>
      </c>
      <c r="C730" t="s">
        <v>47</v>
      </c>
      <c r="D730" t="s">
        <v>1315</v>
      </c>
      <c r="E730">
        <v>1</v>
      </c>
      <c r="F730" t="s">
        <v>45</v>
      </c>
      <c r="G730">
        <v>0</v>
      </c>
      <c r="H730" t="s">
        <v>47</v>
      </c>
      <c r="I730">
        <v>0</v>
      </c>
      <c r="J730" t="s">
        <v>47</v>
      </c>
      <c r="K730">
        <v>0</v>
      </c>
      <c r="L730" t="s">
        <v>47</v>
      </c>
      <c r="M730">
        <v>0</v>
      </c>
      <c r="N730" t="s">
        <v>47</v>
      </c>
      <c r="O730">
        <v>0</v>
      </c>
      <c r="P730" t="s">
        <v>47</v>
      </c>
      <c r="Q730">
        <v>0</v>
      </c>
      <c r="R730" t="s">
        <v>47</v>
      </c>
      <c r="S730">
        <v>0</v>
      </c>
      <c r="T730" t="s">
        <v>47</v>
      </c>
    </row>
    <row r="731" spans="1:20" x14ac:dyDescent="0.35">
      <c r="A731" s="1" t="s">
        <v>1970</v>
      </c>
      <c r="B731" t="s">
        <v>14</v>
      </c>
      <c r="C731" t="s">
        <v>47</v>
      </c>
      <c r="D731" t="s">
        <v>1321</v>
      </c>
      <c r="E731">
        <v>0</v>
      </c>
      <c r="F731" t="s">
        <v>47</v>
      </c>
      <c r="G731">
        <v>0</v>
      </c>
      <c r="H731" t="s">
        <v>47</v>
      </c>
      <c r="I731">
        <v>0</v>
      </c>
      <c r="J731" t="s">
        <v>47</v>
      </c>
      <c r="K731">
        <v>0</v>
      </c>
      <c r="L731" t="s">
        <v>47</v>
      </c>
      <c r="M731">
        <v>0</v>
      </c>
      <c r="N731" t="s">
        <v>47</v>
      </c>
      <c r="O731">
        <v>0</v>
      </c>
      <c r="P731" t="s">
        <v>47</v>
      </c>
      <c r="Q731">
        <v>1</v>
      </c>
      <c r="R731" t="s">
        <v>45</v>
      </c>
      <c r="S731">
        <v>0</v>
      </c>
      <c r="T731" t="s">
        <v>47</v>
      </c>
    </row>
    <row r="732" spans="1:20" x14ac:dyDescent="0.35">
      <c r="A732" s="1" t="s">
        <v>1971</v>
      </c>
      <c r="B732" t="s">
        <v>14</v>
      </c>
      <c r="C732" t="s">
        <v>47</v>
      </c>
      <c r="D732" t="s">
        <v>1322</v>
      </c>
      <c r="E732">
        <v>1</v>
      </c>
      <c r="F732" t="s">
        <v>45</v>
      </c>
      <c r="G732">
        <v>1</v>
      </c>
      <c r="H732" t="s">
        <v>45</v>
      </c>
      <c r="I732">
        <v>0</v>
      </c>
      <c r="J732" t="s">
        <v>47</v>
      </c>
      <c r="K732">
        <v>0</v>
      </c>
      <c r="L732" t="s">
        <v>47</v>
      </c>
      <c r="M732">
        <v>0</v>
      </c>
      <c r="N732" t="s">
        <v>47</v>
      </c>
      <c r="O732">
        <v>0</v>
      </c>
      <c r="P732" t="s">
        <v>47</v>
      </c>
      <c r="Q732">
        <v>0</v>
      </c>
      <c r="R732" t="s">
        <v>47</v>
      </c>
      <c r="S732">
        <v>0</v>
      </c>
      <c r="T732" t="s">
        <v>47</v>
      </c>
    </row>
    <row r="733" spans="1:20" x14ac:dyDescent="0.35">
      <c r="A733" s="1" t="s">
        <v>1972</v>
      </c>
      <c r="B733" t="s">
        <v>14</v>
      </c>
      <c r="C733" t="s">
        <v>47</v>
      </c>
      <c r="D733" t="s">
        <v>1323</v>
      </c>
      <c r="E733">
        <v>1</v>
      </c>
      <c r="F733" t="s">
        <v>45</v>
      </c>
      <c r="G733">
        <v>0</v>
      </c>
      <c r="H733" t="s">
        <v>47</v>
      </c>
      <c r="I733">
        <v>0</v>
      </c>
      <c r="J733" t="s">
        <v>47</v>
      </c>
      <c r="K733">
        <v>0</v>
      </c>
      <c r="L733" t="s">
        <v>47</v>
      </c>
      <c r="M733">
        <v>0</v>
      </c>
      <c r="N733" t="s">
        <v>47</v>
      </c>
      <c r="O733">
        <v>0</v>
      </c>
      <c r="P733" t="s">
        <v>47</v>
      </c>
      <c r="Q733">
        <v>0</v>
      </c>
      <c r="R733" t="s">
        <v>47</v>
      </c>
      <c r="S733">
        <v>0</v>
      </c>
      <c r="T733" t="s">
        <v>47</v>
      </c>
    </row>
    <row r="734" spans="1:20" x14ac:dyDescent="0.35">
      <c r="A734" s="1" t="s">
        <v>1973</v>
      </c>
      <c r="B734" t="s">
        <v>16</v>
      </c>
      <c r="C734" t="s">
        <v>47</v>
      </c>
      <c r="D734" t="s">
        <v>1324</v>
      </c>
      <c r="E734">
        <v>1</v>
      </c>
      <c r="F734" t="s">
        <v>45</v>
      </c>
      <c r="G734">
        <v>1</v>
      </c>
      <c r="H734" t="s">
        <v>45</v>
      </c>
      <c r="I734">
        <v>0</v>
      </c>
      <c r="J734" t="s">
        <v>47</v>
      </c>
      <c r="K734">
        <v>0</v>
      </c>
      <c r="L734" t="s">
        <v>47</v>
      </c>
      <c r="M734">
        <v>1</v>
      </c>
      <c r="N734" t="s">
        <v>45</v>
      </c>
      <c r="O734">
        <v>0</v>
      </c>
      <c r="P734" t="s">
        <v>47</v>
      </c>
      <c r="Q734">
        <v>1</v>
      </c>
      <c r="R734" t="s">
        <v>45</v>
      </c>
      <c r="S734">
        <v>0</v>
      </c>
      <c r="T734" t="s">
        <v>47</v>
      </c>
    </row>
    <row r="735" spans="1:20" x14ac:dyDescent="0.35">
      <c r="A735" s="1" t="s">
        <v>1974</v>
      </c>
      <c r="B735" t="s">
        <v>14</v>
      </c>
      <c r="C735" t="s">
        <v>47</v>
      </c>
      <c r="D735" t="s">
        <v>1325</v>
      </c>
      <c r="E735">
        <v>0</v>
      </c>
      <c r="F735" t="s">
        <v>47</v>
      </c>
      <c r="G735">
        <v>0</v>
      </c>
      <c r="H735" t="s">
        <v>47</v>
      </c>
      <c r="I735">
        <v>0</v>
      </c>
      <c r="J735" t="s">
        <v>47</v>
      </c>
      <c r="K735">
        <v>0</v>
      </c>
      <c r="L735" t="s">
        <v>47</v>
      </c>
      <c r="M735">
        <v>0</v>
      </c>
      <c r="N735" t="s">
        <v>47</v>
      </c>
      <c r="O735">
        <v>0</v>
      </c>
      <c r="P735" t="s">
        <v>47</v>
      </c>
      <c r="Q735">
        <v>1</v>
      </c>
      <c r="R735" t="s">
        <v>45</v>
      </c>
      <c r="S735">
        <v>0</v>
      </c>
      <c r="T735" t="s">
        <v>47</v>
      </c>
    </row>
    <row r="736" spans="1:20" x14ac:dyDescent="0.35">
      <c r="A736" s="1" t="s">
        <v>1975</v>
      </c>
      <c r="B736" t="s">
        <v>16</v>
      </c>
      <c r="C736" t="s">
        <v>47</v>
      </c>
      <c r="D736" t="s">
        <v>1326</v>
      </c>
      <c r="E736">
        <v>1</v>
      </c>
      <c r="F736" t="s">
        <v>45</v>
      </c>
      <c r="G736">
        <v>1</v>
      </c>
      <c r="H736" t="s">
        <v>45</v>
      </c>
      <c r="I736">
        <v>0</v>
      </c>
      <c r="J736" t="s">
        <v>47</v>
      </c>
      <c r="K736">
        <v>0</v>
      </c>
      <c r="L736" t="s">
        <v>47</v>
      </c>
      <c r="M736">
        <v>0</v>
      </c>
      <c r="N736" t="s">
        <v>47</v>
      </c>
      <c r="O736">
        <v>0</v>
      </c>
      <c r="P736" t="s">
        <v>47</v>
      </c>
      <c r="Q736">
        <v>0</v>
      </c>
      <c r="R736" t="s">
        <v>47</v>
      </c>
      <c r="S736">
        <v>0</v>
      </c>
      <c r="T736" t="s">
        <v>47</v>
      </c>
    </row>
    <row r="737" spans="1:20" x14ac:dyDescent="0.35">
      <c r="A737" s="1" t="s">
        <v>1976</v>
      </c>
      <c r="B737" t="s">
        <v>16</v>
      </c>
      <c r="C737" t="s">
        <v>47</v>
      </c>
      <c r="D737" t="s">
        <v>1327</v>
      </c>
      <c r="E737">
        <v>1</v>
      </c>
      <c r="F737" t="s">
        <v>45</v>
      </c>
      <c r="G737">
        <v>1</v>
      </c>
      <c r="H737" t="s">
        <v>45</v>
      </c>
      <c r="I737">
        <v>0</v>
      </c>
      <c r="J737" t="s">
        <v>47</v>
      </c>
      <c r="K737">
        <v>0</v>
      </c>
      <c r="L737" t="s">
        <v>47</v>
      </c>
      <c r="M737">
        <v>0</v>
      </c>
      <c r="N737" t="s">
        <v>47</v>
      </c>
      <c r="O737">
        <v>0</v>
      </c>
      <c r="P737" t="s">
        <v>47</v>
      </c>
      <c r="Q737">
        <v>0</v>
      </c>
      <c r="R737" t="s">
        <v>47</v>
      </c>
      <c r="S737">
        <v>0</v>
      </c>
      <c r="T737" t="s">
        <v>47</v>
      </c>
    </row>
    <row r="738" spans="1:20" x14ac:dyDescent="0.35">
      <c r="A738" s="1" t="s">
        <v>1977</v>
      </c>
      <c r="B738" t="s">
        <v>14</v>
      </c>
      <c r="C738" t="s">
        <v>47</v>
      </c>
      <c r="D738" t="s">
        <v>1316</v>
      </c>
      <c r="E738">
        <v>0</v>
      </c>
      <c r="F738" t="s">
        <v>47</v>
      </c>
      <c r="G738">
        <v>1</v>
      </c>
      <c r="H738" t="s">
        <v>45</v>
      </c>
      <c r="I738">
        <v>0</v>
      </c>
      <c r="J738" t="s">
        <v>47</v>
      </c>
      <c r="K738">
        <v>0</v>
      </c>
      <c r="L738" t="s">
        <v>47</v>
      </c>
      <c r="M738">
        <v>0</v>
      </c>
      <c r="N738" t="s">
        <v>47</v>
      </c>
      <c r="O738">
        <v>0</v>
      </c>
      <c r="P738" t="s">
        <v>47</v>
      </c>
      <c r="Q738">
        <v>0</v>
      </c>
      <c r="R738" t="s">
        <v>47</v>
      </c>
      <c r="S738">
        <v>0</v>
      </c>
      <c r="T738" t="s">
        <v>47</v>
      </c>
    </row>
    <row r="739" spans="1:20" x14ac:dyDescent="0.35">
      <c r="A739" s="1" t="s">
        <v>1978</v>
      </c>
      <c r="B739" t="s">
        <v>14</v>
      </c>
      <c r="C739" t="s">
        <v>47</v>
      </c>
      <c r="D739" t="s">
        <v>1317</v>
      </c>
      <c r="E739">
        <v>1</v>
      </c>
      <c r="F739" t="s">
        <v>45</v>
      </c>
      <c r="G739">
        <v>0</v>
      </c>
      <c r="H739" t="s">
        <v>47</v>
      </c>
      <c r="I739">
        <v>0</v>
      </c>
      <c r="J739" t="s">
        <v>47</v>
      </c>
      <c r="K739">
        <v>0</v>
      </c>
      <c r="L739" t="s">
        <v>47</v>
      </c>
      <c r="M739">
        <v>0</v>
      </c>
      <c r="N739" t="s">
        <v>47</v>
      </c>
      <c r="O739">
        <v>0</v>
      </c>
      <c r="P739" t="s">
        <v>47</v>
      </c>
      <c r="Q739">
        <v>0</v>
      </c>
      <c r="R739" t="s">
        <v>47</v>
      </c>
      <c r="S739">
        <v>0</v>
      </c>
      <c r="T739" t="s">
        <v>47</v>
      </c>
    </row>
    <row r="740" spans="1:20" x14ac:dyDescent="0.35">
      <c r="A740" s="1" t="s">
        <v>1979</v>
      </c>
      <c r="B740" t="s">
        <v>14</v>
      </c>
      <c r="C740" t="s">
        <v>47</v>
      </c>
      <c r="D740" t="s">
        <v>1318</v>
      </c>
      <c r="E740">
        <v>1</v>
      </c>
      <c r="F740" t="s">
        <v>45</v>
      </c>
      <c r="G740">
        <v>0</v>
      </c>
      <c r="H740" t="s">
        <v>47</v>
      </c>
      <c r="I740">
        <v>0</v>
      </c>
      <c r="J740" t="s">
        <v>47</v>
      </c>
      <c r="K740">
        <v>0</v>
      </c>
      <c r="L740" t="s">
        <v>47</v>
      </c>
      <c r="M740">
        <v>0</v>
      </c>
      <c r="N740" t="s">
        <v>47</v>
      </c>
      <c r="O740">
        <v>0</v>
      </c>
      <c r="P740" t="s">
        <v>47</v>
      </c>
      <c r="Q740">
        <v>1</v>
      </c>
      <c r="R740" t="s">
        <v>45</v>
      </c>
      <c r="S740">
        <v>0</v>
      </c>
      <c r="T740" t="s">
        <v>47</v>
      </c>
    </row>
    <row r="741" spans="1:20" x14ac:dyDescent="0.35">
      <c r="A741" s="1" t="s">
        <v>1980</v>
      </c>
      <c r="B741" t="s">
        <v>14</v>
      </c>
      <c r="C741" t="s">
        <v>47</v>
      </c>
      <c r="D741" t="s">
        <v>1319</v>
      </c>
      <c r="E741">
        <v>1</v>
      </c>
      <c r="F741" t="s">
        <v>45</v>
      </c>
      <c r="G741">
        <v>0</v>
      </c>
      <c r="H741" t="s">
        <v>47</v>
      </c>
      <c r="I741">
        <v>0</v>
      </c>
      <c r="J741" t="s">
        <v>47</v>
      </c>
      <c r="K741">
        <v>0</v>
      </c>
      <c r="L741" t="s">
        <v>47</v>
      </c>
      <c r="M741">
        <v>0</v>
      </c>
      <c r="N741" t="s">
        <v>47</v>
      </c>
      <c r="O741">
        <v>0</v>
      </c>
      <c r="P741" t="s">
        <v>47</v>
      </c>
      <c r="Q741">
        <v>1</v>
      </c>
      <c r="R741" t="s">
        <v>45</v>
      </c>
      <c r="S741">
        <v>0</v>
      </c>
      <c r="T741" t="s">
        <v>47</v>
      </c>
    </row>
    <row r="742" spans="1:20" x14ac:dyDescent="0.35">
      <c r="A742" s="1" t="s">
        <v>1981</v>
      </c>
      <c r="B742" t="s">
        <v>14</v>
      </c>
      <c r="C742" t="s">
        <v>47</v>
      </c>
      <c r="D742" t="s">
        <v>1320</v>
      </c>
      <c r="E742">
        <v>1</v>
      </c>
      <c r="F742" t="s">
        <v>45</v>
      </c>
      <c r="G742">
        <v>0</v>
      </c>
      <c r="H742" t="s">
        <v>47</v>
      </c>
      <c r="I742">
        <v>0</v>
      </c>
      <c r="J742" t="s">
        <v>47</v>
      </c>
      <c r="K742">
        <v>0</v>
      </c>
      <c r="L742" t="s">
        <v>47</v>
      </c>
      <c r="M742">
        <v>0</v>
      </c>
      <c r="N742" t="s">
        <v>47</v>
      </c>
      <c r="O742">
        <v>0</v>
      </c>
      <c r="P742" t="s">
        <v>47</v>
      </c>
      <c r="Q742">
        <v>0</v>
      </c>
      <c r="R742" t="s">
        <v>47</v>
      </c>
      <c r="S742">
        <v>0</v>
      </c>
      <c r="T742" t="s">
        <v>47</v>
      </c>
    </row>
    <row r="743" spans="1:20" x14ac:dyDescent="0.35">
      <c r="A743" s="1" t="s">
        <v>1982</v>
      </c>
      <c r="B743" t="s">
        <v>16</v>
      </c>
      <c r="C743" t="s">
        <v>47</v>
      </c>
      <c r="D743" t="s">
        <v>1328</v>
      </c>
      <c r="E743">
        <v>1</v>
      </c>
      <c r="F743" t="s">
        <v>45</v>
      </c>
      <c r="G743">
        <v>1</v>
      </c>
      <c r="H743" t="s">
        <v>45</v>
      </c>
      <c r="I743">
        <v>0</v>
      </c>
      <c r="J743" t="s">
        <v>47</v>
      </c>
      <c r="K743">
        <v>0</v>
      </c>
      <c r="L743" t="s">
        <v>47</v>
      </c>
      <c r="M743">
        <v>0</v>
      </c>
      <c r="N743" t="s">
        <v>47</v>
      </c>
      <c r="O743">
        <v>0</v>
      </c>
      <c r="P743" t="s">
        <v>47</v>
      </c>
      <c r="Q743">
        <v>1</v>
      </c>
      <c r="R743" t="s">
        <v>45</v>
      </c>
      <c r="S743">
        <v>0</v>
      </c>
      <c r="T743" t="s">
        <v>47</v>
      </c>
    </row>
    <row r="744" spans="1:20" x14ac:dyDescent="0.35">
      <c r="A744" s="1" t="s">
        <v>1983</v>
      </c>
      <c r="B744" t="s">
        <v>16</v>
      </c>
      <c r="C744" t="s">
        <v>47</v>
      </c>
      <c r="D744" t="s">
        <v>1332</v>
      </c>
      <c r="E744">
        <v>1</v>
      </c>
      <c r="F744" t="s">
        <v>45</v>
      </c>
      <c r="G744">
        <v>0</v>
      </c>
      <c r="H744" t="s">
        <v>47</v>
      </c>
      <c r="I744">
        <v>0</v>
      </c>
      <c r="J744" t="s">
        <v>47</v>
      </c>
      <c r="K744">
        <v>0</v>
      </c>
      <c r="L744" t="s">
        <v>47</v>
      </c>
      <c r="M744">
        <v>0</v>
      </c>
      <c r="N744" t="s">
        <v>47</v>
      </c>
      <c r="O744">
        <v>0</v>
      </c>
      <c r="P744" t="s">
        <v>47</v>
      </c>
      <c r="Q744">
        <v>1</v>
      </c>
      <c r="R744" t="s">
        <v>45</v>
      </c>
      <c r="S744">
        <v>0</v>
      </c>
      <c r="T744" t="s">
        <v>47</v>
      </c>
    </row>
    <row r="745" spans="1:20" x14ac:dyDescent="0.35">
      <c r="A745" s="1" t="s">
        <v>1984</v>
      </c>
      <c r="B745" t="s">
        <v>16</v>
      </c>
      <c r="C745" t="s">
        <v>47</v>
      </c>
      <c r="D745" t="s">
        <v>1333</v>
      </c>
      <c r="E745">
        <v>1</v>
      </c>
      <c r="F745" t="s">
        <v>45</v>
      </c>
      <c r="G745">
        <v>1</v>
      </c>
      <c r="H745" t="s">
        <v>45</v>
      </c>
      <c r="I745">
        <v>0</v>
      </c>
      <c r="J745" t="s">
        <v>47</v>
      </c>
      <c r="K745">
        <v>0</v>
      </c>
      <c r="L745" t="s">
        <v>47</v>
      </c>
      <c r="M745">
        <v>0</v>
      </c>
      <c r="N745" t="s">
        <v>47</v>
      </c>
      <c r="O745">
        <v>0</v>
      </c>
      <c r="P745" t="s">
        <v>47</v>
      </c>
      <c r="Q745">
        <v>0</v>
      </c>
      <c r="R745" t="s">
        <v>47</v>
      </c>
      <c r="S745">
        <v>0</v>
      </c>
      <c r="T745" t="s">
        <v>47</v>
      </c>
    </row>
    <row r="746" spans="1:20" x14ac:dyDescent="0.35">
      <c r="A746" s="1" t="s">
        <v>1985</v>
      </c>
      <c r="B746" t="s">
        <v>14</v>
      </c>
      <c r="C746" t="s">
        <v>47</v>
      </c>
      <c r="D746" t="s">
        <v>1334</v>
      </c>
      <c r="E746">
        <v>0</v>
      </c>
      <c r="F746" t="s">
        <v>47</v>
      </c>
      <c r="G746">
        <v>1</v>
      </c>
      <c r="H746" t="s">
        <v>45</v>
      </c>
      <c r="I746">
        <v>0</v>
      </c>
      <c r="J746" t="s">
        <v>47</v>
      </c>
      <c r="K746">
        <v>0</v>
      </c>
      <c r="L746" t="s">
        <v>47</v>
      </c>
      <c r="M746">
        <v>0</v>
      </c>
      <c r="N746" t="s">
        <v>47</v>
      </c>
      <c r="O746">
        <v>0</v>
      </c>
      <c r="P746" t="s">
        <v>47</v>
      </c>
      <c r="Q746">
        <v>1</v>
      </c>
      <c r="R746" t="s">
        <v>45</v>
      </c>
      <c r="S746">
        <v>0</v>
      </c>
      <c r="T746" t="s">
        <v>47</v>
      </c>
    </row>
    <row r="747" spans="1:20" x14ac:dyDescent="0.35">
      <c r="A747" s="1" t="s">
        <v>1986</v>
      </c>
      <c r="B747" t="s">
        <v>14</v>
      </c>
      <c r="C747" t="s">
        <v>47</v>
      </c>
      <c r="D747" t="s">
        <v>570</v>
      </c>
      <c r="E747">
        <v>0</v>
      </c>
      <c r="F747" t="s">
        <v>47</v>
      </c>
      <c r="G747">
        <v>1</v>
      </c>
      <c r="H747" t="s">
        <v>45</v>
      </c>
      <c r="I747">
        <v>0</v>
      </c>
      <c r="J747" t="s">
        <v>47</v>
      </c>
      <c r="K747">
        <v>0</v>
      </c>
      <c r="L747" t="s">
        <v>47</v>
      </c>
      <c r="M747">
        <v>0</v>
      </c>
      <c r="N747" t="s">
        <v>47</v>
      </c>
      <c r="O747">
        <v>0</v>
      </c>
      <c r="P747" t="s">
        <v>47</v>
      </c>
      <c r="Q747">
        <v>0</v>
      </c>
      <c r="R747" t="s">
        <v>47</v>
      </c>
      <c r="S747">
        <v>0</v>
      </c>
      <c r="T747" t="s">
        <v>47</v>
      </c>
    </row>
    <row r="748" spans="1:20" x14ac:dyDescent="0.35">
      <c r="A748" s="1" t="s">
        <v>1987</v>
      </c>
      <c r="B748" t="s">
        <v>16</v>
      </c>
      <c r="C748" t="s">
        <v>47</v>
      </c>
      <c r="D748" t="s">
        <v>1335</v>
      </c>
      <c r="E748">
        <v>0</v>
      </c>
      <c r="F748" t="s">
        <v>47</v>
      </c>
      <c r="G748">
        <v>1</v>
      </c>
      <c r="H748" t="s">
        <v>45</v>
      </c>
      <c r="I748">
        <v>0</v>
      </c>
      <c r="J748" t="s">
        <v>47</v>
      </c>
      <c r="K748">
        <v>0</v>
      </c>
      <c r="L748" t="s">
        <v>47</v>
      </c>
      <c r="M748">
        <v>0</v>
      </c>
      <c r="N748" t="s">
        <v>47</v>
      </c>
      <c r="O748">
        <v>0</v>
      </c>
      <c r="P748" t="s">
        <v>47</v>
      </c>
      <c r="Q748">
        <v>0</v>
      </c>
      <c r="R748" t="s">
        <v>47</v>
      </c>
      <c r="S748">
        <v>0</v>
      </c>
      <c r="T748" t="s">
        <v>47</v>
      </c>
    </row>
    <row r="749" spans="1:20" x14ac:dyDescent="0.35">
      <c r="A749" s="1" t="s">
        <v>1988</v>
      </c>
      <c r="B749" t="s">
        <v>14</v>
      </c>
      <c r="C749" t="s">
        <v>47</v>
      </c>
      <c r="D749" t="s">
        <v>1336</v>
      </c>
      <c r="E749">
        <v>0</v>
      </c>
      <c r="F749" t="s">
        <v>47</v>
      </c>
      <c r="G749">
        <v>0</v>
      </c>
      <c r="H749" t="s">
        <v>47</v>
      </c>
      <c r="I749">
        <v>0</v>
      </c>
      <c r="J749" t="s">
        <v>47</v>
      </c>
      <c r="K749">
        <v>0</v>
      </c>
      <c r="L749" t="s">
        <v>47</v>
      </c>
      <c r="M749">
        <v>0</v>
      </c>
      <c r="N749" t="s">
        <v>47</v>
      </c>
      <c r="O749">
        <v>0</v>
      </c>
      <c r="P749" t="s">
        <v>47</v>
      </c>
      <c r="Q749">
        <v>1</v>
      </c>
      <c r="R749" t="s">
        <v>45</v>
      </c>
      <c r="S749">
        <v>0</v>
      </c>
      <c r="T749" t="s">
        <v>47</v>
      </c>
    </row>
    <row r="750" spans="1:20" x14ac:dyDescent="0.35">
      <c r="A750" s="1" t="s">
        <v>1989</v>
      </c>
      <c r="B750" t="s">
        <v>14</v>
      </c>
      <c r="C750" t="s">
        <v>47</v>
      </c>
      <c r="D750" t="s">
        <v>1337</v>
      </c>
      <c r="E750">
        <v>0</v>
      </c>
      <c r="F750" t="s">
        <v>47</v>
      </c>
      <c r="G750">
        <v>0</v>
      </c>
      <c r="H750" t="s">
        <v>47</v>
      </c>
      <c r="I750">
        <v>0</v>
      </c>
      <c r="J750" t="s">
        <v>47</v>
      </c>
      <c r="K750">
        <v>0</v>
      </c>
      <c r="L750" t="s">
        <v>47</v>
      </c>
      <c r="M750">
        <v>0</v>
      </c>
      <c r="N750" t="s">
        <v>47</v>
      </c>
      <c r="O750">
        <v>1</v>
      </c>
      <c r="P750" t="s">
        <v>45</v>
      </c>
      <c r="Q750">
        <v>0</v>
      </c>
      <c r="R750" t="s">
        <v>47</v>
      </c>
      <c r="S750">
        <v>0</v>
      </c>
      <c r="T750" t="s">
        <v>47</v>
      </c>
    </row>
    <row r="751" spans="1:20" x14ac:dyDescent="0.35">
      <c r="A751" s="1" t="s">
        <v>1990</v>
      </c>
      <c r="B751" t="s">
        <v>14</v>
      </c>
      <c r="C751" t="s">
        <v>47</v>
      </c>
      <c r="D751" t="s">
        <v>1338</v>
      </c>
      <c r="E751">
        <v>0</v>
      </c>
      <c r="F751" t="s">
        <v>47</v>
      </c>
      <c r="G751">
        <v>1</v>
      </c>
      <c r="H751" t="s">
        <v>45</v>
      </c>
      <c r="I751">
        <v>0</v>
      </c>
      <c r="J751" t="s">
        <v>47</v>
      </c>
      <c r="K751">
        <v>0</v>
      </c>
      <c r="L751" t="s">
        <v>47</v>
      </c>
      <c r="M751">
        <v>0</v>
      </c>
      <c r="N751" t="s">
        <v>47</v>
      </c>
      <c r="O751">
        <v>0</v>
      </c>
      <c r="P751" t="s">
        <v>47</v>
      </c>
      <c r="Q751">
        <v>0</v>
      </c>
      <c r="R751" t="s">
        <v>47</v>
      </c>
      <c r="S751">
        <v>0</v>
      </c>
      <c r="T751" t="s">
        <v>47</v>
      </c>
    </row>
    <row r="752" spans="1:20" x14ac:dyDescent="0.35">
      <c r="A752" s="1" t="s">
        <v>1991</v>
      </c>
      <c r="B752" t="s">
        <v>16</v>
      </c>
      <c r="C752" t="s">
        <v>47</v>
      </c>
      <c r="D752" t="s">
        <v>1339</v>
      </c>
      <c r="E752">
        <v>0</v>
      </c>
      <c r="F752" t="s">
        <v>47</v>
      </c>
      <c r="G752">
        <v>1</v>
      </c>
      <c r="H752" t="s">
        <v>45</v>
      </c>
      <c r="I752">
        <v>0</v>
      </c>
      <c r="J752" t="s">
        <v>47</v>
      </c>
      <c r="K752">
        <v>0</v>
      </c>
      <c r="L752" t="s">
        <v>47</v>
      </c>
      <c r="M752">
        <v>0</v>
      </c>
      <c r="N752" t="s">
        <v>47</v>
      </c>
      <c r="O752">
        <v>0</v>
      </c>
      <c r="P752" t="s">
        <v>47</v>
      </c>
      <c r="Q752">
        <v>1</v>
      </c>
      <c r="R752" t="s">
        <v>45</v>
      </c>
      <c r="S752">
        <v>0</v>
      </c>
      <c r="T752" t="s">
        <v>47</v>
      </c>
    </row>
    <row r="753" spans="1:20" x14ac:dyDescent="0.35">
      <c r="A753" s="1" t="s">
        <v>1992</v>
      </c>
      <c r="B753" t="s">
        <v>14</v>
      </c>
      <c r="C753" t="s">
        <v>47</v>
      </c>
      <c r="D753" t="s">
        <v>1340</v>
      </c>
      <c r="E753">
        <v>1</v>
      </c>
      <c r="F753" t="s">
        <v>45</v>
      </c>
      <c r="G753">
        <v>1</v>
      </c>
      <c r="H753" t="s">
        <v>45</v>
      </c>
      <c r="I753">
        <v>0</v>
      </c>
      <c r="J753" t="s">
        <v>47</v>
      </c>
      <c r="K753">
        <v>0</v>
      </c>
      <c r="L753" t="s">
        <v>47</v>
      </c>
      <c r="M753">
        <v>0</v>
      </c>
      <c r="N753" t="s">
        <v>47</v>
      </c>
      <c r="O753">
        <v>1</v>
      </c>
      <c r="P753" t="s">
        <v>45</v>
      </c>
      <c r="Q753">
        <v>0</v>
      </c>
      <c r="R753" t="s">
        <v>47</v>
      </c>
      <c r="S753">
        <v>0</v>
      </c>
      <c r="T753" t="s">
        <v>47</v>
      </c>
    </row>
    <row r="754" spans="1:20" x14ac:dyDescent="0.35">
      <c r="A754" s="1" t="s">
        <v>1993</v>
      </c>
      <c r="B754" t="s">
        <v>14</v>
      </c>
      <c r="C754" t="s">
        <v>47</v>
      </c>
      <c r="D754" t="s">
        <v>1341</v>
      </c>
      <c r="E754">
        <v>1</v>
      </c>
      <c r="F754" t="s">
        <v>45</v>
      </c>
      <c r="G754">
        <v>1</v>
      </c>
      <c r="H754" t="s">
        <v>45</v>
      </c>
      <c r="I754">
        <v>0</v>
      </c>
      <c r="J754" t="s">
        <v>47</v>
      </c>
      <c r="K754">
        <v>0</v>
      </c>
      <c r="L754" t="s">
        <v>47</v>
      </c>
      <c r="M754">
        <v>1</v>
      </c>
      <c r="N754" t="s">
        <v>45</v>
      </c>
      <c r="O754">
        <v>0</v>
      </c>
      <c r="P754" t="s">
        <v>47</v>
      </c>
      <c r="Q754">
        <v>0</v>
      </c>
      <c r="R754" t="s">
        <v>47</v>
      </c>
      <c r="S754">
        <v>0</v>
      </c>
      <c r="T754" t="s">
        <v>47</v>
      </c>
    </row>
    <row r="755" spans="1:20" x14ac:dyDescent="0.35">
      <c r="A755" s="1" t="s">
        <v>1994</v>
      </c>
      <c r="B755" t="s">
        <v>14</v>
      </c>
      <c r="C755" t="s">
        <v>47</v>
      </c>
      <c r="D755" t="s">
        <v>1329</v>
      </c>
      <c r="E755">
        <v>1</v>
      </c>
      <c r="F755" t="s">
        <v>45</v>
      </c>
      <c r="G755">
        <v>0</v>
      </c>
      <c r="H755" t="s">
        <v>47</v>
      </c>
      <c r="I755">
        <v>0</v>
      </c>
      <c r="J755" t="s">
        <v>47</v>
      </c>
      <c r="K755">
        <v>0</v>
      </c>
      <c r="L755" t="s">
        <v>47</v>
      </c>
      <c r="M755">
        <v>0</v>
      </c>
      <c r="N755" t="s">
        <v>47</v>
      </c>
      <c r="O755">
        <v>0</v>
      </c>
      <c r="P755" t="s">
        <v>47</v>
      </c>
      <c r="Q755">
        <v>1</v>
      </c>
      <c r="R755" t="s">
        <v>45</v>
      </c>
      <c r="S755">
        <v>0</v>
      </c>
      <c r="T755" t="s">
        <v>47</v>
      </c>
    </row>
    <row r="756" spans="1:20" x14ac:dyDescent="0.35">
      <c r="A756" s="1" t="s">
        <v>1995</v>
      </c>
      <c r="B756" t="s">
        <v>14</v>
      </c>
      <c r="C756" t="s">
        <v>47</v>
      </c>
      <c r="D756" t="s">
        <v>1344</v>
      </c>
      <c r="E756">
        <v>0</v>
      </c>
      <c r="F756" t="s">
        <v>47</v>
      </c>
      <c r="G756">
        <v>0</v>
      </c>
      <c r="H756" t="s">
        <v>47</v>
      </c>
      <c r="I756">
        <v>0</v>
      </c>
      <c r="J756" t="s">
        <v>47</v>
      </c>
      <c r="K756">
        <v>0</v>
      </c>
      <c r="L756" t="s">
        <v>47</v>
      </c>
      <c r="M756">
        <v>0</v>
      </c>
      <c r="N756" t="s">
        <v>47</v>
      </c>
      <c r="O756">
        <v>0</v>
      </c>
      <c r="P756" t="s">
        <v>47</v>
      </c>
      <c r="Q756">
        <v>1</v>
      </c>
      <c r="R756" t="s">
        <v>45</v>
      </c>
      <c r="S756">
        <v>0</v>
      </c>
      <c r="T756" t="s">
        <v>47</v>
      </c>
    </row>
    <row r="757" spans="1:20" x14ac:dyDescent="0.35">
      <c r="A757" s="1" t="s">
        <v>1996</v>
      </c>
      <c r="B757" t="s">
        <v>14</v>
      </c>
      <c r="C757" t="s">
        <v>47</v>
      </c>
      <c r="D757" t="s">
        <v>1330</v>
      </c>
      <c r="E757">
        <v>0</v>
      </c>
      <c r="F757" t="s">
        <v>47</v>
      </c>
      <c r="G757">
        <v>1</v>
      </c>
      <c r="H757" t="s">
        <v>45</v>
      </c>
      <c r="I757">
        <v>0</v>
      </c>
      <c r="J757" t="s">
        <v>47</v>
      </c>
      <c r="K757">
        <v>0</v>
      </c>
      <c r="L757" t="s">
        <v>47</v>
      </c>
      <c r="M757">
        <v>0</v>
      </c>
      <c r="N757" t="s">
        <v>47</v>
      </c>
      <c r="O757">
        <v>0</v>
      </c>
      <c r="P757" t="s">
        <v>47</v>
      </c>
      <c r="Q757">
        <v>0</v>
      </c>
      <c r="R757" t="s">
        <v>47</v>
      </c>
      <c r="S757">
        <v>0</v>
      </c>
      <c r="T757" t="s">
        <v>47</v>
      </c>
    </row>
    <row r="758" spans="1:20" x14ac:dyDescent="0.35">
      <c r="A758" s="1" t="s">
        <v>1997</v>
      </c>
      <c r="B758" t="s">
        <v>14</v>
      </c>
      <c r="C758" t="s">
        <v>47</v>
      </c>
      <c r="D758" t="s">
        <v>1345</v>
      </c>
      <c r="E758">
        <v>0</v>
      </c>
      <c r="F758" t="s">
        <v>47</v>
      </c>
      <c r="G758">
        <v>0</v>
      </c>
      <c r="H758" t="s">
        <v>47</v>
      </c>
      <c r="I758">
        <v>0</v>
      </c>
      <c r="J758" t="s">
        <v>47</v>
      </c>
      <c r="K758">
        <v>0</v>
      </c>
      <c r="L758" t="s">
        <v>47</v>
      </c>
      <c r="M758">
        <v>0</v>
      </c>
      <c r="N758" t="s">
        <v>47</v>
      </c>
      <c r="O758">
        <v>0</v>
      </c>
      <c r="P758" t="s">
        <v>47</v>
      </c>
      <c r="Q758">
        <v>1</v>
      </c>
      <c r="R758" t="s">
        <v>45</v>
      </c>
      <c r="S758">
        <v>0</v>
      </c>
      <c r="T758" t="s">
        <v>47</v>
      </c>
    </row>
    <row r="759" spans="1:20" x14ac:dyDescent="0.35">
      <c r="A759" s="1" t="s">
        <v>1998</v>
      </c>
      <c r="B759" t="s">
        <v>14</v>
      </c>
      <c r="C759" t="s">
        <v>47</v>
      </c>
      <c r="D759" t="s">
        <v>1346</v>
      </c>
      <c r="E759">
        <v>1</v>
      </c>
      <c r="F759" t="s">
        <v>45</v>
      </c>
      <c r="G759">
        <v>1</v>
      </c>
      <c r="H759" t="s">
        <v>45</v>
      </c>
      <c r="I759">
        <v>0</v>
      </c>
      <c r="J759" t="s">
        <v>47</v>
      </c>
      <c r="K759">
        <v>1</v>
      </c>
      <c r="L759" t="s">
        <v>45</v>
      </c>
      <c r="M759">
        <v>0</v>
      </c>
      <c r="N759" t="s">
        <v>47</v>
      </c>
      <c r="O759">
        <v>0</v>
      </c>
      <c r="P759" t="s">
        <v>47</v>
      </c>
      <c r="Q759">
        <v>0</v>
      </c>
      <c r="R759" t="s">
        <v>47</v>
      </c>
      <c r="S759">
        <v>0</v>
      </c>
      <c r="T759" t="s">
        <v>47</v>
      </c>
    </row>
    <row r="760" spans="1:20" x14ac:dyDescent="0.35">
      <c r="A760" s="1" t="s">
        <v>1999</v>
      </c>
      <c r="B760" t="s">
        <v>16</v>
      </c>
      <c r="C760" t="s">
        <v>47</v>
      </c>
      <c r="D760" t="s">
        <v>1331</v>
      </c>
      <c r="E760">
        <v>0</v>
      </c>
      <c r="F760" t="s">
        <v>47</v>
      </c>
      <c r="G760">
        <v>1</v>
      </c>
      <c r="H760" t="s">
        <v>45</v>
      </c>
      <c r="I760">
        <v>0</v>
      </c>
      <c r="J760" t="s">
        <v>47</v>
      </c>
      <c r="K760">
        <v>0</v>
      </c>
      <c r="L760" t="s">
        <v>47</v>
      </c>
      <c r="M760">
        <v>0</v>
      </c>
      <c r="N760" t="s">
        <v>47</v>
      </c>
      <c r="O760">
        <v>0</v>
      </c>
      <c r="P760" t="s">
        <v>47</v>
      </c>
      <c r="Q760">
        <v>0</v>
      </c>
      <c r="R760" t="s">
        <v>47</v>
      </c>
      <c r="S760">
        <v>0</v>
      </c>
      <c r="T760" t="s">
        <v>47</v>
      </c>
    </row>
    <row r="761" spans="1:20" x14ac:dyDescent="0.35">
      <c r="A761" s="1" t="s">
        <v>2000</v>
      </c>
      <c r="B761" t="s">
        <v>14</v>
      </c>
      <c r="C761" t="s">
        <v>47</v>
      </c>
      <c r="D761" t="s">
        <v>1347</v>
      </c>
      <c r="E761">
        <v>0</v>
      </c>
      <c r="F761" t="s">
        <v>47</v>
      </c>
      <c r="G761">
        <v>0</v>
      </c>
      <c r="H761" t="s">
        <v>47</v>
      </c>
      <c r="I761">
        <v>0</v>
      </c>
      <c r="J761" t="s">
        <v>47</v>
      </c>
      <c r="K761">
        <v>0</v>
      </c>
      <c r="L761" t="s">
        <v>47</v>
      </c>
      <c r="M761">
        <v>0</v>
      </c>
      <c r="N761" t="s">
        <v>47</v>
      </c>
      <c r="O761">
        <v>0</v>
      </c>
      <c r="P761" t="s">
        <v>47</v>
      </c>
      <c r="Q761">
        <v>1</v>
      </c>
      <c r="R761" t="s">
        <v>45</v>
      </c>
      <c r="S761">
        <v>0</v>
      </c>
      <c r="T761" t="s">
        <v>47</v>
      </c>
    </row>
    <row r="762" spans="1:20" x14ac:dyDescent="0.35">
      <c r="A762" s="1" t="s">
        <v>2001</v>
      </c>
      <c r="B762" t="s">
        <v>16</v>
      </c>
      <c r="C762" t="s">
        <v>47</v>
      </c>
      <c r="D762" t="s">
        <v>1348</v>
      </c>
      <c r="E762">
        <v>0</v>
      </c>
      <c r="F762" t="s">
        <v>47</v>
      </c>
      <c r="G762">
        <v>1</v>
      </c>
      <c r="H762" t="s">
        <v>45</v>
      </c>
      <c r="I762">
        <v>0</v>
      </c>
      <c r="J762" t="s">
        <v>47</v>
      </c>
      <c r="K762">
        <v>0</v>
      </c>
      <c r="L762" t="s">
        <v>47</v>
      </c>
      <c r="M762">
        <v>0</v>
      </c>
      <c r="N762" t="s">
        <v>47</v>
      </c>
      <c r="O762">
        <v>0</v>
      </c>
      <c r="P762" t="s">
        <v>47</v>
      </c>
      <c r="Q762">
        <v>0</v>
      </c>
      <c r="R762" t="s">
        <v>47</v>
      </c>
      <c r="S762">
        <v>0</v>
      </c>
      <c r="T762" t="s">
        <v>47</v>
      </c>
    </row>
    <row r="763" spans="1:20" x14ac:dyDescent="0.35">
      <c r="A763" s="1" t="s">
        <v>2002</v>
      </c>
      <c r="B763" t="s">
        <v>16</v>
      </c>
      <c r="C763" t="s">
        <v>47</v>
      </c>
      <c r="D763" t="s">
        <v>1349</v>
      </c>
      <c r="E763">
        <v>0</v>
      </c>
      <c r="F763" t="s">
        <v>47</v>
      </c>
      <c r="G763">
        <v>1</v>
      </c>
      <c r="H763" t="s">
        <v>45</v>
      </c>
      <c r="I763">
        <v>0</v>
      </c>
      <c r="J763" t="s">
        <v>47</v>
      </c>
      <c r="K763">
        <v>0</v>
      </c>
      <c r="L763" t="s">
        <v>47</v>
      </c>
      <c r="M763">
        <v>0</v>
      </c>
      <c r="N763" t="s">
        <v>47</v>
      </c>
      <c r="O763">
        <v>1</v>
      </c>
      <c r="P763" t="s">
        <v>45</v>
      </c>
      <c r="Q763">
        <v>0</v>
      </c>
      <c r="R763" t="s">
        <v>47</v>
      </c>
      <c r="S763">
        <v>0</v>
      </c>
      <c r="T763" t="s">
        <v>47</v>
      </c>
    </row>
    <row r="764" spans="1:20" x14ac:dyDescent="0.35">
      <c r="A764" s="1" t="s">
        <v>2003</v>
      </c>
      <c r="B764" t="s">
        <v>16</v>
      </c>
      <c r="C764" t="s">
        <v>47</v>
      </c>
      <c r="D764" t="s">
        <v>1350</v>
      </c>
      <c r="E764">
        <v>0</v>
      </c>
      <c r="F764" t="s">
        <v>47</v>
      </c>
      <c r="G764">
        <v>1</v>
      </c>
      <c r="H764" t="s">
        <v>45</v>
      </c>
      <c r="I764">
        <v>0</v>
      </c>
      <c r="J764" t="s">
        <v>47</v>
      </c>
      <c r="K764">
        <v>0</v>
      </c>
      <c r="L764" t="s">
        <v>47</v>
      </c>
      <c r="M764">
        <v>0</v>
      </c>
      <c r="N764" t="s">
        <v>47</v>
      </c>
      <c r="O764">
        <v>0</v>
      </c>
      <c r="P764" t="s">
        <v>47</v>
      </c>
      <c r="Q764">
        <v>0</v>
      </c>
      <c r="R764" t="s">
        <v>47</v>
      </c>
      <c r="S764">
        <v>0</v>
      </c>
      <c r="T764" t="s">
        <v>47</v>
      </c>
    </row>
    <row r="765" spans="1:20" x14ac:dyDescent="0.35">
      <c r="A765" s="1" t="s">
        <v>2004</v>
      </c>
      <c r="B765" t="s">
        <v>14</v>
      </c>
      <c r="C765" t="s">
        <v>47</v>
      </c>
      <c r="D765" t="s">
        <v>1351</v>
      </c>
      <c r="E765">
        <v>0</v>
      </c>
      <c r="F765" t="s">
        <v>47</v>
      </c>
      <c r="G765">
        <v>1</v>
      </c>
      <c r="H765" t="s">
        <v>45</v>
      </c>
      <c r="I765">
        <v>0</v>
      </c>
      <c r="J765" t="s">
        <v>47</v>
      </c>
      <c r="K765">
        <v>0</v>
      </c>
      <c r="L765" t="s">
        <v>47</v>
      </c>
      <c r="M765">
        <v>0</v>
      </c>
      <c r="N765" t="s">
        <v>47</v>
      </c>
      <c r="O765">
        <v>0</v>
      </c>
      <c r="P765" t="s">
        <v>47</v>
      </c>
      <c r="Q765">
        <v>0</v>
      </c>
      <c r="R765" t="s">
        <v>47</v>
      </c>
      <c r="S765">
        <v>0</v>
      </c>
      <c r="T765" t="s">
        <v>47</v>
      </c>
    </row>
    <row r="766" spans="1:20" x14ac:dyDescent="0.35">
      <c r="A766" s="1" t="s">
        <v>2005</v>
      </c>
      <c r="B766" t="s">
        <v>14</v>
      </c>
      <c r="C766" t="s">
        <v>47</v>
      </c>
      <c r="D766" t="s">
        <v>1352</v>
      </c>
      <c r="E766">
        <v>0</v>
      </c>
      <c r="F766" t="s">
        <v>47</v>
      </c>
      <c r="G766">
        <v>1</v>
      </c>
      <c r="H766" t="s">
        <v>45</v>
      </c>
      <c r="I766">
        <v>0</v>
      </c>
      <c r="J766" t="s">
        <v>47</v>
      </c>
      <c r="K766">
        <v>0</v>
      </c>
      <c r="L766" t="s">
        <v>47</v>
      </c>
      <c r="M766">
        <v>0</v>
      </c>
      <c r="N766" t="s">
        <v>47</v>
      </c>
      <c r="O766">
        <v>0</v>
      </c>
      <c r="P766" t="s">
        <v>47</v>
      </c>
      <c r="Q766">
        <v>0</v>
      </c>
      <c r="R766" t="s">
        <v>47</v>
      </c>
      <c r="S766">
        <v>0</v>
      </c>
      <c r="T766" t="s">
        <v>47</v>
      </c>
    </row>
    <row r="767" spans="1:20" x14ac:dyDescent="0.35">
      <c r="A767" s="1" t="s">
        <v>2006</v>
      </c>
      <c r="B767" t="s">
        <v>14</v>
      </c>
      <c r="C767" t="s">
        <v>47</v>
      </c>
      <c r="D767" t="s">
        <v>1353</v>
      </c>
      <c r="E767">
        <v>1</v>
      </c>
      <c r="F767" t="s">
        <v>45</v>
      </c>
      <c r="G767">
        <v>1</v>
      </c>
      <c r="H767" t="s">
        <v>45</v>
      </c>
      <c r="I767">
        <v>0</v>
      </c>
      <c r="J767" t="s">
        <v>47</v>
      </c>
      <c r="K767">
        <v>0</v>
      </c>
      <c r="L767" t="s">
        <v>47</v>
      </c>
      <c r="M767">
        <v>0</v>
      </c>
      <c r="N767" t="s">
        <v>47</v>
      </c>
      <c r="O767">
        <v>0</v>
      </c>
      <c r="P767" t="s">
        <v>47</v>
      </c>
      <c r="Q767">
        <v>0</v>
      </c>
      <c r="R767" t="s">
        <v>47</v>
      </c>
      <c r="S767">
        <v>0</v>
      </c>
      <c r="T767" t="s">
        <v>47</v>
      </c>
    </row>
    <row r="768" spans="1:20" x14ac:dyDescent="0.35">
      <c r="A768" s="1" t="s">
        <v>2007</v>
      </c>
      <c r="B768" t="s">
        <v>14</v>
      </c>
      <c r="C768" t="s">
        <v>47</v>
      </c>
      <c r="D768" t="s">
        <v>1354</v>
      </c>
      <c r="E768">
        <v>1</v>
      </c>
      <c r="F768" t="s">
        <v>45</v>
      </c>
      <c r="G768">
        <v>1</v>
      </c>
      <c r="H768" t="s">
        <v>45</v>
      </c>
      <c r="I768">
        <v>0</v>
      </c>
      <c r="J768" t="s">
        <v>47</v>
      </c>
      <c r="K768">
        <v>0</v>
      </c>
      <c r="L768" t="s">
        <v>47</v>
      </c>
      <c r="M768">
        <v>0</v>
      </c>
      <c r="N768" t="s">
        <v>47</v>
      </c>
      <c r="O768">
        <v>0</v>
      </c>
      <c r="P768" t="s">
        <v>47</v>
      </c>
      <c r="Q768">
        <v>0</v>
      </c>
      <c r="R768" t="s">
        <v>47</v>
      </c>
      <c r="S768">
        <v>0</v>
      </c>
      <c r="T768" t="s">
        <v>47</v>
      </c>
    </row>
    <row r="769" spans="1:20" x14ac:dyDescent="0.35">
      <c r="A769" s="1" t="s">
        <v>2008</v>
      </c>
      <c r="B769" t="s">
        <v>14</v>
      </c>
      <c r="C769" t="s">
        <v>47</v>
      </c>
      <c r="D769" t="s">
        <v>1342</v>
      </c>
      <c r="E769">
        <v>0</v>
      </c>
      <c r="F769" t="s">
        <v>47</v>
      </c>
      <c r="G769">
        <v>1</v>
      </c>
      <c r="H769" t="s">
        <v>45</v>
      </c>
      <c r="I769">
        <v>0</v>
      </c>
      <c r="J769" t="s">
        <v>47</v>
      </c>
      <c r="K769">
        <v>0</v>
      </c>
      <c r="L769" t="s">
        <v>47</v>
      </c>
      <c r="M769">
        <v>0</v>
      </c>
      <c r="N769" t="s">
        <v>47</v>
      </c>
      <c r="O769">
        <v>0</v>
      </c>
      <c r="P769" t="s">
        <v>47</v>
      </c>
      <c r="Q769">
        <v>0</v>
      </c>
      <c r="R769" t="s">
        <v>47</v>
      </c>
      <c r="S769">
        <v>0</v>
      </c>
      <c r="T769" t="s">
        <v>47</v>
      </c>
    </row>
    <row r="770" spans="1:20" x14ac:dyDescent="0.35">
      <c r="A770" s="1" t="s">
        <v>2009</v>
      </c>
      <c r="B770" t="s">
        <v>14</v>
      </c>
      <c r="C770" t="s">
        <v>47</v>
      </c>
      <c r="D770" t="s">
        <v>1343</v>
      </c>
      <c r="E770">
        <v>0</v>
      </c>
      <c r="F770" t="s">
        <v>47</v>
      </c>
      <c r="G770">
        <v>0</v>
      </c>
      <c r="H770" t="s">
        <v>47</v>
      </c>
      <c r="I770">
        <v>0</v>
      </c>
      <c r="J770" t="s">
        <v>47</v>
      </c>
      <c r="K770">
        <v>0</v>
      </c>
      <c r="L770" t="s">
        <v>47</v>
      </c>
      <c r="M770">
        <v>0</v>
      </c>
      <c r="N770" t="s">
        <v>47</v>
      </c>
      <c r="O770">
        <v>0</v>
      </c>
      <c r="P770" t="s">
        <v>47</v>
      </c>
      <c r="Q770">
        <v>1</v>
      </c>
      <c r="R770" t="s">
        <v>45</v>
      </c>
      <c r="S770">
        <v>0</v>
      </c>
      <c r="T770" t="s">
        <v>47</v>
      </c>
    </row>
    <row r="771" spans="1:20" x14ac:dyDescent="0.35">
      <c r="A771" s="1" t="s">
        <v>2010</v>
      </c>
      <c r="B771" t="s">
        <v>14</v>
      </c>
      <c r="C771" t="s">
        <v>47</v>
      </c>
      <c r="D771" t="s">
        <v>1355</v>
      </c>
      <c r="E771">
        <v>1</v>
      </c>
      <c r="F771" t="s">
        <v>45</v>
      </c>
      <c r="G771">
        <v>1</v>
      </c>
      <c r="H771" t="s">
        <v>45</v>
      </c>
      <c r="I771">
        <v>0</v>
      </c>
      <c r="J771" t="s">
        <v>47</v>
      </c>
      <c r="K771">
        <v>0</v>
      </c>
      <c r="L771" t="s">
        <v>47</v>
      </c>
      <c r="M771">
        <v>0</v>
      </c>
      <c r="N771" t="s">
        <v>47</v>
      </c>
      <c r="O771">
        <v>0</v>
      </c>
      <c r="P771" t="s">
        <v>47</v>
      </c>
      <c r="Q771">
        <v>0</v>
      </c>
      <c r="R771" t="s">
        <v>47</v>
      </c>
      <c r="S771">
        <v>0</v>
      </c>
      <c r="T771" t="s">
        <v>47</v>
      </c>
    </row>
    <row r="772" spans="1:20" x14ac:dyDescent="0.35">
      <c r="A772" s="1" t="s">
        <v>2011</v>
      </c>
      <c r="B772" t="s">
        <v>14</v>
      </c>
      <c r="C772" t="s">
        <v>47</v>
      </c>
      <c r="D772" t="s">
        <v>1356</v>
      </c>
      <c r="E772">
        <v>0</v>
      </c>
      <c r="F772" t="s">
        <v>47</v>
      </c>
      <c r="G772">
        <v>1</v>
      </c>
      <c r="H772" t="s">
        <v>45</v>
      </c>
      <c r="I772">
        <v>0</v>
      </c>
      <c r="J772" t="s">
        <v>47</v>
      </c>
      <c r="K772">
        <v>0</v>
      </c>
      <c r="L772" t="s">
        <v>47</v>
      </c>
      <c r="M772">
        <v>0</v>
      </c>
      <c r="N772" t="s">
        <v>47</v>
      </c>
      <c r="O772">
        <v>0</v>
      </c>
      <c r="P772" t="s">
        <v>47</v>
      </c>
      <c r="Q772">
        <v>0</v>
      </c>
      <c r="R772" t="s">
        <v>47</v>
      </c>
      <c r="S772">
        <v>0</v>
      </c>
      <c r="T772" t="s">
        <v>47</v>
      </c>
    </row>
    <row r="773" spans="1:20" x14ac:dyDescent="0.35">
      <c r="A773" s="1" t="s">
        <v>2012</v>
      </c>
      <c r="B773" t="s">
        <v>14</v>
      </c>
      <c r="C773" t="s">
        <v>47</v>
      </c>
      <c r="D773" t="s">
        <v>1357</v>
      </c>
      <c r="E773">
        <v>1</v>
      </c>
      <c r="F773" t="s">
        <v>45</v>
      </c>
      <c r="G773">
        <v>1</v>
      </c>
      <c r="H773" t="s">
        <v>45</v>
      </c>
      <c r="I773">
        <v>0</v>
      </c>
      <c r="J773" t="s">
        <v>47</v>
      </c>
      <c r="K773">
        <v>0</v>
      </c>
      <c r="L773" t="s">
        <v>47</v>
      </c>
      <c r="M773">
        <v>0</v>
      </c>
      <c r="N773" t="s">
        <v>47</v>
      </c>
      <c r="O773">
        <v>0</v>
      </c>
      <c r="P773" t="s">
        <v>47</v>
      </c>
      <c r="Q773">
        <v>0</v>
      </c>
      <c r="R773" t="s">
        <v>47</v>
      </c>
      <c r="S773">
        <v>0</v>
      </c>
      <c r="T773" t="s">
        <v>47</v>
      </c>
    </row>
    <row r="774" spans="1:20" x14ac:dyDescent="0.35">
      <c r="A774" s="1" t="s">
        <v>2013</v>
      </c>
      <c r="B774" t="s">
        <v>14</v>
      </c>
      <c r="C774" t="s">
        <v>47</v>
      </c>
      <c r="D774" t="s">
        <v>1358</v>
      </c>
      <c r="E774">
        <v>1</v>
      </c>
      <c r="F774" t="s">
        <v>45</v>
      </c>
      <c r="G774">
        <v>1</v>
      </c>
      <c r="H774" t="s">
        <v>45</v>
      </c>
      <c r="I774">
        <v>0</v>
      </c>
      <c r="J774" t="s">
        <v>47</v>
      </c>
      <c r="K774">
        <v>0</v>
      </c>
      <c r="L774" t="s">
        <v>47</v>
      </c>
      <c r="M774">
        <v>0</v>
      </c>
      <c r="N774" t="s">
        <v>47</v>
      </c>
      <c r="O774">
        <v>0</v>
      </c>
      <c r="P774" t="s">
        <v>47</v>
      </c>
      <c r="Q774">
        <v>0</v>
      </c>
      <c r="R774" t="s">
        <v>47</v>
      </c>
      <c r="S774">
        <v>0</v>
      </c>
      <c r="T774" t="s">
        <v>47</v>
      </c>
    </row>
    <row r="775" spans="1:20" x14ac:dyDescent="0.35">
      <c r="A775" s="1" t="s">
        <v>2014</v>
      </c>
      <c r="B775" t="s">
        <v>14</v>
      </c>
      <c r="C775" t="s">
        <v>47</v>
      </c>
      <c r="D775" t="s">
        <v>1359</v>
      </c>
      <c r="E775">
        <v>0</v>
      </c>
      <c r="F775" t="s">
        <v>47</v>
      </c>
      <c r="G775">
        <v>1</v>
      </c>
      <c r="H775" t="s">
        <v>45</v>
      </c>
      <c r="I775">
        <v>0</v>
      </c>
      <c r="J775" t="s">
        <v>47</v>
      </c>
      <c r="K775">
        <v>0</v>
      </c>
      <c r="L775" t="s">
        <v>47</v>
      </c>
      <c r="M775">
        <v>0</v>
      </c>
      <c r="N775" t="s">
        <v>47</v>
      </c>
      <c r="O775">
        <v>0</v>
      </c>
      <c r="P775" t="s">
        <v>47</v>
      </c>
      <c r="Q775">
        <v>1</v>
      </c>
      <c r="R775" t="s">
        <v>45</v>
      </c>
      <c r="S775">
        <v>0</v>
      </c>
      <c r="T775" t="s">
        <v>47</v>
      </c>
    </row>
    <row r="776" spans="1:20" x14ac:dyDescent="0.35">
      <c r="A776" s="1" t="s">
        <v>2015</v>
      </c>
      <c r="B776" t="s">
        <v>14</v>
      </c>
      <c r="C776" t="s">
        <v>47</v>
      </c>
      <c r="D776" t="s">
        <v>1360</v>
      </c>
      <c r="E776">
        <v>0</v>
      </c>
      <c r="F776" t="s">
        <v>47</v>
      </c>
      <c r="G776">
        <v>1</v>
      </c>
      <c r="H776" t="s">
        <v>45</v>
      </c>
      <c r="I776">
        <v>0</v>
      </c>
      <c r="J776" t="s">
        <v>47</v>
      </c>
      <c r="K776">
        <v>0</v>
      </c>
      <c r="L776" t="s">
        <v>47</v>
      </c>
      <c r="M776">
        <v>0</v>
      </c>
      <c r="N776" t="s">
        <v>47</v>
      </c>
      <c r="O776">
        <v>0</v>
      </c>
      <c r="P776" t="s">
        <v>47</v>
      </c>
      <c r="Q776">
        <v>0</v>
      </c>
      <c r="R776" t="s">
        <v>47</v>
      </c>
      <c r="S776">
        <v>0</v>
      </c>
      <c r="T776" t="s">
        <v>47</v>
      </c>
    </row>
    <row r="777" spans="1:20" x14ac:dyDescent="0.35">
      <c r="A777" s="1" t="s">
        <v>2016</v>
      </c>
      <c r="B777" t="s">
        <v>14</v>
      </c>
      <c r="C777" t="s">
        <v>47</v>
      </c>
      <c r="D777" t="s">
        <v>1361</v>
      </c>
      <c r="E777">
        <v>1</v>
      </c>
      <c r="F777" t="s">
        <v>45</v>
      </c>
      <c r="G777">
        <v>0</v>
      </c>
      <c r="H777" t="s">
        <v>47</v>
      </c>
      <c r="I777">
        <v>0</v>
      </c>
      <c r="J777" t="s">
        <v>47</v>
      </c>
      <c r="K777">
        <v>0</v>
      </c>
      <c r="L777" t="s">
        <v>47</v>
      </c>
      <c r="M777">
        <v>0</v>
      </c>
      <c r="N777" t="s">
        <v>47</v>
      </c>
      <c r="O777">
        <v>0</v>
      </c>
      <c r="P777" t="s">
        <v>47</v>
      </c>
      <c r="Q777">
        <v>0</v>
      </c>
      <c r="R777" t="s">
        <v>47</v>
      </c>
      <c r="S777">
        <v>0</v>
      </c>
      <c r="T777" t="s">
        <v>47</v>
      </c>
    </row>
    <row r="778" spans="1:20" x14ac:dyDescent="0.35">
      <c r="A778" s="1" t="s">
        <v>2017</v>
      </c>
      <c r="B778" t="s">
        <v>16</v>
      </c>
      <c r="C778" t="s">
        <v>47</v>
      </c>
      <c r="D778" t="s">
        <v>1362</v>
      </c>
      <c r="E778">
        <v>1</v>
      </c>
      <c r="F778" t="s">
        <v>45</v>
      </c>
      <c r="G778">
        <v>1</v>
      </c>
      <c r="H778" t="s">
        <v>45</v>
      </c>
      <c r="I778">
        <v>0</v>
      </c>
      <c r="J778" t="s">
        <v>47</v>
      </c>
      <c r="K778">
        <v>0</v>
      </c>
      <c r="L778" t="s">
        <v>47</v>
      </c>
      <c r="M778">
        <v>0</v>
      </c>
      <c r="N778" t="s">
        <v>47</v>
      </c>
      <c r="O778">
        <v>1</v>
      </c>
      <c r="P778" t="s">
        <v>45</v>
      </c>
      <c r="Q778">
        <v>0</v>
      </c>
      <c r="R778" t="s">
        <v>47</v>
      </c>
      <c r="S778">
        <v>0</v>
      </c>
      <c r="T778" t="s">
        <v>47</v>
      </c>
    </row>
    <row r="779" spans="1:20" x14ac:dyDescent="0.35">
      <c r="A779" s="1" t="s">
        <v>2018</v>
      </c>
      <c r="B779" t="s">
        <v>16</v>
      </c>
      <c r="C779" t="s">
        <v>47</v>
      </c>
      <c r="D779" t="s">
        <v>1363</v>
      </c>
      <c r="E779">
        <v>0</v>
      </c>
      <c r="F779" t="s">
        <v>47</v>
      </c>
      <c r="G779">
        <v>1</v>
      </c>
      <c r="H779" t="s">
        <v>45</v>
      </c>
      <c r="I779">
        <v>0</v>
      </c>
      <c r="J779" t="s">
        <v>47</v>
      </c>
      <c r="K779">
        <v>0</v>
      </c>
      <c r="L779" t="s">
        <v>47</v>
      </c>
      <c r="M779">
        <v>0</v>
      </c>
      <c r="N779" t="s">
        <v>47</v>
      </c>
      <c r="O779">
        <v>0</v>
      </c>
      <c r="P779" t="s">
        <v>47</v>
      </c>
      <c r="Q779">
        <v>0</v>
      </c>
      <c r="R779" t="s">
        <v>47</v>
      </c>
      <c r="S779">
        <v>0</v>
      </c>
      <c r="T779" t="s">
        <v>47</v>
      </c>
    </row>
    <row r="780" spans="1:20" x14ac:dyDescent="0.35">
      <c r="A780" s="1" t="s">
        <v>2019</v>
      </c>
      <c r="B780" t="s">
        <v>16</v>
      </c>
      <c r="C780" t="s">
        <v>47</v>
      </c>
      <c r="D780" t="s">
        <v>1364</v>
      </c>
      <c r="E780">
        <v>0</v>
      </c>
      <c r="F780" t="s">
        <v>47</v>
      </c>
      <c r="G780">
        <v>1</v>
      </c>
      <c r="H780" t="s">
        <v>45</v>
      </c>
      <c r="I780">
        <v>0</v>
      </c>
      <c r="J780" t="s">
        <v>47</v>
      </c>
      <c r="K780">
        <v>0</v>
      </c>
      <c r="L780" t="s">
        <v>47</v>
      </c>
      <c r="M780">
        <v>0</v>
      </c>
      <c r="N780" t="s">
        <v>47</v>
      </c>
      <c r="O780">
        <v>0</v>
      </c>
      <c r="P780" t="s">
        <v>47</v>
      </c>
      <c r="Q780">
        <v>0</v>
      </c>
      <c r="R780" t="s">
        <v>47</v>
      </c>
      <c r="S780">
        <v>0</v>
      </c>
      <c r="T780" t="s">
        <v>47</v>
      </c>
    </row>
    <row r="781" spans="1:20" x14ac:dyDescent="0.35">
      <c r="A781" s="1" t="s">
        <v>2020</v>
      </c>
      <c r="B781" t="s">
        <v>14</v>
      </c>
      <c r="C781" t="s">
        <v>47</v>
      </c>
      <c r="D781" t="s">
        <v>1365</v>
      </c>
      <c r="E781">
        <v>1</v>
      </c>
      <c r="F781" t="s">
        <v>45</v>
      </c>
      <c r="G781">
        <v>1</v>
      </c>
      <c r="H781" t="s">
        <v>45</v>
      </c>
      <c r="I781">
        <v>0</v>
      </c>
      <c r="J781" t="s">
        <v>47</v>
      </c>
      <c r="K781">
        <v>0</v>
      </c>
      <c r="L781" t="s">
        <v>47</v>
      </c>
      <c r="M781">
        <v>0</v>
      </c>
      <c r="N781" t="s">
        <v>47</v>
      </c>
      <c r="O781">
        <v>0</v>
      </c>
      <c r="P781" t="s">
        <v>47</v>
      </c>
      <c r="Q781">
        <v>0</v>
      </c>
      <c r="R781" t="s">
        <v>47</v>
      </c>
      <c r="S781">
        <v>0</v>
      </c>
      <c r="T781" t="s">
        <v>47</v>
      </c>
    </row>
    <row r="782" spans="1:20" x14ac:dyDescent="0.35">
      <c r="A782" s="1" t="s">
        <v>2021</v>
      </c>
      <c r="B782" t="s">
        <v>14</v>
      </c>
      <c r="C782" t="s">
        <v>47</v>
      </c>
      <c r="D782" t="s">
        <v>1366</v>
      </c>
      <c r="E782">
        <v>0</v>
      </c>
      <c r="F782" t="s">
        <v>47</v>
      </c>
      <c r="G782">
        <v>1</v>
      </c>
      <c r="H782" t="s">
        <v>45</v>
      </c>
      <c r="I782">
        <v>0</v>
      </c>
      <c r="J782" t="s">
        <v>47</v>
      </c>
      <c r="K782">
        <v>0</v>
      </c>
      <c r="L782" t="s">
        <v>47</v>
      </c>
      <c r="M782">
        <v>0</v>
      </c>
      <c r="N782" t="s">
        <v>47</v>
      </c>
      <c r="O782">
        <v>0</v>
      </c>
      <c r="P782" t="s">
        <v>47</v>
      </c>
      <c r="Q782">
        <v>0</v>
      </c>
      <c r="R782" t="s">
        <v>47</v>
      </c>
      <c r="S782">
        <v>0</v>
      </c>
      <c r="T782" t="s">
        <v>47</v>
      </c>
    </row>
    <row r="783" spans="1:20" x14ac:dyDescent="0.35">
      <c r="A783" s="1" t="s">
        <v>2022</v>
      </c>
      <c r="B783" t="s">
        <v>14</v>
      </c>
      <c r="C783" t="s">
        <v>47</v>
      </c>
      <c r="D783" t="s">
        <v>1368</v>
      </c>
      <c r="E783">
        <v>1</v>
      </c>
      <c r="F783" t="s">
        <v>45</v>
      </c>
      <c r="G783">
        <v>1</v>
      </c>
      <c r="H783" t="s">
        <v>45</v>
      </c>
      <c r="I783">
        <v>0</v>
      </c>
      <c r="J783" t="s">
        <v>47</v>
      </c>
      <c r="K783">
        <v>0</v>
      </c>
      <c r="L783" t="s">
        <v>47</v>
      </c>
      <c r="M783">
        <v>0</v>
      </c>
      <c r="N783" t="s">
        <v>47</v>
      </c>
      <c r="O783">
        <v>0</v>
      </c>
      <c r="P783" t="s">
        <v>47</v>
      </c>
      <c r="Q783">
        <v>1</v>
      </c>
      <c r="R783" t="s">
        <v>45</v>
      </c>
      <c r="S783">
        <v>0</v>
      </c>
      <c r="T783" t="s">
        <v>47</v>
      </c>
    </row>
    <row r="784" spans="1:20" x14ac:dyDescent="0.35">
      <c r="A784" s="1" t="s">
        <v>2023</v>
      </c>
      <c r="B784" t="s">
        <v>14</v>
      </c>
      <c r="C784" t="s">
        <v>47</v>
      </c>
      <c r="D784" t="s">
        <v>1369</v>
      </c>
      <c r="E784">
        <v>1</v>
      </c>
      <c r="F784" t="s">
        <v>45</v>
      </c>
      <c r="G784">
        <v>1</v>
      </c>
      <c r="H784" t="s">
        <v>45</v>
      </c>
      <c r="I784">
        <v>0</v>
      </c>
      <c r="J784" t="s">
        <v>47</v>
      </c>
      <c r="K784">
        <v>0</v>
      </c>
      <c r="L784" t="s">
        <v>47</v>
      </c>
      <c r="M784">
        <v>0</v>
      </c>
      <c r="N784" t="s">
        <v>47</v>
      </c>
      <c r="O784">
        <v>0</v>
      </c>
      <c r="P784" t="s">
        <v>47</v>
      </c>
      <c r="Q784">
        <v>1</v>
      </c>
      <c r="R784" t="s">
        <v>45</v>
      </c>
      <c r="S784">
        <v>0</v>
      </c>
      <c r="T784" t="s">
        <v>47</v>
      </c>
    </row>
    <row r="785" spans="1:20" x14ac:dyDescent="0.35">
      <c r="A785" s="1" t="s">
        <v>2024</v>
      </c>
      <c r="B785" t="s">
        <v>14</v>
      </c>
      <c r="C785" t="s">
        <v>47</v>
      </c>
      <c r="D785" t="s">
        <v>1370</v>
      </c>
      <c r="E785">
        <v>0</v>
      </c>
      <c r="F785" t="s">
        <v>47</v>
      </c>
      <c r="G785">
        <v>1</v>
      </c>
      <c r="H785" t="s">
        <v>45</v>
      </c>
      <c r="I785">
        <v>0</v>
      </c>
      <c r="J785" t="s">
        <v>47</v>
      </c>
      <c r="K785">
        <v>0</v>
      </c>
      <c r="L785" t="s">
        <v>47</v>
      </c>
      <c r="M785">
        <v>0</v>
      </c>
      <c r="N785" t="s">
        <v>47</v>
      </c>
      <c r="O785">
        <v>0</v>
      </c>
      <c r="P785" t="s">
        <v>47</v>
      </c>
      <c r="Q785">
        <v>0</v>
      </c>
      <c r="R785" t="s">
        <v>47</v>
      </c>
      <c r="S785">
        <v>0</v>
      </c>
      <c r="T785" t="s">
        <v>47</v>
      </c>
    </row>
    <row r="786" spans="1:20" x14ac:dyDescent="0.35">
      <c r="A786" s="1" t="s">
        <v>2025</v>
      </c>
      <c r="B786" t="s">
        <v>14</v>
      </c>
      <c r="C786" t="s">
        <v>47</v>
      </c>
      <c r="D786" t="s">
        <v>1371</v>
      </c>
      <c r="E786">
        <v>0</v>
      </c>
      <c r="F786" t="s">
        <v>47</v>
      </c>
      <c r="G786">
        <v>1</v>
      </c>
      <c r="H786" t="s">
        <v>45</v>
      </c>
      <c r="I786">
        <v>0</v>
      </c>
      <c r="J786" t="s">
        <v>47</v>
      </c>
      <c r="K786">
        <v>0</v>
      </c>
      <c r="L786" t="s">
        <v>47</v>
      </c>
      <c r="M786">
        <v>0</v>
      </c>
      <c r="N786" t="s">
        <v>47</v>
      </c>
      <c r="O786">
        <v>0</v>
      </c>
      <c r="P786" t="s">
        <v>47</v>
      </c>
      <c r="Q786">
        <v>0</v>
      </c>
      <c r="R786" t="s">
        <v>47</v>
      </c>
      <c r="S786">
        <v>0</v>
      </c>
      <c r="T786" t="s">
        <v>47</v>
      </c>
    </row>
    <row r="787" spans="1:20" x14ac:dyDescent="0.35">
      <c r="A787" s="1" t="s">
        <v>2026</v>
      </c>
      <c r="B787" t="s">
        <v>14</v>
      </c>
      <c r="C787" t="s">
        <v>47</v>
      </c>
      <c r="D787" t="s">
        <v>1372</v>
      </c>
      <c r="E787">
        <v>0</v>
      </c>
      <c r="F787" t="s">
        <v>47</v>
      </c>
      <c r="G787">
        <v>1</v>
      </c>
      <c r="H787" t="s">
        <v>45</v>
      </c>
      <c r="I787">
        <v>0</v>
      </c>
      <c r="J787" t="s">
        <v>47</v>
      </c>
      <c r="K787">
        <v>0</v>
      </c>
      <c r="L787" t="s">
        <v>47</v>
      </c>
      <c r="M787">
        <v>0</v>
      </c>
      <c r="N787" t="s">
        <v>47</v>
      </c>
      <c r="O787">
        <v>1</v>
      </c>
      <c r="P787" t="s">
        <v>45</v>
      </c>
      <c r="Q787">
        <v>0</v>
      </c>
      <c r="R787" t="s">
        <v>47</v>
      </c>
      <c r="S787">
        <v>0</v>
      </c>
      <c r="T787" t="s">
        <v>47</v>
      </c>
    </row>
    <row r="788" spans="1:20" x14ac:dyDescent="0.35">
      <c r="A788" s="1" t="s">
        <v>2027</v>
      </c>
      <c r="B788" t="s">
        <v>14</v>
      </c>
      <c r="C788" t="s">
        <v>47</v>
      </c>
      <c r="D788" t="s">
        <v>1373</v>
      </c>
      <c r="E788">
        <v>0</v>
      </c>
      <c r="F788" t="s">
        <v>47</v>
      </c>
      <c r="G788">
        <v>1</v>
      </c>
      <c r="H788" t="s">
        <v>45</v>
      </c>
      <c r="I788">
        <v>0</v>
      </c>
      <c r="J788" t="s">
        <v>47</v>
      </c>
      <c r="K788">
        <v>0</v>
      </c>
      <c r="L788" t="s">
        <v>47</v>
      </c>
      <c r="M788">
        <v>0</v>
      </c>
      <c r="N788" t="s">
        <v>47</v>
      </c>
      <c r="O788">
        <v>0</v>
      </c>
      <c r="P788" t="s">
        <v>47</v>
      </c>
      <c r="Q788">
        <v>0</v>
      </c>
      <c r="R788" t="s">
        <v>47</v>
      </c>
      <c r="S788">
        <v>0</v>
      </c>
      <c r="T788" t="s">
        <v>47</v>
      </c>
    </row>
    <row r="789" spans="1:20" x14ac:dyDescent="0.35">
      <c r="A789" s="1" t="s">
        <v>2028</v>
      </c>
      <c r="B789" t="s">
        <v>16</v>
      </c>
      <c r="C789" t="s">
        <v>47</v>
      </c>
      <c r="D789" t="s">
        <v>1374</v>
      </c>
      <c r="E789">
        <v>1</v>
      </c>
      <c r="F789" t="s">
        <v>45</v>
      </c>
      <c r="G789">
        <v>1</v>
      </c>
      <c r="H789" t="s">
        <v>45</v>
      </c>
      <c r="I789">
        <v>0</v>
      </c>
      <c r="J789" t="s">
        <v>47</v>
      </c>
      <c r="K789">
        <v>0</v>
      </c>
      <c r="L789" t="s">
        <v>47</v>
      </c>
      <c r="M789">
        <v>0</v>
      </c>
      <c r="N789" t="s">
        <v>47</v>
      </c>
      <c r="O789">
        <v>0</v>
      </c>
      <c r="P789" t="s">
        <v>47</v>
      </c>
      <c r="Q789">
        <v>0</v>
      </c>
      <c r="R789" t="s">
        <v>47</v>
      </c>
      <c r="S789">
        <v>0</v>
      </c>
      <c r="T789" t="s">
        <v>47</v>
      </c>
    </row>
    <row r="790" spans="1:20" x14ac:dyDescent="0.35">
      <c r="A790" s="1" t="s">
        <v>2029</v>
      </c>
      <c r="B790" t="s">
        <v>14</v>
      </c>
      <c r="C790" t="s">
        <v>47</v>
      </c>
      <c r="D790" t="s">
        <v>1375</v>
      </c>
      <c r="E790">
        <v>0</v>
      </c>
      <c r="F790" t="s">
        <v>47</v>
      </c>
      <c r="G790">
        <v>1</v>
      </c>
      <c r="H790" t="s">
        <v>45</v>
      </c>
      <c r="I790">
        <v>0</v>
      </c>
      <c r="J790" t="s">
        <v>47</v>
      </c>
      <c r="K790">
        <v>0</v>
      </c>
      <c r="L790" t="s">
        <v>47</v>
      </c>
      <c r="M790">
        <v>0</v>
      </c>
      <c r="N790" t="s">
        <v>47</v>
      </c>
      <c r="O790">
        <v>0</v>
      </c>
      <c r="P790" t="s">
        <v>47</v>
      </c>
      <c r="Q790">
        <v>0</v>
      </c>
      <c r="R790" t="s">
        <v>47</v>
      </c>
      <c r="S790">
        <v>0</v>
      </c>
      <c r="T790" t="s">
        <v>47</v>
      </c>
    </row>
    <row r="791" spans="1:20" x14ac:dyDescent="0.35">
      <c r="A791" s="1" t="s">
        <v>2030</v>
      </c>
      <c r="B791" t="s">
        <v>14</v>
      </c>
      <c r="C791" t="s">
        <v>47</v>
      </c>
      <c r="D791" t="s">
        <v>1376</v>
      </c>
      <c r="E791">
        <v>0</v>
      </c>
      <c r="F791" t="s">
        <v>47</v>
      </c>
      <c r="G791">
        <v>1</v>
      </c>
      <c r="H791" t="s">
        <v>45</v>
      </c>
      <c r="I791">
        <v>0</v>
      </c>
      <c r="J791" t="s">
        <v>47</v>
      </c>
      <c r="K791">
        <v>0</v>
      </c>
      <c r="L791" t="s">
        <v>47</v>
      </c>
      <c r="M791">
        <v>0</v>
      </c>
      <c r="N791" t="s">
        <v>47</v>
      </c>
      <c r="O791">
        <v>0</v>
      </c>
      <c r="P791" t="s">
        <v>47</v>
      </c>
      <c r="Q791">
        <v>0</v>
      </c>
      <c r="R791" t="s">
        <v>47</v>
      </c>
      <c r="S791">
        <v>0</v>
      </c>
      <c r="T791" t="s">
        <v>47</v>
      </c>
    </row>
    <row r="792" spans="1:20" x14ac:dyDescent="0.35">
      <c r="A792" s="1" t="s">
        <v>2031</v>
      </c>
      <c r="B792" t="s">
        <v>14</v>
      </c>
      <c r="C792" t="s">
        <v>47</v>
      </c>
      <c r="D792" t="s">
        <v>1377</v>
      </c>
      <c r="E792">
        <v>0</v>
      </c>
      <c r="F792" t="s">
        <v>47</v>
      </c>
      <c r="G792">
        <v>1</v>
      </c>
      <c r="H792" t="s">
        <v>45</v>
      </c>
      <c r="I792">
        <v>0</v>
      </c>
      <c r="J792" t="s">
        <v>47</v>
      </c>
      <c r="K792">
        <v>0</v>
      </c>
      <c r="L792" t="s">
        <v>47</v>
      </c>
      <c r="M792">
        <v>0</v>
      </c>
      <c r="N792" t="s">
        <v>47</v>
      </c>
      <c r="O792">
        <v>0</v>
      </c>
      <c r="P792" t="s">
        <v>47</v>
      </c>
      <c r="Q792">
        <v>0</v>
      </c>
      <c r="R792" t="s">
        <v>47</v>
      </c>
      <c r="S792">
        <v>0</v>
      </c>
      <c r="T792" t="s">
        <v>47</v>
      </c>
    </row>
    <row r="793" spans="1:20" x14ac:dyDescent="0.35">
      <c r="A793" s="1" t="s">
        <v>2032</v>
      </c>
      <c r="B793" t="s">
        <v>14</v>
      </c>
      <c r="C793" t="s">
        <v>47</v>
      </c>
      <c r="D793" t="s">
        <v>1378</v>
      </c>
      <c r="E793">
        <v>0</v>
      </c>
      <c r="F793" t="s">
        <v>47</v>
      </c>
      <c r="G793">
        <v>1</v>
      </c>
      <c r="H793" t="s">
        <v>45</v>
      </c>
      <c r="I793">
        <v>0</v>
      </c>
      <c r="J793" t="s">
        <v>47</v>
      </c>
      <c r="K793">
        <v>0</v>
      </c>
      <c r="L793" t="s">
        <v>47</v>
      </c>
      <c r="M793">
        <v>0</v>
      </c>
      <c r="N793" t="s">
        <v>47</v>
      </c>
      <c r="O793">
        <v>0</v>
      </c>
      <c r="P793" t="s">
        <v>47</v>
      </c>
      <c r="Q793">
        <v>0</v>
      </c>
      <c r="R793" t="s">
        <v>47</v>
      </c>
      <c r="S793">
        <v>0</v>
      </c>
      <c r="T793" t="s">
        <v>47</v>
      </c>
    </row>
    <row r="794" spans="1:20" x14ac:dyDescent="0.35">
      <c r="A794" s="1" t="s">
        <v>2033</v>
      </c>
      <c r="B794" t="s">
        <v>14</v>
      </c>
      <c r="C794" t="s">
        <v>47</v>
      </c>
      <c r="D794" t="s">
        <v>1379</v>
      </c>
      <c r="E794">
        <v>0</v>
      </c>
      <c r="F794" t="s">
        <v>47</v>
      </c>
      <c r="G794">
        <v>1</v>
      </c>
      <c r="H794" t="s">
        <v>45</v>
      </c>
      <c r="I794">
        <v>0</v>
      </c>
      <c r="J794" t="s">
        <v>47</v>
      </c>
      <c r="K794">
        <v>0</v>
      </c>
      <c r="L794" t="s">
        <v>47</v>
      </c>
      <c r="M794">
        <v>0</v>
      </c>
      <c r="N794" t="s">
        <v>47</v>
      </c>
      <c r="O794">
        <v>0</v>
      </c>
      <c r="P794" t="s">
        <v>47</v>
      </c>
      <c r="Q794">
        <v>1</v>
      </c>
      <c r="R794" t="s">
        <v>45</v>
      </c>
      <c r="S794">
        <v>0</v>
      </c>
      <c r="T794" t="s">
        <v>47</v>
      </c>
    </row>
    <row r="795" spans="1:20" x14ac:dyDescent="0.35">
      <c r="A795" s="1" t="s">
        <v>2034</v>
      </c>
      <c r="B795" t="s">
        <v>14</v>
      </c>
      <c r="C795" t="s">
        <v>47</v>
      </c>
      <c r="D795" t="s">
        <v>1380</v>
      </c>
      <c r="E795">
        <v>0</v>
      </c>
      <c r="F795" t="s">
        <v>47</v>
      </c>
      <c r="G795">
        <v>1</v>
      </c>
      <c r="H795" t="s">
        <v>45</v>
      </c>
      <c r="I795">
        <v>0</v>
      </c>
      <c r="J795" t="s">
        <v>47</v>
      </c>
      <c r="K795">
        <v>0</v>
      </c>
      <c r="L795" t="s">
        <v>47</v>
      </c>
      <c r="M795">
        <v>0</v>
      </c>
      <c r="N795" t="s">
        <v>47</v>
      </c>
      <c r="O795">
        <v>0</v>
      </c>
      <c r="P795" t="s">
        <v>47</v>
      </c>
      <c r="Q795">
        <v>0</v>
      </c>
      <c r="R795" t="s">
        <v>47</v>
      </c>
      <c r="S795">
        <v>0</v>
      </c>
      <c r="T795" t="s">
        <v>47</v>
      </c>
    </row>
    <row r="796" spans="1:20" x14ac:dyDescent="0.35">
      <c r="A796" s="1" t="s">
        <v>2035</v>
      </c>
      <c r="B796" t="s">
        <v>14</v>
      </c>
      <c r="C796" t="s">
        <v>47</v>
      </c>
      <c r="D796" t="s">
        <v>1381</v>
      </c>
      <c r="E796">
        <v>0</v>
      </c>
      <c r="F796" t="s">
        <v>47</v>
      </c>
      <c r="G796">
        <v>1</v>
      </c>
      <c r="H796" t="s">
        <v>45</v>
      </c>
      <c r="I796">
        <v>0</v>
      </c>
      <c r="J796" t="s">
        <v>47</v>
      </c>
      <c r="K796">
        <v>0</v>
      </c>
      <c r="L796" t="s">
        <v>47</v>
      </c>
      <c r="M796">
        <v>0</v>
      </c>
      <c r="N796" t="s">
        <v>47</v>
      </c>
      <c r="O796">
        <v>1</v>
      </c>
      <c r="P796" t="s">
        <v>45</v>
      </c>
      <c r="Q796">
        <v>0</v>
      </c>
      <c r="R796" t="s">
        <v>47</v>
      </c>
      <c r="S796">
        <v>0</v>
      </c>
      <c r="T796" t="s">
        <v>47</v>
      </c>
    </row>
    <row r="797" spans="1:20" x14ac:dyDescent="0.35">
      <c r="A797" s="1" t="s">
        <v>2036</v>
      </c>
      <c r="B797" t="s">
        <v>16</v>
      </c>
      <c r="C797" t="s">
        <v>47</v>
      </c>
      <c r="D797" t="s">
        <v>1367</v>
      </c>
      <c r="E797">
        <v>0</v>
      </c>
      <c r="F797" t="s">
        <v>47</v>
      </c>
      <c r="G797">
        <v>1</v>
      </c>
      <c r="H797" t="s">
        <v>45</v>
      </c>
      <c r="I797">
        <v>0</v>
      </c>
      <c r="J797" t="s">
        <v>47</v>
      </c>
      <c r="K797">
        <v>0</v>
      </c>
      <c r="L797" t="s">
        <v>47</v>
      </c>
      <c r="M797">
        <v>0</v>
      </c>
      <c r="N797" t="s">
        <v>47</v>
      </c>
      <c r="O797">
        <v>0</v>
      </c>
      <c r="P797" t="s">
        <v>47</v>
      </c>
      <c r="Q797">
        <v>0</v>
      </c>
      <c r="R797" t="s">
        <v>47</v>
      </c>
      <c r="S797">
        <v>0</v>
      </c>
      <c r="T797" t="s">
        <v>47</v>
      </c>
    </row>
    <row r="798" spans="1:20" x14ac:dyDescent="0.35">
      <c r="A798" s="1" t="s">
        <v>2037</v>
      </c>
      <c r="B798" t="s">
        <v>16</v>
      </c>
      <c r="C798" t="s">
        <v>47</v>
      </c>
      <c r="D798" t="s">
        <v>1382</v>
      </c>
      <c r="E798">
        <v>0</v>
      </c>
      <c r="F798" t="s">
        <v>47</v>
      </c>
      <c r="G798">
        <v>1</v>
      </c>
      <c r="H798" t="s">
        <v>45</v>
      </c>
      <c r="I798">
        <v>0</v>
      </c>
      <c r="J798" t="s">
        <v>47</v>
      </c>
      <c r="K798">
        <v>0</v>
      </c>
      <c r="L798" t="s">
        <v>47</v>
      </c>
      <c r="M798">
        <v>0</v>
      </c>
      <c r="N798" t="s">
        <v>47</v>
      </c>
      <c r="O798">
        <v>1</v>
      </c>
      <c r="P798" t="s">
        <v>45</v>
      </c>
      <c r="Q798">
        <v>0</v>
      </c>
      <c r="R798" t="s">
        <v>47</v>
      </c>
      <c r="S798">
        <v>0</v>
      </c>
      <c r="T798" t="s">
        <v>47</v>
      </c>
    </row>
    <row r="799" spans="1:20" x14ac:dyDescent="0.35">
      <c r="A799" s="1" t="s">
        <v>2038</v>
      </c>
      <c r="B799" t="s">
        <v>16</v>
      </c>
      <c r="C799" t="s">
        <v>47</v>
      </c>
      <c r="D799" t="s">
        <v>1383</v>
      </c>
      <c r="E799">
        <v>0</v>
      </c>
      <c r="F799" t="s">
        <v>47</v>
      </c>
      <c r="G799">
        <v>1</v>
      </c>
      <c r="H799" t="s">
        <v>45</v>
      </c>
      <c r="I799">
        <v>0</v>
      </c>
      <c r="J799" t="s">
        <v>47</v>
      </c>
      <c r="K799">
        <v>0</v>
      </c>
      <c r="L799" t="s">
        <v>47</v>
      </c>
      <c r="M799">
        <v>0</v>
      </c>
      <c r="N799" t="s">
        <v>47</v>
      </c>
      <c r="O799">
        <v>0</v>
      </c>
      <c r="P799" t="s">
        <v>47</v>
      </c>
      <c r="Q799">
        <v>0</v>
      </c>
      <c r="R799" t="s">
        <v>47</v>
      </c>
      <c r="S799">
        <v>0</v>
      </c>
      <c r="T799" t="s">
        <v>47</v>
      </c>
    </row>
    <row r="800" spans="1:20" x14ac:dyDescent="0.35">
      <c r="A800" s="1" t="s">
        <v>2039</v>
      </c>
      <c r="B800" t="s">
        <v>16</v>
      </c>
      <c r="C800" t="s">
        <v>47</v>
      </c>
      <c r="D800" t="s">
        <v>1384</v>
      </c>
      <c r="E800">
        <v>1</v>
      </c>
      <c r="F800" t="s">
        <v>45</v>
      </c>
      <c r="G800">
        <v>1</v>
      </c>
      <c r="H800" t="s">
        <v>45</v>
      </c>
      <c r="I800">
        <v>0</v>
      </c>
      <c r="J800" t="s">
        <v>47</v>
      </c>
      <c r="K800">
        <v>0</v>
      </c>
      <c r="L800" t="s">
        <v>47</v>
      </c>
      <c r="M800">
        <v>0</v>
      </c>
      <c r="N800" t="s">
        <v>47</v>
      </c>
      <c r="O800">
        <v>0</v>
      </c>
      <c r="P800" t="s">
        <v>47</v>
      </c>
      <c r="Q800">
        <v>0</v>
      </c>
      <c r="R800" t="s">
        <v>47</v>
      </c>
      <c r="S800">
        <v>0</v>
      </c>
      <c r="T800" t="s">
        <v>47</v>
      </c>
    </row>
    <row r="801" spans="1:20" x14ac:dyDescent="0.35">
      <c r="A801" s="1" t="s">
        <v>2040</v>
      </c>
      <c r="B801" t="s">
        <v>14</v>
      </c>
      <c r="C801" t="s">
        <v>47</v>
      </c>
      <c r="D801" t="s">
        <v>1385</v>
      </c>
      <c r="E801">
        <v>1</v>
      </c>
      <c r="F801" t="s">
        <v>45</v>
      </c>
      <c r="G801">
        <v>1</v>
      </c>
      <c r="H801" t="s">
        <v>45</v>
      </c>
      <c r="I801">
        <v>0</v>
      </c>
      <c r="J801" t="s">
        <v>47</v>
      </c>
      <c r="K801">
        <v>0</v>
      </c>
      <c r="L801" t="s">
        <v>47</v>
      </c>
      <c r="M801">
        <v>0</v>
      </c>
      <c r="N801" t="s">
        <v>47</v>
      </c>
      <c r="O801">
        <v>0</v>
      </c>
      <c r="P801" t="s">
        <v>47</v>
      </c>
      <c r="Q801">
        <v>0</v>
      </c>
      <c r="R801" t="s">
        <v>47</v>
      </c>
      <c r="S801">
        <v>0</v>
      </c>
      <c r="T801" t="s">
        <v>47</v>
      </c>
    </row>
    <row r="802" spans="1:20" x14ac:dyDescent="0.35">
      <c r="A802" s="1" t="s">
        <v>2041</v>
      </c>
      <c r="B802" t="s">
        <v>14</v>
      </c>
      <c r="C802" t="s">
        <v>47</v>
      </c>
      <c r="D802" t="s">
        <v>1386</v>
      </c>
      <c r="E802">
        <v>0</v>
      </c>
      <c r="F802" t="s">
        <v>47</v>
      </c>
      <c r="G802">
        <v>1</v>
      </c>
      <c r="H802" t="s">
        <v>45</v>
      </c>
      <c r="I802">
        <v>0</v>
      </c>
      <c r="J802" t="s">
        <v>47</v>
      </c>
      <c r="K802">
        <v>0</v>
      </c>
      <c r="L802" t="s">
        <v>47</v>
      </c>
      <c r="M802">
        <v>0</v>
      </c>
      <c r="N802" t="s">
        <v>47</v>
      </c>
      <c r="O802">
        <v>1</v>
      </c>
      <c r="P802" t="s">
        <v>45</v>
      </c>
      <c r="Q802">
        <v>1</v>
      </c>
      <c r="R802" t="s">
        <v>45</v>
      </c>
      <c r="S802">
        <v>0</v>
      </c>
      <c r="T802" t="s">
        <v>47</v>
      </c>
    </row>
    <row r="803" spans="1:20" x14ac:dyDescent="0.35">
      <c r="A803" s="1" t="s">
        <v>2042</v>
      </c>
      <c r="B803" t="s">
        <v>14</v>
      </c>
      <c r="C803" t="s">
        <v>47</v>
      </c>
      <c r="D803" t="s">
        <v>1387</v>
      </c>
      <c r="E803">
        <v>1</v>
      </c>
      <c r="F803" t="s">
        <v>45</v>
      </c>
      <c r="G803">
        <v>1</v>
      </c>
      <c r="H803" t="s">
        <v>45</v>
      </c>
      <c r="I803">
        <v>0</v>
      </c>
      <c r="J803" t="s">
        <v>47</v>
      </c>
      <c r="K803">
        <v>0</v>
      </c>
      <c r="L803" t="s">
        <v>47</v>
      </c>
      <c r="M803">
        <v>0</v>
      </c>
      <c r="N803" t="s">
        <v>47</v>
      </c>
      <c r="O803">
        <v>0</v>
      </c>
      <c r="P803" t="s">
        <v>47</v>
      </c>
      <c r="Q803">
        <v>1</v>
      </c>
      <c r="R803" t="s">
        <v>45</v>
      </c>
      <c r="S803">
        <v>0</v>
      </c>
      <c r="T803" t="s">
        <v>47</v>
      </c>
    </row>
    <row r="804" spans="1:20" x14ac:dyDescent="0.35">
      <c r="A804" s="1" t="s">
        <v>2043</v>
      </c>
      <c r="B804" t="s">
        <v>14</v>
      </c>
      <c r="C804" t="s">
        <v>47</v>
      </c>
      <c r="D804" t="s">
        <v>1388</v>
      </c>
      <c r="E804">
        <v>1</v>
      </c>
      <c r="F804" t="s">
        <v>45</v>
      </c>
      <c r="G804">
        <v>0</v>
      </c>
      <c r="H804" t="s">
        <v>47</v>
      </c>
      <c r="I804">
        <v>0</v>
      </c>
      <c r="J804" t="s">
        <v>47</v>
      </c>
      <c r="K804">
        <v>0</v>
      </c>
      <c r="L804" t="s">
        <v>47</v>
      </c>
      <c r="M804">
        <v>0</v>
      </c>
      <c r="N804" t="s">
        <v>47</v>
      </c>
      <c r="O804">
        <v>0</v>
      </c>
      <c r="P804" t="s">
        <v>47</v>
      </c>
      <c r="Q804">
        <v>0</v>
      </c>
      <c r="R804" t="s">
        <v>47</v>
      </c>
      <c r="S804">
        <v>0</v>
      </c>
      <c r="T804" t="s">
        <v>47</v>
      </c>
    </row>
    <row r="805" spans="1:20" x14ac:dyDescent="0.35">
      <c r="A805" s="1" t="s">
        <v>2044</v>
      </c>
      <c r="B805" t="s">
        <v>14</v>
      </c>
      <c r="C805" t="s">
        <v>47</v>
      </c>
      <c r="D805" t="s">
        <v>1389</v>
      </c>
      <c r="E805">
        <v>0</v>
      </c>
      <c r="F805" t="s">
        <v>47</v>
      </c>
      <c r="G805">
        <v>1</v>
      </c>
      <c r="H805" t="s">
        <v>45</v>
      </c>
      <c r="I805">
        <v>0</v>
      </c>
      <c r="J805" t="s">
        <v>47</v>
      </c>
      <c r="K805">
        <v>0</v>
      </c>
      <c r="L805" t="s">
        <v>47</v>
      </c>
      <c r="M805">
        <v>0</v>
      </c>
      <c r="N805" t="s">
        <v>47</v>
      </c>
      <c r="O805">
        <v>0</v>
      </c>
      <c r="P805" t="s">
        <v>47</v>
      </c>
      <c r="Q805">
        <v>0</v>
      </c>
      <c r="R805" t="s">
        <v>47</v>
      </c>
      <c r="S805">
        <v>0</v>
      </c>
      <c r="T805" t="s">
        <v>47</v>
      </c>
    </row>
    <row r="806" spans="1:20" x14ac:dyDescent="0.35">
      <c r="A806" s="1" t="s">
        <v>2045</v>
      </c>
      <c r="B806" t="s">
        <v>16</v>
      </c>
      <c r="C806" t="s">
        <v>47</v>
      </c>
      <c r="D806" t="s">
        <v>1390</v>
      </c>
      <c r="E806">
        <v>1</v>
      </c>
      <c r="F806" t="s">
        <v>45</v>
      </c>
      <c r="G806">
        <v>1</v>
      </c>
      <c r="H806" t="s">
        <v>45</v>
      </c>
      <c r="I806">
        <v>0</v>
      </c>
      <c r="J806" t="s">
        <v>47</v>
      </c>
      <c r="K806">
        <v>0</v>
      </c>
      <c r="L806" t="s">
        <v>47</v>
      </c>
      <c r="M806">
        <v>0</v>
      </c>
      <c r="N806" t="s">
        <v>47</v>
      </c>
      <c r="O806">
        <v>0</v>
      </c>
      <c r="P806" t="s">
        <v>47</v>
      </c>
      <c r="Q806">
        <v>1</v>
      </c>
      <c r="R806" t="s">
        <v>45</v>
      </c>
      <c r="S806">
        <v>0</v>
      </c>
      <c r="T806" t="s">
        <v>47</v>
      </c>
    </row>
    <row r="807" spans="1:20" x14ac:dyDescent="0.35">
      <c r="A807" s="1" t="s">
        <v>2046</v>
      </c>
      <c r="B807" t="s">
        <v>14</v>
      </c>
      <c r="C807" t="s">
        <v>47</v>
      </c>
      <c r="D807" t="s">
        <v>1391</v>
      </c>
      <c r="E807">
        <v>0</v>
      </c>
      <c r="F807" t="s">
        <v>47</v>
      </c>
      <c r="G807">
        <v>1</v>
      </c>
      <c r="H807" t="s">
        <v>45</v>
      </c>
      <c r="I807">
        <v>0</v>
      </c>
      <c r="J807" t="s">
        <v>47</v>
      </c>
      <c r="K807">
        <v>0</v>
      </c>
      <c r="L807" t="s">
        <v>47</v>
      </c>
      <c r="M807">
        <v>0</v>
      </c>
      <c r="N807" t="s">
        <v>47</v>
      </c>
      <c r="O807">
        <v>1</v>
      </c>
      <c r="P807" t="s">
        <v>45</v>
      </c>
      <c r="Q807">
        <v>0</v>
      </c>
      <c r="R807" t="s">
        <v>47</v>
      </c>
      <c r="S807">
        <v>0</v>
      </c>
      <c r="T807" t="s">
        <v>47</v>
      </c>
    </row>
    <row r="808" spans="1:20" x14ac:dyDescent="0.35">
      <c r="A808" s="1" t="s">
        <v>2047</v>
      </c>
      <c r="B808" t="s">
        <v>16</v>
      </c>
      <c r="C808" t="s">
        <v>47</v>
      </c>
      <c r="D808" t="s">
        <v>1392</v>
      </c>
      <c r="E808">
        <v>0</v>
      </c>
      <c r="F808" t="s">
        <v>47</v>
      </c>
      <c r="G808">
        <v>1</v>
      </c>
      <c r="H808" t="s">
        <v>45</v>
      </c>
      <c r="I808">
        <v>0</v>
      </c>
      <c r="J808" t="s">
        <v>47</v>
      </c>
      <c r="K808">
        <v>0</v>
      </c>
      <c r="L808" t="s">
        <v>47</v>
      </c>
      <c r="M808">
        <v>0</v>
      </c>
      <c r="N808" t="s">
        <v>47</v>
      </c>
      <c r="O808">
        <v>0</v>
      </c>
      <c r="P808" t="s">
        <v>47</v>
      </c>
      <c r="Q808">
        <v>0</v>
      </c>
      <c r="R808" t="s">
        <v>47</v>
      </c>
      <c r="S808">
        <v>0</v>
      </c>
      <c r="T808" t="s">
        <v>47</v>
      </c>
    </row>
    <row r="809" spans="1:20" x14ac:dyDescent="0.35">
      <c r="A809" s="1" t="s">
        <v>2048</v>
      </c>
      <c r="B809" t="s">
        <v>14</v>
      </c>
      <c r="C809" t="s">
        <v>47</v>
      </c>
      <c r="D809" t="s">
        <v>1393</v>
      </c>
      <c r="E809">
        <v>1</v>
      </c>
      <c r="F809" t="s">
        <v>45</v>
      </c>
      <c r="G809">
        <v>1</v>
      </c>
      <c r="H809" t="s">
        <v>45</v>
      </c>
      <c r="I809">
        <v>0</v>
      </c>
      <c r="J809" t="s">
        <v>47</v>
      </c>
      <c r="K809">
        <v>0</v>
      </c>
      <c r="L809" t="s">
        <v>47</v>
      </c>
      <c r="M809">
        <v>0</v>
      </c>
      <c r="N809" t="s">
        <v>47</v>
      </c>
      <c r="O809">
        <v>0</v>
      </c>
      <c r="P809" t="s">
        <v>47</v>
      </c>
      <c r="Q809">
        <v>0</v>
      </c>
      <c r="R809" t="s">
        <v>47</v>
      </c>
      <c r="S809">
        <v>0</v>
      </c>
      <c r="T809" t="s">
        <v>47</v>
      </c>
    </row>
    <row r="810" spans="1:20" x14ac:dyDescent="0.35">
      <c r="A810" s="1" t="s">
        <v>2049</v>
      </c>
      <c r="B810" t="s">
        <v>14</v>
      </c>
      <c r="C810" t="s">
        <v>47</v>
      </c>
      <c r="D810" t="s">
        <v>1394</v>
      </c>
      <c r="E810">
        <v>0</v>
      </c>
      <c r="F810" t="s">
        <v>47</v>
      </c>
      <c r="G810">
        <v>1</v>
      </c>
      <c r="H810" t="s">
        <v>45</v>
      </c>
      <c r="I810">
        <v>0</v>
      </c>
      <c r="J810" t="s">
        <v>47</v>
      </c>
      <c r="K810">
        <v>0</v>
      </c>
      <c r="L810" t="s">
        <v>47</v>
      </c>
      <c r="M810">
        <v>0</v>
      </c>
      <c r="N810" t="s">
        <v>47</v>
      </c>
      <c r="O810">
        <v>0</v>
      </c>
      <c r="P810" t="s">
        <v>47</v>
      </c>
      <c r="Q810">
        <v>0</v>
      </c>
      <c r="R810" t="s">
        <v>47</v>
      </c>
      <c r="S810">
        <v>0</v>
      </c>
      <c r="T810" t="s">
        <v>47</v>
      </c>
    </row>
    <row r="811" spans="1:20" x14ac:dyDescent="0.35">
      <c r="A811" s="1" t="s">
        <v>2050</v>
      </c>
      <c r="B811" t="s">
        <v>16</v>
      </c>
      <c r="C811" t="s">
        <v>47</v>
      </c>
      <c r="D811" t="s">
        <v>1395</v>
      </c>
      <c r="E811">
        <v>1</v>
      </c>
      <c r="F811" t="s">
        <v>45</v>
      </c>
      <c r="G811">
        <v>1</v>
      </c>
      <c r="H811" t="s">
        <v>45</v>
      </c>
      <c r="I811">
        <v>0</v>
      </c>
      <c r="J811" t="s">
        <v>47</v>
      </c>
      <c r="K811">
        <v>0</v>
      </c>
      <c r="L811" t="s">
        <v>47</v>
      </c>
      <c r="M811">
        <v>0</v>
      </c>
      <c r="N811" t="s">
        <v>47</v>
      </c>
      <c r="O811">
        <v>0</v>
      </c>
      <c r="P811" t="s">
        <v>47</v>
      </c>
      <c r="Q811">
        <v>0</v>
      </c>
      <c r="R811" t="s">
        <v>47</v>
      </c>
      <c r="S811">
        <v>0</v>
      </c>
      <c r="T811" t="s">
        <v>47</v>
      </c>
    </row>
    <row r="812" spans="1:20" x14ac:dyDescent="0.35">
      <c r="A812" s="1" t="s">
        <v>2051</v>
      </c>
      <c r="B812" t="s">
        <v>14</v>
      </c>
      <c r="C812" t="s">
        <v>47</v>
      </c>
      <c r="D812" t="s">
        <v>1397</v>
      </c>
      <c r="E812">
        <v>1</v>
      </c>
      <c r="F812" t="s">
        <v>45</v>
      </c>
      <c r="G812">
        <v>1</v>
      </c>
      <c r="H812" t="s">
        <v>45</v>
      </c>
      <c r="I812">
        <v>0</v>
      </c>
      <c r="J812" t="s">
        <v>47</v>
      </c>
      <c r="K812">
        <v>0</v>
      </c>
      <c r="L812" t="s">
        <v>47</v>
      </c>
      <c r="M812">
        <v>0</v>
      </c>
      <c r="N812" t="s">
        <v>47</v>
      </c>
      <c r="O812">
        <v>0</v>
      </c>
      <c r="P812" t="s">
        <v>47</v>
      </c>
      <c r="Q812">
        <v>1</v>
      </c>
      <c r="R812" t="s">
        <v>45</v>
      </c>
      <c r="S812">
        <v>0</v>
      </c>
      <c r="T812" t="s">
        <v>47</v>
      </c>
    </row>
    <row r="813" spans="1:20" x14ac:dyDescent="0.35">
      <c r="A813" s="1" t="s">
        <v>2052</v>
      </c>
      <c r="B813" t="s">
        <v>16</v>
      </c>
      <c r="C813" t="s">
        <v>47</v>
      </c>
      <c r="D813" t="s">
        <v>1398</v>
      </c>
      <c r="E813">
        <v>1</v>
      </c>
      <c r="F813" t="s">
        <v>45</v>
      </c>
      <c r="G813">
        <v>1</v>
      </c>
      <c r="H813" t="s">
        <v>45</v>
      </c>
      <c r="I813">
        <v>0</v>
      </c>
      <c r="J813" t="s">
        <v>47</v>
      </c>
      <c r="K813">
        <v>0</v>
      </c>
      <c r="L813" t="s">
        <v>47</v>
      </c>
      <c r="M813">
        <v>0</v>
      </c>
      <c r="N813" t="s">
        <v>47</v>
      </c>
      <c r="O813">
        <v>0</v>
      </c>
      <c r="P813" t="s">
        <v>47</v>
      </c>
      <c r="Q813">
        <v>0</v>
      </c>
      <c r="R813" t="s">
        <v>47</v>
      </c>
      <c r="S813">
        <v>0</v>
      </c>
      <c r="T813" t="s">
        <v>47</v>
      </c>
    </row>
    <row r="814" spans="1:20" x14ac:dyDescent="0.35">
      <c r="A814" s="1" t="s">
        <v>2053</v>
      </c>
      <c r="B814" t="s">
        <v>16</v>
      </c>
      <c r="C814" t="s">
        <v>47</v>
      </c>
      <c r="D814" t="s">
        <v>1399</v>
      </c>
      <c r="E814">
        <v>1</v>
      </c>
      <c r="F814" t="s">
        <v>45</v>
      </c>
      <c r="G814">
        <v>1</v>
      </c>
      <c r="H814" t="s">
        <v>45</v>
      </c>
      <c r="I814">
        <v>0</v>
      </c>
      <c r="J814" t="s">
        <v>47</v>
      </c>
      <c r="K814">
        <v>0</v>
      </c>
      <c r="L814" t="s">
        <v>47</v>
      </c>
      <c r="M814">
        <v>0</v>
      </c>
      <c r="N814" t="s">
        <v>47</v>
      </c>
      <c r="O814">
        <v>0</v>
      </c>
      <c r="P814" t="s">
        <v>47</v>
      </c>
      <c r="Q814">
        <v>1</v>
      </c>
      <c r="R814" t="s">
        <v>55</v>
      </c>
      <c r="S814">
        <v>0</v>
      </c>
      <c r="T814" t="s">
        <v>47</v>
      </c>
    </row>
    <row r="815" spans="1:20" x14ac:dyDescent="0.35">
      <c r="A815" s="1" t="s">
        <v>2054</v>
      </c>
      <c r="B815" t="s">
        <v>14</v>
      </c>
      <c r="C815" t="s">
        <v>47</v>
      </c>
      <c r="D815" t="s">
        <v>1400</v>
      </c>
      <c r="E815">
        <v>0</v>
      </c>
      <c r="F815" t="s">
        <v>47</v>
      </c>
      <c r="G815">
        <v>0</v>
      </c>
      <c r="H815" t="s">
        <v>47</v>
      </c>
      <c r="I815">
        <v>0</v>
      </c>
      <c r="J815" t="s">
        <v>47</v>
      </c>
      <c r="K815">
        <v>0</v>
      </c>
      <c r="L815" t="s">
        <v>47</v>
      </c>
      <c r="M815">
        <v>0</v>
      </c>
      <c r="N815" t="s">
        <v>47</v>
      </c>
      <c r="O815">
        <v>0</v>
      </c>
      <c r="P815" t="s">
        <v>47</v>
      </c>
      <c r="Q815">
        <v>1</v>
      </c>
      <c r="R815" t="s">
        <v>45</v>
      </c>
      <c r="S815">
        <v>0</v>
      </c>
      <c r="T815" t="s">
        <v>47</v>
      </c>
    </row>
    <row r="816" spans="1:20" x14ac:dyDescent="0.35">
      <c r="A816" s="1" t="s">
        <v>2055</v>
      </c>
      <c r="B816" t="s">
        <v>14</v>
      </c>
      <c r="C816" t="s">
        <v>47</v>
      </c>
      <c r="D816" t="s">
        <v>1401</v>
      </c>
      <c r="E816">
        <v>1</v>
      </c>
      <c r="F816" t="s">
        <v>45</v>
      </c>
      <c r="G816">
        <v>0</v>
      </c>
      <c r="H816" t="s">
        <v>47</v>
      </c>
      <c r="I816">
        <v>0</v>
      </c>
      <c r="J816" t="s">
        <v>47</v>
      </c>
      <c r="K816">
        <v>0</v>
      </c>
      <c r="L816" t="s">
        <v>47</v>
      </c>
      <c r="M816">
        <v>0</v>
      </c>
      <c r="N816" t="s">
        <v>47</v>
      </c>
      <c r="O816">
        <v>0</v>
      </c>
      <c r="P816" t="s">
        <v>47</v>
      </c>
      <c r="Q816">
        <v>0</v>
      </c>
      <c r="R816" t="s">
        <v>47</v>
      </c>
      <c r="S816">
        <v>0</v>
      </c>
      <c r="T816" t="s">
        <v>47</v>
      </c>
    </row>
    <row r="817" spans="1:20" x14ac:dyDescent="0.35">
      <c r="A817" s="1" t="s">
        <v>2056</v>
      </c>
      <c r="B817" t="s">
        <v>16</v>
      </c>
      <c r="C817" t="s">
        <v>47</v>
      </c>
      <c r="D817" t="s">
        <v>1402</v>
      </c>
      <c r="E817">
        <v>1</v>
      </c>
      <c r="F817" t="s">
        <v>45</v>
      </c>
      <c r="G817">
        <v>1</v>
      </c>
      <c r="H817" t="s">
        <v>45</v>
      </c>
      <c r="I817">
        <v>0</v>
      </c>
      <c r="J817" t="s">
        <v>47</v>
      </c>
      <c r="K817">
        <v>0</v>
      </c>
      <c r="L817" t="s">
        <v>47</v>
      </c>
      <c r="M817">
        <v>0</v>
      </c>
      <c r="N817" t="s">
        <v>47</v>
      </c>
      <c r="O817">
        <v>0</v>
      </c>
      <c r="P817" t="s">
        <v>47</v>
      </c>
      <c r="Q817">
        <v>0</v>
      </c>
      <c r="R817" t="s">
        <v>47</v>
      </c>
      <c r="S817">
        <v>0</v>
      </c>
      <c r="T817" t="s">
        <v>47</v>
      </c>
    </row>
    <row r="818" spans="1:20" x14ac:dyDescent="0.35">
      <c r="A818" s="1" t="s">
        <v>2057</v>
      </c>
      <c r="B818" t="s">
        <v>14</v>
      </c>
      <c r="C818" t="s">
        <v>47</v>
      </c>
      <c r="D818" t="s">
        <v>1403</v>
      </c>
      <c r="E818">
        <v>1</v>
      </c>
      <c r="F818" t="s">
        <v>45</v>
      </c>
      <c r="G818">
        <v>1</v>
      </c>
      <c r="H818" t="s">
        <v>45</v>
      </c>
      <c r="I818">
        <v>0</v>
      </c>
      <c r="J818" t="s">
        <v>47</v>
      </c>
      <c r="K818">
        <v>0</v>
      </c>
      <c r="L818" t="s">
        <v>47</v>
      </c>
      <c r="M818">
        <v>0</v>
      </c>
      <c r="N818" t="s">
        <v>47</v>
      </c>
      <c r="O818">
        <v>0</v>
      </c>
      <c r="P818" t="s">
        <v>47</v>
      </c>
      <c r="Q818">
        <v>1</v>
      </c>
      <c r="R818" t="s">
        <v>45</v>
      </c>
      <c r="S818">
        <v>0</v>
      </c>
      <c r="T818" t="s">
        <v>47</v>
      </c>
    </row>
    <row r="819" spans="1:20" x14ac:dyDescent="0.35">
      <c r="A819" s="1" t="s">
        <v>2058</v>
      </c>
      <c r="B819" t="s">
        <v>16</v>
      </c>
      <c r="C819" t="s">
        <v>47</v>
      </c>
      <c r="D819" t="s">
        <v>1404</v>
      </c>
      <c r="E819">
        <v>1</v>
      </c>
      <c r="F819" t="s">
        <v>45</v>
      </c>
      <c r="G819">
        <v>1</v>
      </c>
      <c r="H819" t="s">
        <v>45</v>
      </c>
      <c r="I819">
        <v>0</v>
      </c>
      <c r="J819" t="s">
        <v>47</v>
      </c>
      <c r="K819">
        <v>0</v>
      </c>
      <c r="L819" t="s">
        <v>47</v>
      </c>
      <c r="M819">
        <v>0</v>
      </c>
      <c r="N819" t="s">
        <v>47</v>
      </c>
      <c r="O819">
        <v>0</v>
      </c>
      <c r="P819" t="s">
        <v>47</v>
      </c>
      <c r="Q819">
        <v>1</v>
      </c>
      <c r="R819" t="s">
        <v>45</v>
      </c>
      <c r="S819">
        <v>0</v>
      </c>
      <c r="T819" t="s">
        <v>47</v>
      </c>
    </row>
    <row r="820" spans="1:20" x14ac:dyDescent="0.35">
      <c r="A820" s="1" t="s">
        <v>2059</v>
      </c>
      <c r="B820" t="s">
        <v>14</v>
      </c>
      <c r="C820" t="s">
        <v>47</v>
      </c>
      <c r="D820" t="s">
        <v>1405</v>
      </c>
      <c r="E820">
        <v>1</v>
      </c>
      <c r="F820" t="s">
        <v>45</v>
      </c>
      <c r="G820">
        <v>1</v>
      </c>
      <c r="H820" t="s">
        <v>45</v>
      </c>
      <c r="I820">
        <v>0</v>
      </c>
      <c r="J820" t="s">
        <v>47</v>
      </c>
      <c r="K820">
        <v>0</v>
      </c>
      <c r="L820" t="s">
        <v>47</v>
      </c>
      <c r="M820">
        <v>0</v>
      </c>
      <c r="N820" t="s">
        <v>47</v>
      </c>
      <c r="O820">
        <v>0</v>
      </c>
      <c r="P820" t="s">
        <v>47</v>
      </c>
      <c r="Q820">
        <v>0</v>
      </c>
      <c r="R820" t="s">
        <v>47</v>
      </c>
      <c r="S820">
        <v>0</v>
      </c>
      <c r="T820" t="s">
        <v>47</v>
      </c>
    </row>
    <row r="821" spans="1:20" x14ac:dyDescent="0.35">
      <c r="A821" s="1" t="s">
        <v>2060</v>
      </c>
      <c r="B821" t="s">
        <v>14</v>
      </c>
      <c r="C821" t="s">
        <v>47</v>
      </c>
      <c r="D821" t="s">
        <v>1406</v>
      </c>
      <c r="E821">
        <v>1</v>
      </c>
      <c r="F821" t="s">
        <v>45</v>
      </c>
      <c r="G821">
        <v>1</v>
      </c>
      <c r="H821" t="s">
        <v>45</v>
      </c>
      <c r="I821">
        <v>0</v>
      </c>
      <c r="J821" t="s">
        <v>47</v>
      </c>
      <c r="K821">
        <v>0</v>
      </c>
      <c r="L821" t="s">
        <v>47</v>
      </c>
      <c r="M821">
        <v>0</v>
      </c>
      <c r="N821" t="s">
        <v>47</v>
      </c>
      <c r="O821">
        <v>0</v>
      </c>
      <c r="P821" t="s">
        <v>47</v>
      </c>
      <c r="Q821">
        <v>0</v>
      </c>
      <c r="R821" t="s">
        <v>47</v>
      </c>
      <c r="S821">
        <v>0</v>
      </c>
      <c r="T821" t="s">
        <v>47</v>
      </c>
    </row>
    <row r="822" spans="1:20" ht="14" customHeight="1" x14ac:dyDescent="0.35">
      <c r="A822" s="1" t="s">
        <v>2061</v>
      </c>
      <c r="B822" t="s">
        <v>16</v>
      </c>
      <c r="C822" t="s">
        <v>47</v>
      </c>
      <c r="D822" t="s">
        <v>1396</v>
      </c>
      <c r="E822">
        <v>0</v>
      </c>
      <c r="F822" t="s">
        <v>47</v>
      </c>
      <c r="G822">
        <v>0</v>
      </c>
      <c r="H822" t="s">
        <v>47</v>
      </c>
      <c r="I822">
        <v>0</v>
      </c>
      <c r="J822" t="s">
        <v>47</v>
      </c>
      <c r="K822">
        <v>0</v>
      </c>
      <c r="L822" t="s">
        <v>47</v>
      </c>
      <c r="M822">
        <v>0</v>
      </c>
      <c r="N822" t="s">
        <v>47</v>
      </c>
      <c r="O822">
        <v>0</v>
      </c>
      <c r="P822" t="s">
        <v>47</v>
      </c>
      <c r="Q822">
        <v>1</v>
      </c>
      <c r="R822" t="s">
        <v>45</v>
      </c>
      <c r="S822">
        <v>0</v>
      </c>
      <c r="T822" t="s">
        <v>47</v>
      </c>
    </row>
    <row r="823" spans="1:20" x14ac:dyDescent="0.35">
      <c r="A823" s="1" t="s">
        <v>2062</v>
      </c>
      <c r="B823" t="s">
        <v>16</v>
      </c>
      <c r="C823" t="s">
        <v>47</v>
      </c>
      <c r="D823" t="s">
        <v>1407</v>
      </c>
      <c r="E823">
        <v>1</v>
      </c>
      <c r="F823" t="s">
        <v>45</v>
      </c>
      <c r="G823">
        <v>1</v>
      </c>
      <c r="H823" t="s">
        <v>45</v>
      </c>
      <c r="I823">
        <v>0</v>
      </c>
      <c r="J823" t="s">
        <v>47</v>
      </c>
      <c r="K823">
        <v>0</v>
      </c>
      <c r="L823" t="s">
        <v>47</v>
      </c>
      <c r="M823">
        <v>0</v>
      </c>
      <c r="N823" t="s">
        <v>47</v>
      </c>
      <c r="O823">
        <v>0</v>
      </c>
      <c r="P823" t="s">
        <v>47</v>
      </c>
      <c r="Q823">
        <v>0</v>
      </c>
      <c r="R823" t="s">
        <v>47</v>
      </c>
      <c r="S823">
        <v>0</v>
      </c>
      <c r="T823" t="s">
        <v>47</v>
      </c>
    </row>
    <row r="824" spans="1:20" x14ac:dyDescent="0.35">
      <c r="A824" s="1" t="s">
        <v>2063</v>
      </c>
      <c r="B824" t="s">
        <v>16</v>
      </c>
      <c r="C824" t="s">
        <v>47</v>
      </c>
      <c r="D824" t="s">
        <v>1408</v>
      </c>
      <c r="E824">
        <v>0</v>
      </c>
      <c r="F824" t="s">
        <v>47</v>
      </c>
      <c r="G824">
        <v>1</v>
      </c>
      <c r="H824" t="s">
        <v>45</v>
      </c>
      <c r="I824">
        <v>0</v>
      </c>
      <c r="J824" t="s">
        <v>47</v>
      </c>
      <c r="K824">
        <v>0</v>
      </c>
      <c r="L824" t="s">
        <v>47</v>
      </c>
      <c r="M824">
        <v>0</v>
      </c>
      <c r="N824" t="s">
        <v>47</v>
      </c>
      <c r="O824">
        <v>0</v>
      </c>
      <c r="P824" t="s">
        <v>47</v>
      </c>
      <c r="Q824">
        <v>1</v>
      </c>
      <c r="R824" t="s">
        <v>45</v>
      </c>
      <c r="S824">
        <v>0</v>
      </c>
      <c r="T824" t="s">
        <v>47</v>
      </c>
    </row>
    <row r="825" spans="1:20" x14ac:dyDescent="0.35">
      <c r="A825" s="1" t="s">
        <v>2064</v>
      </c>
      <c r="B825" t="s">
        <v>14</v>
      </c>
      <c r="C825" t="s">
        <v>47</v>
      </c>
      <c r="D825" t="s">
        <v>1409</v>
      </c>
      <c r="E825">
        <v>1</v>
      </c>
      <c r="F825" t="s">
        <v>45</v>
      </c>
      <c r="G825">
        <v>1</v>
      </c>
      <c r="H825" t="s">
        <v>45</v>
      </c>
      <c r="I825">
        <v>0</v>
      </c>
      <c r="J825" t="s">
        <v>47</v>
      </c>
      <c r="K825">
        <v>0</v>
      </c>
      <c r="L825" t="s">
        <v>47</v>
      </c>
      <c r="M825">
        <v>0</v>
      </c>
      <c r="N825" t="s">
        <v>47</v>
      </c>
      <c r="O825">
        <v>1</v>
      </c>
      <c r="P825" t="s">
        <v>45</v>
      </c>
      <c r="Q825">
        <v>0</v>
      </c>
      <c r="R825" t="s">
        <v>47</v>
      </c>
      <c r="S825">
        <v>0</v>
      </c>
      <c r="T825" t="s">
        <v>47</v>
      </c>
    </row>
    <row r="826" spans="1:20" x14ac:dyDescent="0.35">
      <c r="A826" s="1" t="s">
        <v>2065</v>
      </c>
      <c r="B826" t="s">
        <v>16</v>
      </c>
      <c r="C826" t="s">
        <v>47</v>
      </c>
      <c r="D826" t="s">
        <v>1410</v>
      </c>
      <c r="E826">
        <v>1</v>
      </c>
      <c r="F826" t="s">
        <v>45</v>
      </c>
      <c r="G826">
        <v>1</v>
      </c>
      <c r="H826" t="s">
        <v>45</v>
      </c>
      <c r="I826">
        <v>0</v>
      </c>
      <c r="J826" t="s">
        <v>47</v>
      </c>
      <c r="K826">
        <v>0</v>
      </c>
      <c r="L826" t="s">
        <v>47</v>
      </c>
      <c r="M826">
        <v>0</v>
      </c>
      <c r="N826" t="s">
        <v>47</v>
      </c>
      <c r="O826">
        <v>0</v>
      </c>
      <c r="P826" t="s">
        <v>47</v>
      </c>
      <c r="Q826">
        <v>0</v>
      </c>
      <c r="R826" t="s">
        <v>47</v>
      </c>
      <c r="S826">
        <v>0</v>
      </c>
      <c r="T826" t="s">
        <v>47</v>
      </c>
    </row>
    <row r="827" spans="1:20" x14ac:dyDescent="0.35">
      <c r="A827" s="1" t="s">
        <v>2066</v>
      </c>
      <c r="B827" t="s">
        <v>16</v>
      </c>
      <c r="C827" t="s">
        <v>47</v>
      </c>
      <c r="D827" t="s">
        <v>1411</v>
      </c>
      <c r="E827">
        <v>0</v>
      </c>
      <c r="F827" t="s">
        <v>47</v>
      </c>
      <c r="G827">
        <v>1</v>
      </c>
      <c r="H827" t="s">
        <v>45</v>
      </c>
      <c r="I827">
        <v>0</v>
      </c>
      <c r="J827" t="s">
        <v>47</v>
      </c>
      <c r="K827">
        <v>0</v>
      </c>
      <c r="L827" t="s">
        <v>47</v>
      </c>
      <c r="M827">
        <v>0</v>
      </c>
      <c r="N827" t="s">
        <v>47</v>
      </c>
      <c r="O827">
        <v>0</v>
      </c>
      <c r="P827" t="s">
        <v>47</v>
      </c>
      <c r="Q827">
        <v>1</v>
      </c>
      <c r="R827" t="s">
        <v>45</v>
      </c>
      <c r="S827">
        <v>0</v>
      </c>
      <c r="T827" t="s">
        <v>47</v>
      </c>
    </row>
    <row r="828" spans="1:20" x14ac:dyDescent="0.35">
      <c r="A828" s="1" t="s">
        <v>2067</v>
      </c>
      <c r="B828" t="s">
        <v>14</v>
      </c>
      <c r="C828" t="s">
        <v>47</v>
      </c>
      <c r="D828" t="s">
        <v>1412</v>
      </c>
      <c r="E828">
        <v>1</v>
      </c>
      <c r="F828" t="s">
        <v>45</v>
      </c>
      <c r="G828">
        <v>1</v>
      </c>
      <c r="H828" t="s">
        <v>45</v>
      </c>
      <c r="I828">
        <v>0</v>
      </c>
      <c r="J828" t="s">
        <v>47</v>
      </c>
      <c r="K828">
        <v>0</v>
      </c>
      <c r="L828" t="s">
        <v>47</v>
      </c>
      <c r="M828">
        <v>0</v>
      </c>
      <c r="N828" t="s">
        <v>47</v>
      </c>
      <c r="O828">
        <v>0</v>
      </c>
      <c r="P828" t="s">
        <v>47</v>
      </c>
      <c r="Q828">
        <v>0</v>
      </c>
      <c r="R828" t="s">
        <v>47</v>
      </c>
      <c r="S828">
        <v>0</v>
      </c>
      <c r="T828" t="s">
        <v>47</v>
      </c>
    </row>
    <row r="829" spans="1:20" x14ac:dyDescent="0.35">
      <c r="A829" s="1" t="s">
        <v>2068</v>
      </c>
      <c r="B829" t="s">
        <v>14</v>
      </c>
      <c r="C829" t="s">
        <v>47</v>
      </c>
      <c r="D829" t="s">
        <v>1413</v>
      </c>
      <c r="E829">
        <v>1</v>
      </c>
      <c r="F829" t="s">
        <v>45</v>
      </c>
      <c r="G829">
        <v>0</v>
      </c>
      <c r="H829" t="s">
        <v>47</v>
      </c>
      <c r="I829">
        <v>0</v>
      </c>
      <c r="J829" t="s">
        <v>47</v>
      </c>
      <c r="K829">
        <v>0</v>
      </c>
      <c r="L829" t="s">
        <v>47</v>
      </c>
      <c r="M829">
        <v>0</v>
      </c>
      <c r="N829" t="s">
        <v>47</v>
      </c>
      <c r="O829">
        <v>0</v>
      </c>
      <c r="P829" t="s">
        <v>47</v>
      </c>
      <c r="Q829">
        <v>0</v>
      </c>
      <c r="R829" t="s">
        <v>47</v>
      </c>
      <c r="S829">
        <v>0</v>
      </c>
      <c r="T829" t="s">
        <v>47</v>
      </c>
    </row>
    <row r="830" spans="1:20" x14ac:dyDescent="0.35">
      <c r="A830" s="1" t="s">
        <v>2069</v>
      </c>
      <c r="B830" t="s">
        <v>14</v>
      </c>
      <c r="C830" t="s">
        <v>47</v>
      </c>
      <c r="D830" t="s">
        <v>1414</v>
      </c>
      <c r="E830">
        <v>0</v>
      </c>
      <c r="F830" t="s">
        <v>47</v>
      </c>
      <c r="G830">
        <v>1</v>
      </c>
      <c r="H830" t="s">
        <v>45</v>
      </c>
      <c r="I830">
        <v>0</v>
      </c>
      <c r="J830" t="s">
        <v>47</v>
      </c>
      <c r="K830">
        <v>0</v>
      </c>
      <c r="L830" t="s">
        <v>47</v>
      </c>
      <c r="M830">
        <v>0</v>
      </c>
      <c r="N830" t="s">
        <v>47</v>
      </c>
      <c r="O830">
        <v>0</v>
      </c>
      <c r="P830" t="s">
        <v>47</v>
      </c>
      <c r="Q830">
        <v>0</v>
      </c>
      <c r="R830" t="s">
        <v>47</v>
      </c>
      <c r="S830">
        <v>0</v>
      </c>
      <c r="T830" t="s">
        <v>47</v>
      </c>
    </row>
    <row r="831" spans="1:20" x14ac:dyDescent="0.35">
      <c r="A831" s="1" t="s">
        <v>2070</v>
      </c>
      <c r="B831" t="s">
        <v>14</v>
      </c>
      <c r="C831" t="s">
        <v>47</v>
      </c>
      <c r="D831" t="s">
        <v>1415</v>
      </c>
      <c r="E831">
        <v>0</v>
      </c>
      <c r="F831" t="s">
        <v>47</v>
      </c>
      <c r="G831">
        <v>1</v>
      </c>
      <c r="H831" t="s">
        <v>45</v>
      </c>
      <c r="I831">
        <v>0</v>
      </c>
      <c r="J831" t="s">
        <v>47</v>
      </c>
      <c r="K831">
        <v>0</v>
      </c>
      <c r="L831" t="s">
        <v>47</v>
      </c>
      <c r="M831">
        <v>0</v>
      </c>
      <c r="N831" t="s">
        <v>47</v>
      </c>
      <c r="O831">
        <v>0</v>
      </c>
      <c r="P831" t="s">
        <v>47</v>
      </c>
      <c r="Q831">
        <v>1</v>
      </c>
      <c r="R831" t="s">
        <v>45</v>
      </c>
      <c r="S831">
        <v>0</v>
      </c>
      <c r="T831" t="s">
        <v>47</v>
      </c>
    </row>
    <row r="832" spans="1:20" x14ac:dyDescent="0.35">
      <c r="A832" s="1" t="s">
        <v>2071</v>
      </c>
      <c r="B832" t="s">
        <v>14</v>
      </c>
      <c r="C832" t="s">
        <v>47</v>
      </c>
      <c r="D832" t="s">
        <v>1416</v>
      </c>
      <c r="E832">
        <v>0</v>
      </c>
      <c r="F832" t="s">
        <v>47</v>
      </c>
      <c r="G832">
        <v>1</v>
      </c>
      <c r="H832" t="s">
        <v>45</v>
      </c>
      <c r="I832">
        <v>0</v>
      </c>
      <c r="J832" t="s">
        <v>47</v>
      </c>
      <c r="K832">
        <v>0</v>
      </c>
      <c r="L832" t="s">
        <v>47</v>
      </c>
      <c r="M832">
        <v>0</v>
      </c>
      <c r="N832" t="s">
        <v>47</v>
      </c>
      <c r="O832">
        <v>0</v>
      </c>
      <c r="P832" t="s">
        <v>47</v>
      </c>
      <c r="Q832">
        <v>0</v>
      </c>
      <c r="R832" t="s">
        <v>47</v>
      </c>
      <c r="S832">
        <v>0</v>
      </c>
      <c r="T832" t="s">
        <v>47</v>
      </c>
    </row>
    <row r="833" spans="1:20" x14ac:dyDescent="0.35">
      <c r="A833" s="1" t="s">
        <v>2072</v>
      </c>
      <c r="B833" t="s">
        <v>14</v>
      </c>
      <c r="C833" t="s">
        <v>47</v>
      </c>
      <c r="D833" t="s">
        <v>1417</v>
      </c>
      <c r="E833">
        <v>0</v>
      </c>
      <c r="F833" t="s">
        <v>47</v>
      </c>
      <c r="G833">
        <v>1</v>
      </c>
      <c r="H833" t="s">
        <v>45</v>
      </c>
      <c r="I833">
        <v>0</v>
      </c>
      <c r="J833" t="s">
        <v>47</v>
      </c>
      <c r="K833">
        <v>0</v>
      </c>
      <c r="L833" t="s">
        <v>47</v>
      </c>
      <c r="M833">
        <v>0</v>
      </c>
      <c r="N833" t="s">
        <v>47</v>
      </c>
      <c r="O833">
        <v>0</v>
      </c>
      <c r="P833" t="s">
        <v>47</v>
      </c>
      <c r="Q833">
        <v>1</v>
      </c>
      <c r="R833" t="s">
        <v>45</v>
      </c>
      <c r="S833">
        <v>0</v>
      </c>
      <c r="T833" t="s">
        <v>47</v>
      </c>
    </row>
    <row r="834" spans="1:20" x14ac:dyDescent="0.35">
      <c r="A834" s="1" t="s">
        <v>2073</v>
      </c>
      <c r="B834" t="s">
        <v>14</v>
      </c>
      <c r="C834" t="s">
        <v>47</v>
      </c>
      <c r="D834" t="s">
        <v>1418</v>
      </c>
      <c r="E834">
        <v>0</v>
      </c>
      <c r="F834" t="s">
        <v>47</v>
      </c>
      <c r="G834">
        <v>1</v>
      </c>
      <c r="H834" t="s">
        <v>45</v>
      </c>
      <c r="I834">
        <v>0</v>
      </c>
      <c r="J834" t="s">
        <v>47</v>
      </c>
      <c r="K834">
        <v>1</v>
      </c>
      <c r="L834" t="s">
        <v>45</v>
      </c>
      <c r="M834">
        <v>0</v>
      </c>
      <c r="N834" t="s">
        <v>47</v>
      </c>
      <c r="O834">
        <v>0</v>
      </c>
      <c r="P834" t="s">
        <v>47</v>
      </c>
      <c r="Q834">
        <v>0</v>
      </c>
      <c r="R834" t="s">
        <v>47</v>
      </c>
      <c r="S834">
        <v>0</v>
      </c>
      <c r="T834" t="s">
        <v>47</v>
      </c>
    </row>
    <row r="835" spans="1:20" x14ac:dyDescent="0.35">
      <c r="A835" s="1" t="s">
        <v>2074</v>
      </c>
      <c r="B835" t="s">
        <v>14</v>
      </c>
      <c r="C835" t="s">
        <v>47</v>
      </c>
      <c r="D835" t="s">
        <v>1419</v>
      </c>
      <c r="E835">
        <v>0</v>
      </c>
      <c r="F835" t="s">
        <v>47</v>
      </c>
      <c r="G835">
        <v>1</v>
      </c>
      <c r="H835" t="s">
        <v>45</v>
      </c>
      <c r="I835">
        <v>0</v>
      </c>
      <c r="J835" t="s">
        <v>47</v>
      </c>
      <c r="K835">
        <v>0</v>
      </c>
      <c r="L835" t="s">
        <v>47</v>
      </c>
      <c r="M835">
        <v>0</v>
      </c>
      <c r="N835" t="s">
        <v>47</v>
      </c>
      <c r="O835">
        <v>0</v>
      </c>
      <c r="P835" t="s">
        <v>47</v>
      </c>
      <c r="Q835">
        <v>1</v>
      </c>
      <c r="R835" t="s">
        <v>45</v>
      </c>
      <c r="S835">
        <v>0</v>
      </c>
      <c r="T835" t="s">
        <v>47</v>
      </c>
    </row>
    <row r="836" spans="1:20" x14ac:dyDescent="0.35">
      <c r="A836" s="1" t="s">
        <v>2075</v>
      </c>
      <c r="B836" t="s">
        <v>14</v>
      </c>
      <c r="C836" t="s">
        <v>47</v>
      </c>
      <c r="D836" t="s">
        <v>1420</v>
      </c>
      <c r="E836">
        <v>0</v>
      </c>
      <c r="F836" t="s">
        <v>47</v>
      </c>
      <c r="G836">
        <v>1</v>
      </c>
      <c r="H836" t="s">
        <v>45</v>
      </c>
      <c r="I836">
        <v>0</v>
      </c>
      <c r="J836" t="s">
        <v>47</v>
      </c>
      <c r="K836">
        <v>0</v>
      </c>
      <c r="L836" t="s">
        <v>47</v>
      </c>
      <c r="M836">
        <v>0</v>
      </c>
      <c r="N836" t="s">
        <v>47</v>
      </c>
      <c r="O836">
        <v>0</v>
      </c>
      <c r="P836" t="s">
        <v>47</v>
      </c>
      <c r="Q836">
        <v>0</v>
      </c>
      <c r="R836" t="s">
        <v>47</v>
      </c>
      <c r="S836">
        <v>0</v>
      </c>
      <c r="T836" t="s">
        <v>47</v>
      </c>
    </row>
    <row r="837" spans="1:20" x14ac:dyDescent="0.35">
      <c r="A837" s="1" t="s">
        <v>2076</v>
      </c>
      <c r="B837" t="s">
        <v>14</v>
      </c>
      <c r="C837" t="s">
        <v>47</v>
      </c>
      <c r="D837" t="s">
        <v>1421</v>
      </c>
      <c r="E837">
        <v>1</v>
      </c>
      <c r="F837" t="s">
        <v>45</v>
      </c>
      <c r="G837">
        <v>1</v>
      </c>
      <c r="H837" t="s">
        <v>45</v>
      </c>
      <c r="I837">
        <v>0</v>
      </c>
      <c r="J837" t="s">
        <v>47</v>
      </c>
      <c r="K837">
        <v>0</v>
      </c>
      <c r="L837" t="s">
        <v>47</v>
      </c>
      <c r="M837">
        <v>0</v>
      </c>
      <c r="N837" t="s">
        <v>47</v>
      </c>
      <c r="O837">
        <v>1</v>
      </c>
      <c r="P837" t="s">
        <v>45</v>
      </c>
      <c r="Q837">
        <v>0</v>
      </c>
      <c r="R837" t="s">
        <v>47</v>
      </c>
      <c r="S837">
        <v>0</v>
      </c>
      <c r="T837" t="s">
        <v>47</v>
      </c>
    </row>
    <row r="838" spans="1:20" x14ac:dyDescent="0.35">
      <c r="A838" s="1" t="s">
        <v>2077</v>
      </c>
      <c r="B838" t="s">
        <v>16</v>
      </c>
      <c r="C838" t="s">
        <v>47</v>
      </c>
      <c r="D838" t="s">
        <v>1422</v>
      </c>
      <c r="E838">
        <v>1</v>
      </c>
      <c r="F838" t="s">
        <v>45</v>
      </c>
      <c r="G838">
        <v>1</v>
      </c>
      <c r="H838" t="s">
        <v>45</v>
      </c>
      <c r="I838">
        <v>0</v>
      </c>
      <c r="J838" t="s">
        <v>47</v>
      </c>
      <c r="K838">
        <v>0</v>
      </c>
      <c r="L838" t="s">
        <v>47</v>
      </c>
      <c r="M838">
        <v>0</v>
      </c>
      <c r="N838" t="s">
        <v>47</v>
      </c>
      <c r="O838">
        <v>0</v>
      </c>
      <c r="P838" t="s">
        <v>47</v>
      </c>
      <c r="Q838">
        <v>1</v>
      </c>
      <c r="R838" t="s">
        <v>45</v>
      </c>
      <c r="S838">
        <v>0</v>
      </c>
      <c r="T838" t="s">
        <v>47</v>
      </c>
    </row>
    <row r="839" spans="1:20" x14ac:dyDescent="0.35">
      <c r="A839" s="1" t="s">
        <v>2078</v>
      </c>
      <c r="B839" t="s">
        <v>14</v>
      </c>
      <c r="C839" t="s">
        <v>47</v>
      </c>
      <c r="D839" t="s">
        <v>1423</v>
      </c>
      <c r="E839">
        <v>0</v>
      </c>
      <c r="F839" t="s">
        <v>47</v>
      </c>
      <c r="G839">
        <v>1</v>
      </c>
      <c r="H839" t="s">
        <v>45</v>
      </c>
      <c r="I839">
        <v>0</v>
      </c>
      <c r="J839" t="s">
        <v>47</v>
      </c>
      <c r="K839">
        <v>0</v>
      </c>
      <c r="L839" t="s">
        <v>47</v>
      </c>
      <c r="M839">
        <v>0</v>
      </c>
      <c r="N839" t="s">
        <v>47</v>
      </c>
      <c r="O839">
        <v>1</v>
      </c>
      <c r="P839" t="s">
        <v>45</v>
      </c>
      <c r="Q839">
        <v>0</v>
      </c>
      <c r="R839" t="s">
        <v>47</v>
      </c>
      <c r="S839">
        <v>0</v>
      </c>
      <c r="T839" t="s">
        <v>47</v>
      </c>
    </row>
    <row r="840" spans="1:20" x14ac:dyDescent="0.35">
      <c r="A840" s="1" t="s">
        <v>2079</v>
      </c>
      <c r="B840" t="s">
        <v>16</v>
      </c>
      <c r="C840" t="s">
        <v>47</v>
      </c>
      <c r="D840" t="s">
        <v>1424</v>
      </c>
      <c r="E840">
        <v>1</v>
      </c>
      <c r="F840" t="s">
        <v>45</v>
      </c>
      <c r="G840">
        <v>1</v>
      </c>
      <c r="H840" t="s">
        <v>45</v>
      </c>
      <c r="I840">
        <v>0</v>
      </c>
      <c r="J840" t="s">
        <v>47</v>
      </c>
      <c r="K840">
        <v>0</v>
      </c>
      <c r="L840" t="s">
        <v>47</v>
      </c>
      <c r="M840">
        <v>0</v>
      </c>
      <c r="N840" t="s">
        <v>47</v>
      </c>
      <c r="O840">
        <v>0</v>
      </c>
      <c r="P840" t="s">
        <v>47</v>
      </c>
      <c r="Q840">
        <v>0</v>
      </c>
      <c r="R840" t="s">
        <v>47</v>
      </c>
      <c r="S840">
        <v>0</v>
      </c>
      <c r="T840" t="s">
        <v>47</v>
      </c>
    </row>
    <row r="841" spans="1:20" x14ac:dyDescent="0.35">
      <c r="A841" s="1" t="s">
        <v>2080</v>
      </c>
      <c r="B841" t="s">
        <v>14</v>
      </c>
      <c r="C841" t="s">
        <v>47</v>
      </c>
      <c r="D841" t="s">
        <v>1425</v>
      </c>
      <c r="E841">
        <v>0</v>
      </c>
      <c r="F841" t="s">
        <v>47</v>
      </c>
      <c r="G841">
        <v>1</v>
      </c>
      <c r="H841" t="s">
        <v>45</v>
      </c>
      <c r="I841">
        <v>0</v>
      </c>
      <c r="J841" t="s">
        <v>47</v>
      </c>
      <c r="K841">
        <v>0</v>
      </c>
      <c r="L841" t="s">
        <v>47</v>
      </c>
      <c r="M841">
        <v>0</v>
      </c>
      <c r="N841" t="s">
        <v>47</v>
      </c>
      <c r="O841">
        <v>0</v>
      </c>
      <c r="P841" t="s">
        <v>47</v>
      </c>
      <c r="Q841">
        <v>1</v>
      </c>
      <c r="R841" t="s">
        <v>45</v>
      </c>
      <c r="S841">
        <v>0</v>
      </c>
      <c r="T841" t="s">
        <v>47</v>
      </c>
    </row>
    <row r="842" spans="1:20" x14ac:dyDescent="0.35">
      <c r="A842" s="1" t="s">
        <v>2081</v>
      </c>
      <c r="B842" t="s">
        <v>14</v>
      </c>
      <c r="C842" t="s">
        <v>47</v>
      </c>
      <c r="D842" t="s">
        <v>1426</v>
      </c>
      <c r="E842">
        <v>1</v>
      </c>
      <c r="F842" t="s">
        <v>45</v>
      </c>
      <c r="G842">
        <v>1</v>
      </c>
      <c r="H842" t="s">
        <v>45</v>
      </c>
      <c r="I842">
        <v>0</v>
      </c>
      <c r="J842" t="s">
        <v>47</v>
      </c>
      <c r="K842">
        <v>0</v>
      </c>
      <c r="L842" t="s">
        <v>47</v>
      </c>
      <c r="M842">
        <v>0</v>
      </c>
      <c r="N842" t="s">
        <v>47</v>
      </c>
      <c r="O842">
        <v>0</v>
      </c>
      <c r="P842" t="s">
        <v>47</v>
      </c>
      <c r="Q842">
        <v>0</v>
      </c>
      <c r="R842" t="s">
        <v>47</v>
      </c>
      <c r="S842">
        <v>0</v>
      </c>
      <c r="T842" t="s">
        <v>47</v>
      </c>
    </row>
    <row r="843" spans="1:20" x14ac:dyDescent="0.35">
      <c r="A843" s="1" t="s">
        <v>2082</v>
      </c>
      <c r="B843" t="s">
        <v>16</v>
      </c>
      <c r="C843" t="s">
        <v>47</v>
      </c>
      <c r="D843" t="s">
        <v>1427</v>
      </c>
      <c r="E843">
        <v>1</v>
      </c>
      <c r="F843" t="s">
        <v>45</v>
      </c>
      <c r="G843">
        <v>1</v>
      </c>
      <c r="H843" t="s">
        <v>45</v>
      </c>
      <c r="I843">
        <v>0</v>
      </c>
      <c r="J843" t="s">
        <v>47</v>
      </c>
      <c r="K843">
        <v>0</v>
      </c>
      <c r="L843" t="s">
        <v>47</v>
      </c>
      <c r="M843">
        <v>0</v>
      </c>
      <c r="N843" t="s">
        <v>47</v>
      </c>
      <c r="O843">
        <v>0</v>
      </c>
      <c r="P843" t="s">
        <v>47</v>
      </c>
      <c r="Q843">
        <v>0</v>
      </c>
      <c r="R843" t="s">
        <v>47</v>
      </c>
      <c r="S843">
        <v>0</v>
      </c>
      <c r="T843" t="s">
        <v>47</v>
      </c>
    </row>
    <row r="844" spans="1:20" x14ac:dyDescent="0.35">
      <c r="A844" s="1" t="s">
        <v>2083</v>
      </c>
      <c r="B844" t="s">
        <v>14</v>
      </c>
      <c r="C844" t="s">
        <v>47</v>
      </c>
      <c r="D844" t="s">
        <v>1428</v>
      </c>
      <c r="E844">
        <v>0</v>
      </c>
      <c r="F844" t="s">
        <v>47</v>
      </c>
      <c r="G844">
        <v>1</v>
      </c>
      <c r="H844" t="s">
        <v>45</v>
      </c>
      <c r="I844">
        <v>0</v>
      </c>
      <c r="J844" t="s">
        <v>47</v>
      </c>
      <c r="K844">
        <v>0</v>
      </c>
      <c r="L844" t="s">
        <v>47</v>
      </c>
      <c r="M844">
        <v>0</v>
      </c>
      <c r="N844" t="s">
        <v>47</v>
      </c>
      <c r="O844">
        <v>0</v>
      </c>
      <c r="P844" t="s">
        <v>47</v>
      </c>
      <c r="Q844">
        <v>1</v>
      </c>
      <c r="R844" t="s">
        <v>45</v>
      </c>
      <c r="S844">
        <v>0</v>
      </c>
      <c r="T844" t="s">
        <v>47</v>
      </c>
    </row>
    <row r="845" spans="1:20" x14ac:dyDescent="0.35">
      <c r="A845" s="1" t="s">
        <v>2084</v>
      </c>
      <c r="B845" t="s">
        <v>14</v>
      </c>
      <c r="C845" t="s">
        <v>47</v>
      </c>
      <c r="D845" t="s">
        <v>1429</v>
      </c>
      <c r="E845">
        <v>1</v>
      </c>
      <c r="F845" t="s">
        <v>45</v>
      </c>
      <c r="G845">
        <v>1</v>
      </c>
      <c r="H845" t="s">
        <v>45</v>
      </c>
      <c r="I845">
        <v>0</v>
      </c>
      <c r="J845" t="s">
        <v>47</v>
      </c>
      <c r="K845">
        <v>1</v>
      </c>
      <c r="L845" t="s">
        <v>45</v>
      </c>
      <c r="M845">
        <v>0</v>
      </c>
      <c r="N845" t="s">
        <v>47</v>
      </c>
      <c r="O845">
        <v>0</v>
      </c>
      <c r="P845" t="s">
        <v>47</v>
      </c>
      <c r="Q845">
        <v>1</v>
      </c>
      <c r="R845" t="s">
        <v>45</v>
      </c>
      <c r="S845">
        <v>0</v>
      </c>
      <c r="T845" t="s">
        <v>47</v>
      </c>
    </row>
    <row r="846" spans="1:20" x14ac:dyDescent="0.35">
      <c r="A846" s="1" t="s">
        <v>2085</v>
      </c>
      <c r="B846" t="s">
        <v>14</v>
      </c>
      <c r="C846" t="s">
        <v>47</v>
      </c>
      <c r="D846" t="s">
        <v>1430</v>
      </c>
      <c r="E846">
        <v>1</v>
      </c>
      <c r="F846" t="s">
        <v>45</v>
      </c>
      <c r="G846">
        <v>1</v>
      </c>
      <c r="H846" t="s">
        <v>45</v>
      </c>
      <c r="I846">
        <v>0</v>
      </c>
      <c r="J846" t="s">
        <v>47</v>
      </c>
      <c r="K846">
        <v>1</v>
      </c>
      <c r="L846" t="s">
        <v>45</v>
      </c>
      <c r="M846">
        <v>0</v>
      </c>
      <c r="N846" t="s">
        <v>47</v>
      </c>
      <c r="O846">
        <v>1</v>
      </c>
      <c r="P846" t="s">
        <v>45</v>
      </c>
      <c r="Q846">
        <v>1</v>
      </c>
      <c r="R846" t="s">
        <v>45</v>
      </c>
      <c r="S846">
        <v>0</v>
      </c>
      <c r="T846" t="s">
        <v>47</v>
      </c>
    </row>
    <row r="847" spans="1:20" x14ac:dyDescent="0.35">
      <c r="A847" s="1" t="s">
        <v>2086</v>
      </c>
      <c r="B847" t="s">
        <v>14</v>
      </c>
      <c r="C847" t="s">
        <v>47</v>
      </c>
      <c r="D847" t="s">
        <v>1431</v>
      </c>
      <c r="E847">
        <v>1</v>
      </c>
      <c r="F847" t="s">
        <v>45</v>
      </c>
      <c r="G847">
        <v>1</v>
      </c>
      <c r="H847" t="s">
        <v>45</v>
      </c>
      <c r="I847">
        <v>0</v>
      </c>
      <c r="J847" t="s">
        <v>47</v>
      </c>
      <c r="K847">
        <v>0</v>
      </c>
      <c r="L847" t="s">
        <v>47</v>
      </c>
      <c r="M847">
        <v>0</v>
      </c>
      <c r="N847" t="s">
        <v>47</v>
      </c>
      <c r="O847">
        <v>0</v>
      </c>
      <c r="P847" t="s">
        <v>47</v>
      </c>
      <c r="Q847">
        <v>0</v>
      </c>
      <c r="R847" t="s">
        <v>47</v>
      </c>
      <c r="S847">
        <v>0</v>
      </c>
      <c r="T847" t="s">
        <v>47</v>
      </c>
    </row>
    <row r="848" spans="1:20" x14ac:dyDescent="0.35">
      <c r="A848" s="1" t="s">
        <v>2087</v>
      </c>
      <c r="B848" t="s">
        <v>16</v>
      </c>
      <c r="C848" t="s">
        <v>47</v>
      </c>
      <c r="D848" t="s">
        <v>1432</v>
      </c>
      <c r="E848">
        <v>0</v>
      </c>
      <c r="F848" t="s">
        <v>47</v>
      </c>
      <c r="G848">
        <v>1</v>
      </c>
      <c r="H848" t="s">
        <v>45</v>
      </c>
      <c r="I848">
        <v>0</v>
      </c>
      <c r="J848" t="s">
        <v>47</v>
      </c>
      <c r="K848">
        <v>0</v>
      </c>
      <c r="L848" t="s">
        <v>47</v>
      </c>
      <c r="M848">
        <v>0</v>
      </c>
      <c r="N848" t="s">
        <v>47</v>
      </c>
      <c r="O848">
        <v>0</v>
      </c>
      <c r="P848" t="s">
        <v>47</v>
      </c>
      <c r="Q848">
        <v>0</v>
      </c>
      <c r="R848" t="s">
        <v>47</v>
      </c>
      <c r="S848">
        <v>0</v>
      </c>
      <c r="T848" t="s">
        <v>47</v>
      </c>
    </row>
    <row r="849" spans="1:20" x14ac:dyDescent="0.35">
      <c r="A849" s="1" t="s">
        <v>2088</v>
      </c>
      <c r="B849" t="s">
        <v>16</v>
      </c>
      <c r="C849" t="s">
        <v>47</v>
      </c>
      <c r="D849" t="s">
        <v>1433</v>
      </c>
      <c r="E849">
        <v>0</v>
      </c>
      <c r="F849" t="s">
        <v>47</v>
      </c>
      <c r="G849">
        <v>1</v>
      </c>
      <c r="H849" t="s">
        <v>45</v>
      </c>
      <c r="I849">
        <v>0</v>
      </c>
      <c r="J849" t="s">
        <v>47</v>
      </c>
      <c r="K849">
        <v>0</v>
      </c>
      <c r="L849" t="s">
        <v>47</v>
      </c>
      <c r="M849">
        <v>0</v>
      </c>
      <c r="N849" t="s">
        <v>47</v>
      </c>
      <c r="O849">
        <v>0</v>
      </c>
      <c r="P849" t="s">
        <v>47</v>
      </c>
      <c r="Q849">
        <v>0</v>
      </c>
      <c r="R849" t="s">
        <v>47</v>
      </c>
      <c r="S849">
        <v>0</v>
      </c>
      <c r="T849" t="s">
        <v>47</v>
      </c>
    </row>
    <row r="850" spans="1:20" x14ac:dyDescent="0.35">
      <c r="A850" s="1" t="s">
        <v>2089</v>
      </c>
      <c r="B850" t="s">
        <v>16</v>
      </c>
      <c r="C850" t="s">
        <v>47</v>
      </c>
      <c r="D850" t="s">
        <v>1434</v>
      </c>
      <c r="E850">
        <v>1</v>
      </c>
      <c r="F850" t="s">
        <v>45</v>
      </c>
      <c r="G850">
        <v>1</v>
      </c>
      <c r="H850" t="s">
        <v>45</v>
      </c>
      <c r="I850">
        <v>0</v>
      </c>
      <c r="J850" t="s">
        <v>47</v>
      </c>
      <c r="K850">
        <v>0</v>
      </c>
      <c r="L850" t="s">
        <v>47</v>
      </c>
      <c r="M850">
        <v>0</v>
      </c>
      <c r="N850" t="s">
        <v>47</v>
      </c>
      <c r="O850">
        <v>0</v>
      </c>
      <c r="P850" t="s">
        <v>47</v>
      </c>
      <c r="Q850">
        <v>0</v>
      </c>
      <c r="R850" t="s">
        <v>47</v>
      </c>
      <c r="S850">
        <v>0</v>
      </c>
      <c r="T850" t="s">
        <v>47</v>
      </c>
    </row>
    <row r="851" spans="1:20" x14ac:dyDescent="0.35">
      <c r="A851" s="1" t="s">
        <v>2090</v>
      </c>
      <c r="B851" t="s">
        <v>14</v>
      </c>
      <c r="C851" t="s">
        <v>47</v>
      </c>
      <c r="D851" t="s">
        <v>1435</v>
      </c>
      <c r="E851">
        <v>1</v>
      </c>
      <c r="F851" t="s">
        <v>45</v>
      </c>
      <c r="G851">
        <v>1</v>
      </c>
      <c r="H851" t="s">
        <v>45</v>
      </c>
      <c r="I851">
        <v>0</v>
      </c>
      <c r="J851" t="s">
        <v>47</v>
      </c>
      <c r="K851">
        <v>0</v>
      </c>
      <c r="L851" t="s">
        <v>47</v>
      </c>
      <c r="M851">
        <v>0</v>
      </c>
      <c r="N851" t="s">
        <v>47</v>
      </c>
      <c r="O851">
        <v>0</v>
      </c>
      <c r="P851" t="s">
        <v>47</v>
      </c>
      <c r="Q851">
        <v>1</v>
      </c>
      <c r="R851" t="s">
        <v>45</v>
      </c>
      <c r="S851">
        <v>0</v>
      </c>
      <c r="T851" t="s">
        <v>47</v>
      </c>
    </row>
    <row r="852" spans="1:20" x14ac:dyDescent="0.35">
      <c r="A852" s="1" t="s">
        <v>2091</v>
      </c>
      <c r="B852" t="s">
        <v>14</v>
      </c>
      <c r="C852" t="s">
        <v>47</v>
      </c>
      <c r="D852" t="s">
        <v>1436</v>
      </c>
      <c r="E852">
        <v>0</v>
      </c>
      <c r="F852" t="s">
        <v>47</v>
      </c>
      <c r="G852">
        <v>1</v>
      </c>
      <c r="H852" t="s">
        <v>45</v>
      </c>
      <c r="I852">
        <v>0</v>
      </c>
      <c r="J852" t="s">
        <v>47</v>
      </c>
      <c r="K852">
        <v>0</v>
      </c>
      <c r="L852" t="s">
        <v>47</v>
      </c>
      <c r="M852">
        <v>0</v>
      </c>
      <c r="N852" t="s">
        <v>47</v>
      </c>
      <c r="O852">
        <v>0</v>
      </c>
      <c r="P852" t="s">
        <v>47</v>
      </c>
      <c r="Q852">
        <v>1</v>
      </c>
      <c r="R852" t="s">
        <v>45</v>
      </c>
      <c r="S852">
        <v>0</v>
      </c>
      <c r="T852" t="s">
        <v>47</v>
      </c>
    </row>
    <row r="853" spans="1:20" x14ac:dyDescent="0.35">
      <c r="A853" s="1" t="s">
        <v>2092</v>
      </c>
      <c r="B853" t="s">
        <v>14</v>
      </c>
      <c r="C853" t="s">
        <v>47</v>
      </c>
      <c r="D853" t="s">
        <v>1437</v>
      </c>
      <c r="E853">
        <v>0</v>
      </c>
      <c r="F853" t="s">
        <v>47</v>
      </c>
      <c r="G853">
        <v>1</v>
      </c>
      <c r="H853" t="s">
        <v>45</v>
      </c>
      <c r="I853">
        <v>0</v>
      </c>
      <c r="J853" t="s">
        <v>47</v>
      </c>
      <c r="K853">
        <v>0</v>
      </c>
      <c r="L853" t="s">
        <v>47</v>
      </c>
      <c r="M853">
        <v>0</v>
      </c>
      <c r="N853" t="s">
        <v>47</v>
      </c>
      <c r="O853">
        <v>0</v>
      </c>
      <c r="P853" t="s">
        <v>47</v>
      </c>
      <c r="Q853">
        <v>0</v>
      </c>
      <c r="R853" t="s">
        <v>47</v>
      </c>
      <c r="S853">
        <v>0</v>
      </c>
      <c r="T853" t="s">
        <v>47</v>
      </c>
    </row>
    <row r="854" spans="1:20" x14ac:dyDescent="0.35">
      <c r="A854" s="1" t="s">
        <v>2093</v>
      </c>
      <c r="B854" t="s">
        <v>14</v>
      </c>
      <c r="C854" t="s">
        <v>47</v>
      </c>
      <c r="D854" t="s">
        <v>1438</v>
      </c>
      <c r="E854">
        <v>0</v>
      </c>
      <c r="F854" t="s">
        <v>47</v>
      </c>
      <c r="G854">
        <v>1</v>
      </c>
      <c r="H854" t="s">
        <v>45</v>
      </c>
      <c r="I854">
        <v>0</v>
      </c>
      <c r="J854" t="s">
        <v>47</v>
      </c>
      <c r="K854">
        <v>0</v>
      </c>
      <c r="L854" t="s">
        <v>47</v>
      </c>
      <c r="M854">
        <v>0</v>
      </c>
      <c r="N854" t="s">
        <v>47</v>
      </c>
      <c r="O854">
        <v>0</v>
      </c>
      <c r="P854" t="s">
        <v>47</v>
      </c>
      <c r="Q854">
        <v>0</v>
      </c>
      <c r="R854" t="s">
        <v>47</v>
      </c>
      <c r="S854">
        <v>0</v>
      </c>
      <c r="T854" t="s">
        <v>47</v>
      </c>
    </row>
    <row r="855" spans="1:20" x14ac:dyDescent="0.35">
      <c r="A855" s="1" t="s">
        <v>2094</v>
      </c>
      <c r="B855" t="s">
        <v>14</v>
      </c>
      <c r="C855" t="s">
        <v>47</v>
      </c>
      <c r="D855" t="s">
        <v>1439</v>
      </c>
      <c r="E855">
        <v>1</v>
      </c>
      <c r="F855" t="s">
        <v>45</v>
      </c>
      <c r="G855">
        <v>1</v>
      </c>
      <c r="H855" t="s">
        <v>45</v>
      </c>
      <c r="I855">
        <v>0</v>
      </c>
      <c r="J855" t="s">
        <v>47</v>
      </c>
      <c r="K855">
        <v>0</v>
      </c>
      <c r="L855" t="s">
        <v>47</v>
      </c>
      <c r="M855">
        <v>0</v>
      </c>
      <c r="N855" t="s">
        <v>47</v>
      </c>
      <c r="O855">
        <v>0</v>
      </c>
      <c r="P855" t="s">
        <v>47</v>
      </c>
      <c r="Q855">
        <v>0</v>
      </c>
      <c r="R855" t="s">
        <v>47</v>
      </c>
      <c r="S855">
        <v>0</v>
      </c>
      <c r="T855" t="s">
        <v>47</v>
      </c>
    </row>
    <row r="856" spans="1:20" x14ac:dyDescent="0.35">
      <c r="A856" s="1" t="s">
        <v>2095</v>
      </c>
      <c r="B856" t="s">
        <v>14</v>
      </c>
      <c r="C856" t="s">
        <v>47</v>
      </c>
      <c r="D856" t="s">
        <v>1440</v>
      </c>
      <c r="E856">
        <v>1</v>
      </c>
      <c r="F856" t="s">
        <v>45</v>
      </c>
      <c r="G856">
        <v>1</v>
      </c>
      <c r="H856" t="s">
        <v>45</v>
      </c>
      <c r="I856">
        <v>0</v>
      </c>
      <c r="J856" t="s">
        <v>47</v>
      </c>
      <c r="K856">
        <v>0</v>
      </c>
      <c r="L856" t="s">
        <v>47</v>
      </c>
      <c r="M856">
        <v>0</v>
      </c>
      <c r="N856" t="s">
        <v>47</v>
      </c>
      <c r="O856">
        <v>0</v>
      </c>
      <c r="P856" t="s">
        <v>47</v>
      </c>
      <c r="Q856">
        <v>0</v>
      </c>
      <c r="R856" t="s">
        <v>47</v>
      </c>
      <c r="S856">
        <v>0</v>
      </c>
      <c r="T856" t="s">
        <v>47</v>
      </c>
    </row>
    <row r="857" spans="1:20" x14ac:dyDescent="0.35">
      <c r="A857" s="1" t="s">
        <v>2096</v>
      </c>
      <c r="B857" t="s">
        <v>14</v>
      </c>
      <c r="C857" t="s">
        <v>47</v>
      </c>
      <c r="D857" t="s">
        <v>1441</v>
      </c>
      <c r="E857">
        <v>1</v>
      </c>
      <c r="F857" t="s">
        <v>45</v>
      </c>
      <c r="G857">
        <v>0</v>
      </c>
      <c r="H857" t="s">
        <v>47</v>
      </c>
      <c r="I857">
        <v>0</v>
      </c>
      <c r="J857" t="s">
        <v>47</v>
      </c>
      <c r="K857">
        <v>0</v>
      </c>
      <c r="L857" t="s">
        <v>47</v>
      </c>
      <c r="M857">
        <v>0</v>
      </c>
      <c r="N857" t="s">
        <v>47</v>
      </c>
      <c r="O857">
        <v>0</v>
      </c>
      <c r="P857" t="s">
        <v>47</v>
      </c>
      <c r="Q857">
        <v>0</v>
      </c>
      <c r="R857" t="s">
        <v>47</v>
      </c>
      <c r="S857">
        <v>0</v>
      </c>
      <c r="T857" t="s">
        <v>47</v>
      </c>
    </row>
    <row r="858" spans="1:20" x14ac:dyDescent="0.35">
      <c r="A858" s="1" t="s">
        <v>2097</v>
      </c>
      <c r="B858" t="s">
        <v>14</v>
      </c>
      <c r="C858" t="s">
        <v>47</v>
      </c>
      <c r="D858" t="s">
        <v>1442</v>
      </c>
      <c r="E858">
        <v>0</v>
      </c>
      <c r="F858" t="s">
        <v>47</v>
      </c>
      <c r="G858">
        <v>1</v>
      </c>
      <c r="H858" t="s">
        <v>45</v>
      </c>
      <c r="I858">
        <v>0</v>
      </c>
      <c r="J858" t="s">
        <v>47</v>
      </c>
      <c r="K858">
        <v>0</v>
      </c>
      <c r="L858" t="s">
        <v>47</v>
      </c>
      <c r="M858">
        <v>0</v>
      </c>
      <c r="N858" t="s">
        <v>47</v>
      </c>
      <c r="O858">
        <v>0</v>
      </c>
      <c r="P858" t="s">
        <v>47</v>
      </c>
      <c r="Q858">
        <v>1</v>
      </c>
      <c r="R858" t="s">
        <v>45</v>
      </c>
      <c r="S858">
        <v>0</v>
      </c>
      <c r="T858" t="s">
        <v>47</v>
      </c>
    </row>
    <row r="859" spans="1:20" x14ac:dyDescent="0.35">
      <c r="A859" s="1" t="s">
        <v>2098</v>
      </c>
      <c r="B859" t="s">
        <v>16</v>
      </c>
      <c r="C859" t="s">
        <v>47</v>
      </c>
      <c r="D859" t="s">
        <v>1443</v>
      </c>
      <c r="E859">
        <v>1</v>
      </c>
      <c r="F859" t="s">
        <v>45</v>
      </c>
      <c r="G859">
        <v>1</v>
      </c>
      <c r="H859" t="s">
        <v>45</v>
      </c>
      <c r="I859">
        <v>0</v>
      </c>
      <c r="J859" t="s">
        <v>47</v>
      </c>
      <c r="K859">
        <v>1</v>
      </c>
      <c r="L859" t="s">
        <v>45</v>
      </c>
      <c r="M859">
        <v>0</v>
      </c>
      <c r="N859" t="s">
        <v>47</v>
      </c>
      <c r="O859">
        <v>0</v>
      </c>
      <c r="P859" t="s">
        <v>47</v>
      </c>
      <c r="Q859">
        <v>1</v>
      </c>
      <c r="R859" t="s">
        <v>45</v>
      </c>
      <c r="S859">
        <v>0</v>
      </c>
      <c r="T859" t="s">
        <v>47</v>
      </c>
    </row>
    <row r="860" spans="1:20" x14ac:dyDescent="0.35">
      <c r="A860" s="1" t="s">
        <v>2099</v>
      </c>
      <c r="B860" t="s">
        <v>14</v>
      </c>
      <c r="C860" t="s">
        <v>47</v>
      </c>
      <c r="D860" t="s">
        <v>1444</v>
      </c>
      <c r="E860">
        <v>0</v>
      </c>
      <c r="F860" t="s">
        <v>47</v>
      </c>
      <c r="G860">
        <v>1</v>
      </c>
      <c r="H860" t="s">
        <v>45</v>
      </c>
      <c r="I860">
        <v>0</v>
      </c>
      <c r="J860" t="s">
        <v>47</v>
      </c>
      <c r="K860">
        <v>0</v>
      </c>
      <c r="L860" t="s">
        <v>47</v>
      </c>
      <c r="M860">
        <v>0</v>
      </c>
      <c r="N860" t="s">
        <v>47</v>
      </c>
      <c r="O860">
        <v>0</v>
      </c>
      <c r="P860" t="s">
        <v>47</v>
      </c>
      <c r="Q860">
        <v>0</v>
      </c>
      <c r="R860" t="s">
        <v>47</v>
      </c>
      <c r="S860">
        <v>0</v>
      </c>
      <c r="T860" t="s">
        <v>47</v>
      </c>
    </row>
    <row r="861" spans="1:20" x14ac:dyDescent="0.35">
      <c r="A861" s="1" t="s">
        <v>2100</v>
      </c>
      <c r="B861" t="s">
        <v>16</v>
      </c>
      <c r="C861" t="s">
        <v>47</v>
      </c>
      <c r="D861" t="s">
        <v>1445</v>
      </c>
      <c r="E861">
        <v>1</v>
      </c>
      <c r="F861" t="s">
        <v>45</v>
      </c>
      <c r="G861">
        <v>1</v>
      </c>
      <c r="H861" t="s">
        <v>45</v>
      </c>
      <c r="I861">
        <v>0</v>
      </c>
      <c r="J861" t="s">
        <v>47</v>
      </c>
      <c r="K861">
        <v>0</v>
      </c>
      <c r="L861" t="s">
        <v>47</v>
      </c>
      <c r="M861">
        <v>0</v>
      </c>
      <c r="N861" t="s">
        <v>47</v>
      </c>
      <c r="O861">
        <v>1</v>
      </c>
      <c r="P861" t="s">
        <v>45</v>
      </c>
      <c r="Q861">
        <v>1</v>
      </c>
      <c r="R861" t="s">
        <v>45</v>
      </c>
      <c r="S861">
        <v>0</v>
      </c>
      <c r="T861" t="s">
        <v>47</v>
      </c>
    </row>
    <row r="862" spans="1:20" x14ac:dyDescent="0.35">
      <c r="A862" s="1" t="s">
        <v>2101</v>
      </c>
      <c r="B862" t="s">
        <v>14</v>
      </c>
      <c r="C862" t="s">
        <v>47</v>
      </c>
      <c r="D862" t="s">
        <v>1440</v>
      </c>
      <c r="E862">
        <v>1</v>
      </c>
      <c r="F862" t="s">
        <v>45</v>
      </c>
      <c r="G862">
        <v>1</v>
      </c>
      <c r="H862" t="s">
        <v>45</v>
      </c>
      <c r="I862">
        <v>0</v>
      </c>
      <c r="J862" t="s">
        <v>47</v>
      </c>
      <c r="K862">
        <v>0</v>
      </c>
      <c r="L862" t="s">
        <v>47</v>
      </c>
      <c r="M862">
        <v>0</v>
      </c>
      <c r="N862" t="s">
        <v>47</v>
      </c>
      <c r="O862">
        <v>0</v>
      </c>
      <c r="P862" t="s">
        <v>47</v>
      </c>
      <c r="Q862">
        <v>0</v>
      </c>
      <c r="R862" t="s">
        <v>47</v>
      </c>
      <c r="S862">
        <v>0</v>
      </c>
      <c r="T862" t="s">
        <v>47</v>
      </c>
    </row>
    <row r="863" spans="1:20" x14ac:dyDescent="0.35">
      <c r="A863" s="1" t="s">
        <v>2102</v>
      </c>
      <c r="B863" t="s">
        <v>14</v>
      </c>
      <c r="C863" t="s">
        <v>47</v>
      </c>
      <c r="D863" t="s">
        <v>1441</v>
      </c>
      <c r="E863">
        <v>1</v>
      </c>
      <c r="F863" t="s">
        <v>45</v>
      </c>
      <c r="G863">
        <v>0</v>
      </c>
      <c r="H863" t="s">
        <v>47</v>
      </c>
      <c r="I863">
        <v>0</v>
      </c>
      <c r="J863" t="s">
        <v>47</v>
      </c>
      <c r="K863">
        <v>0</v>
      </c>
      <c r="L863" t="s">
        <v>47</v>
      </c>
      <c r="M863">
        <v>0</v>
      </c>
      <c r="N863" t="s">
        <v>47</v>
      </c>
      <c r="O863">
        <v>0</v>
      </c>
      <c r="P863" t="s">
        <v>47</v>
      </c>
      <c r="Q863">
        <v>0</v>
      </c>
      <c r="R863" t="s">
        <v>47</v>
      </c>
      <c r="S863">
        <v>0</v>
      </c>
      <c r="T863" t="s">
        <v>47</v>
      </c>
    </row>
    <row r="864" spans="1:20" x14ac:dyDescent="0.35">
      <c r="A864" s="1" t="s">
        <v>2103</v>
      </c>
      <c r="B864" t="s">
        <v>14</v>
      </c>
      <c r="C864" t="s">
        <v>47</v>
      </c>
      <c r="D864" t="s">
        <v>1442</v>
      </c>
      <c r="E864">
        <v>0</v>
      </c>
      <c r="F864" t="s">
        <v>47</v>
      </c>
      <c r="G864">
        <v>1</v>
      </c>
      <c r="H864" t="s">
        <v>45</v>
      </c>
      <c r="I864">
        <v>0</v>
      </c>
      <c r="J864" t="s">
        <v>47</v>
      </c>
      <c r="K864">
        <v>0</v>
      </c>
      <c r="L864" t="s">
        <v>47</v>
      </c>
      <c r="M864">
        <v>0</v>
      </c>
      <c r="N864" t="s">
        <v>47</v>
      </c>
      <c r="O864">
        <v>0</v>
      </c>
      <c r="P864" t="s">
        <v>47</v>
      </c>
      <c r="Q864">
        <v>1</v>
      </c>
      <c r="R864" t="s">
        <v>45</v>
      </c>
      <c r="S864">
        <v>0</v>
      </c>
      <c r="T864" t="s">
        <v>47</v>
      </c>
    </row>
    <row r="865" spans="1:20" x14ac:dyDescent="0.35">
      <c r="A865" s="1" t="s">
        <v>2104</v>
      </c>
      <c r="B865" t="s">
        <v>16</v>
      </c>
      <c r="C865" t="s">
        <v>47</v>
      </c>
      <c r="D865" t="s">
        <v>1443</v>
      </c>
      <c r="E865">
        <v>1</v>
      </c>
      <c r="F865" t="s">
        <v>45</v>
      </c>
      <c r="G865">
        <v>1</v>
      </c>
      <c r="H865" t="s">
        <v>45</v>
      </c>
      <c r="I865">
        <v>0</v>
      </c>
      <c r="J865" t="s">
        <v>47</v>
      </c>
      <c r="K865">
        <v>1</v>
      </c>
      <c r="L865" t="s">
        <v>45</v>
      </c>
      <c r="M865">
        <v>0</v>
      </c>
      <c r="N865" t="s">
        <v>47</v>
      </c>
      <c r="O865">
        <v>0</v>
      </c>
      <c r="P865" t="s">
        <v>47</v>
      </c>
      <c r="Q865">
        <v>1</v>
      </c>
      <c r="R865" t="s">
        <v>45</v>
      </c>
      <c r="S865">
        <v>0</v>
      </c>
      <c r="T865" t="s">
        <v>47</v>
      </c>
    </row>
    <row r="866" spans="1:20" x14ac:dyDescent="0.35">
      <c r="A866" s="1" t="s">
        <v>2105</v>
      </c>
      <c r="B866" t="s">
        <v>14</v>
      </c>
      <c r="C866" t="s">
        <v>47</v>
      </c>
      <c r="D866" t="s">
        <v>1444</v>
      </c>
      <c r="E866">
        <v>0</v>
      </c>
      <c r="F866" t="s">
        <v>47</v>
      </c>
      <c r="G866">
        <v>1</v>
      </c>
      <c r="H866" t="s">
        <v>45</v>
      </c>
      <c r="I866">
        <v>0</v>
      </c>
      <c r="J866" t="s">
        <v>47</v>
      </c>
      <c r="K866">
        <v>0</v>
      </c>
      <c r="L866" t="s">
        <v>47</v>
      </c>
      <c r="M866">
        <v>0</v>
      </c>
      <c r="N866" t="s">
        <v>47</v>
      </c>
      <c r="O866">
        <v>0</v>
      </c>
      <c r="P866" t="s">
        <v>47</v>
      </c>
      <c r="Q866">
        <v>0</v>
      </c>
      <c r="R866" t="s">
        <v>47</v>
      </c>
      <c r="S866">
        <v>0</v>
      </c>
      <c r="T866" t="s">
        <v>47</v>
      </c>
    </row>
    <row r="867" spans="1:20" x14ac:dyDescent="0.35">
      <c r="A867" s="1" t="s">
        <v>2106</v>
      </c>
      <c r="B867" t="s">
        <v>16</v>
      </c>
      <c r="C867" t="s">
        <v>47</v>
      </c>
      <c r="D867" t="s">
        <v>1445</v>
      </c>
      <c r="E867">
        <v>1</v>
      </c>
      <c r="F867" t="s">
        <v>45</v>
      </c>
      <c r="G867">
        <v>1</v>
      </c>
      <c r="H867" t="s">
        <v>45</v>
      </c>
      <c r="I867">
        <v>0</v>
      </c>
      <c r="J867" t="s">
        <v>47</v>
      </c>
      <c r="K867">
        <v>0</v>
      </c>
      <c r="L867" t="s">
        <v>47</v>
      </c>
      <c r="M867">
        <v>0</v>
      </c>
      <c r="N867" t="s">
        <v>47</v>
      </c>
      <c r="O867">
        <v>1</v>
      </c>
      <c r="P867" t="s">
        <v>45</v>
      </c>
      <c r="Q867">
        <v>1</v>
      </c>
      <c r="R867" t="s">
        <v>45</v>
      </c>
      <c r="S867">
        <v>0</v>
      </c>
      <c r="T867" t="s">
        <v>47</v>
      </c>
    </row>
    <row r="868" spans="1:20" x14ac:dyDescent="0.35">
      <c r="A868" s="1" t="s">
        <v>2107</v>
      </c>
      <c r="B868" t="s">
        <v>14</v>
      </c>
      <c r="C868" t="s">
        <v>47</v>
      </c>
      <c r="D868" t="s">
        <v>1446</v>
      </c>
      <c r="E868">
        <v>1</v>
      </c>
      <c r="F868" t="s">
        <v>45</v>
      </c>
      <c r="G868">
        <v>1</v>
      </c>
      <c r="H868" t="s">
        <v>45</v>
      </c>
      <c r="I868">
        <v>0</v>
      </c>
      <c r="J868" t="s">
        <v>47</v>
      </c>
      <c r="K868">
        <v>0</v>
      </c>
      <c r="L868" t="s">
        <v>47</v>
      </c>
      <c r="M868">
        <v>0</v>
      </c>
      <c r="N868" t="s">
        <v>47</v>
      </c>
      <c r="O868">
        <v>0</v>
      </c>
      <c r="P868" t="s">
        <v>47</v>
      </c>
      <c r="Q868">
        <v>0</v>
      </c>
      <c r="R868" t="s">
        <v>47</v>
      </c>
      <c r="S868">
        <v>0</v>
      </c>
      <c r="T868" t="s">
        <v>47</v>
      </c>
    </row>
    <row r="869" spans="1:20" x14ac:dyDescent="0.35">
      <c r="A869" s="1" t="s">
        <v>2108</v>
      </c>
      <c r="B869" t="s">
        <v>14</v>
      </c>
      <c r="C869" t="s">
        <v>47</v>
      </c>
      <c r="D869" t="s">
        <v>1447</v>
      </c>
      <c r="E869">
        <v>1</v>
      </c>
      <c r="F869" t="s">
        <v>45</v>
      </c>
      <c r="G869">
        <v>1</v>
      </c>
      <c r="H869" t="s">
        <v>45</v>
      </c>
      <c r="I869">
        <v>0</v>
      </c>
      <c r="J869" t="s">
        <v>47</v>
      </c>
      <c r="K869">
        <v>0</v>
      </c>
      <c r="L869" t="s">
        <v>47</v>
      </c>
      <c r="M869">
        <v>0</v>
      </c>
      <c r="N869" t="s">
        <v>47</v>
      </c>
      <c r="O869">
        <v>0</v>
      </c>
      <c r="P869" t="s">
        <v>47</v>
      </c>
      <c r="Q869">
        <v>0</v>
      </c>
      <c r="R869" t="s">
        <v>47</v>
      </c>
      <c r="S869">
        <v>0</v>
      </c>
      <c r="T869" t="s">
        <v>47</v>
      </c>
    </row>
    <row r="870" spans="1:20" x14ac:dyDescent="0.35">
      <c r="A870" s="1" t="s">
        <v>2109</v>
      </c>
      <c r="B870" t="s">
        <v>14</v>
      </c>
      <c r="C870" t="s">
        <v>47</v>
      </c>
      <c r="D870" t="s">
        <v>1448</v>
      </c>
      <c r="E870">
        <v>0</v>
      </c>
      <c r="F870" t="s">
        <v>47</v>
      </c>
      <c r="G870">
        <v>1</v>
      </c>
      <c r="H870" t="s">
        <v>45</v>
      </c>
      <c r="I870">
        <v>0</v>
      </c>
      <c r="J870" t="s">
        <v>47</v>
      </c>
      <c r="K870">
        <v>0</v>
      </c>
      <c r="L870" t="s">
        <v>47</v>
      </c>
      <c r="M870">
        <v>0</v>
      </c>
      <c r="N870" t="s">
        <v>47</v>
      </c>
      <c r="O870">
        <v>0</v>
      </c>
      <c r="P870" t="s">
        <v>47</v>
      </c>
      <c r="Q870">
        <v>1</v>
      </c>
      <c r="R870" t="s">
        <v>45</v>
      </c>
      <c r="S870">
        <v>0</v>
      </c>
      <c r="T870" t="s">
        <v>47</v>
      </c>
    </row>
    <row r="871" spans="1:20" x14ac:dyDescent="0.35">
      <c r="A871" s="1" t="s">
        <v>2110</v>
      </c>
      <c r="B871" t="s">
        <v>14</v>
      </c>
      <c r="C871" t="s">
        <v>47</v>
      </c>
      <c r="D871" t="s">
        <v>1449</v>
      </c>
      <c r="E871">
        <v>0</v>
      </c>
      <c r="F871" t="s">
        <v>47</v>
      </c>
      <c r="G871">
        <v>1</v>
      </c>
      <c r="H871" t="s">
        <v>45</v>
      </c>
      <c r="I871">
        <v>0</v>
      </c>
      <c r="J871" t="s">
        <v>47</v>
      </c>
      <c r="K871">
        <v>0</v>
      </c>
      <c r="L871" t="s">
        <v>47</v>
      </c>
      <c r="M871">
        <v>0</v>
      </c>
      <c r="N871" t="s">
        <v>47</v>
      </c>
      <c r="O871">
        <v>0</v>
      </c>
      <c r="P871" t="s">
        <v>47</v>
      </c>
      <c r="Q871">
        <v>1</v>
      </c>
      <c r="R871" t="s">
        <v>45</v>
      </c>
      <c r="S871">
        <v>0</v>
      </c>
      <c r="T871" t="s">
        <v>47</v>
      </c>
    </row>
    <row r="872" spans="1:20" x14ac:dyDescent="0.35">
      <c r="A872" s="1" t="s">
        <v>2111</v>
      </c>
      <c r="B872" t="s">
        <v>14</v>
      </c>
      <c r="C872" t="s">
        <v>47</v>
      </c>
      <c r="D872" t="s">
        <v>1450</v>
      </c>
      <c r="E872">
        <v>1</v>
      </c>
      <c r="F872" t="s">
        <v>45</v>
      </c>
      <c r="G872">
        <v>1</v>
      </c>
      <c r="H872" t="s">
        <v>45</v>
      </c>
      <c r="I872">
        <v>0</v>
      </c>
      <c r="J872" t="s">
        <v>47</v>
      </c>
      <c r="K872">
        <v>0</v>
      </c>
      <c r="L872" t="s">
        <v>47</v>
      </c>
      <c r="M872">
        <v>0</v>
      </c>
      <c r="N872" t="s">
        <v>47</v>
      </c>
      <c r="O872">
        <v>0</v>
      </c>
      <c r="P872" t="s">
        <v>47</v>
      </c>
      <c r="Q872">
        <v>0</v>
      </c>
      <c r="R872" t="s">
        <v>47</v>
      </c>
      <c r="S872">
        <v>0</v>
      </c>
      <c r="T872" t="s">
        <v>47</v>
      </c>
    </row>
    <row r="873" spans="1:20" x14ac:dyDescent="0.35">
      <c r="A873" s="1" t="s">
        <v>2112</v>
      </c>
      <c r="B873" t="s">
        <v>14</v>
      </c>
      <c r="C873" t="s">
        <v>47</v>
      </c>
      <c r="D873" t="s">
        <v>1451</v>
      </c>
      <c r="E873">
        <v>1</v>
      </c>
      <c r="F873" t="s">
        <v>45</v>
      </c>
      <c r="G873">
        <v>1</v>
      </c>
      <c r="H873" t="s">
        <v>45</v>
      </c>
      <c r="I873">
        <v>0</v>
      </c>
      <c r="J873" t="s">
        <v>47</v>
      </c>
      <c r="K873">
        <v>0</v>
      </c>
      <c r="L873" t="s">
        <v>47</v>
      </c>
      <c r="M873">
        <v>0</v>
      </c>
      <c r="N873" t="s">
        <v>47</v>
      </c>
      <c r="O873">
        <v>1</v>
      </c>
      <c r="P873" t="s">
        <v>45</v>
      </c>
      <c r="Q873">
        <v>0</v>
      </c>
      <c r="R873" t="s">
        <v>47</v>
      </c>
      <c r="S873">
        <v>0</v>
      </c>
      <c r="T873" t="s">
        <v>47</v>
      </c>
    </row>
    <row r="874" spans="1:20" x14ac:dyDescent="0.35">
      <c r="A874" s="1" t="s">
        <v>2113</v>
      </c>
      <c r="B874" t="s">
        <v>16</v>
      </c>
      <c r="C874" t="s">
        <v>47</v>
      </c>
      <c r="D874" t="s">
        <v>1452</v>
      </c>
      <c r="E874">
        <v>0</v>
      </c>
      <c r="F874" t="s">
        <v>47</v>
      </c>
      <c r="G874">
        <v>1</v>
      </c>
      <c r="H874" t="s">
        <v>45</v>
      </c>
      <c r="I874">
        <v>0</v>
      </c>
      <c r="J874" t="s">
        <v>47</v>
      </c>
      <c r="K874">
        <v>0</v>
      </c>
      <c r="L874" t="s">
        <v>47</v>
      </c>
      <c r="M874">
        <v>0</v>
      </c>
      <c r="N874" t="s">
        <v>47</v>
      </c>
      <c r="O874">
        <v>1</v>
      </c>
      <c r="P874" t="s">
        <v>45</v>
      </c>
      <c r="Q874">
        <v>1</v>
      </c>
      <c r="R874" t="s">
        <v>45</v>
      </c>
      <c r="S874">
        <v>0</v>
      </c>
      <c r="T874" t="s">
        <v>47</v>
      </c>
    </row>
    <row r="875" spans="1:20" x14ac:dyDescent="0.35">
      <c r="A875" s="1" t="s">
        <v>2114</v>
      </c>
      <c r="B875" t="s">
        <v>16</v>
      </c>
      <c r="C875" t="s">
        <v>47</v>
      </c>
      <c r="D875" t="s">
        <v>1453</v>
      </c>
      <c r="E875">
        <v>0</v>
      </c>
      <c r="F875" t="s">
        <v>47</v>
      </c>
      <c r="G875">
        <v>1</v>
      </c>
      <c r="H875" t="s">
        <v>45</v>
      </c>
      <c r="I875">
        <v>0</v>
      </c>
      <c r="J875" t="s">
        <v>47</v>
      </c>
      <c r="K875">
        <v>0</v>
      </c>
      <c r="L875" t="s">
        <v>47</v>
      </c>
      <c r="M875">
        <v>0</v>
      </c>
      <c r="N875" t="s">
        <v>47</v>
      </c>
      <c r="O875">
        <v>0</v>
      </c>
      <c r="P875" t="s">
        <v>47</v>
      </c>
      <c r="Q875">
        <v>0</v>
      </c>
      <c r="R875" t="s">
        <v>47</v>
      </c>
      <c r="S875">
        <v>0</v>
      </c>
      <c r="T875" t="s">
        <v>47</v>
      </c>
    </row>
    <row r="876" spans="1:20" x14ac:dyDescent="0.35">
      <c r="A876" s="1" t="s">
        <v>2115</v>
      </c>
      <c r="B876" t="s">
        <v>16</v>
      </c>
      <c r="C876" t="s">
        <v>47</v>
      </c>
      <c r="D876" t="s">
        <v>1454</v>
      </c>
      <c r="E876">
        <v>0</v>
      </c>
      <c r="F876" t="s">
        <v>47</v>
      </c>
      <c r="G876">
        <v>1</v>
      </c>
      <c r="H876" t="s">
        <v>45</v>
      </c>
      <c r="I876">
        <v>0</v>
      </c>
      <c r="J876" t="s">
        <v>47</v>
      </c>
      <c r="K876">
        <v>0</v>
      </c>
      <c r="L876" t="s">
        <v>47</v>
      </c>
      <c r="M876">
        <v>0</v>
      </c>
      <c r="N876" t="s">
        <v>47</v>
      </c>
      <c r="O876">
        <v>0</v>
      </c>
      <c r="P876" t="s">
        <v>47</v>
      </c>
      <c r="Q876">
        <v>0</v>
      </c>
      <c r="R876" t="s">
        <v>47</v>
      </c>
      <c r="S876">
        <v>0</v>
      </c>
      <c r="T876" t="s">
        <v>47</v>
      </c>
    </row>
    <row r="877" spans="1:20" x14ac:dyDescent="0.35">
      <c r="A877" s="1" t="s">
        <v>2116</v>
      </c>
      <c r="B877" t="s">
        <v>14</v>
      </c>
      <c r="C877" t="s">
        <v>47</v>
      </c>
      <c r="D877" t="s">
        <v>1455</v>
      </c>
      <c r="E877">
        <v>0</v>
      </c>
      <c r="F877" t="s">
        <v>47</v>
      </c>
      <c r="G877">
        <v>1</v>
      </c>
      <c r="H877" t="s">
        <v>45</v>
      </c>
      <c r="I877">
        <v>0</v>
      </c>
      <c r="J877" t="s">
        <v>47</v>
      </c>
      <c r="K877">
        <v>0</v>
      </c>
      <c r="L877" t="s">
        <v>47</v>
      </c>
      <c r="M877">
        <v>0</v>
      </c>
      <c r="N877" t="s">
        <v>47</v>
      </c>
      <c r="O877">
        <v>0</v>
      </c>
      <c r="P877" t="s">
        <v>47</v>
      </c>
      <c r="Q877">
        <v>0</v>
      </c>
      <c r="R877" t="s">
        <v>47</v>
      </c>
      <c r="S877">
        <v>0</v>
      </c>
      <c r="T877" t="s">
        <v>47</v>
      </c>
    </row>
    <row r="878" spans="1:20" x14ac:dyDescent="0.35">
      <c r="A878" s="1" t="s">
        <v>2117</v>
      </c>
      <c r="B878" t="s">
        <v>14</v>
      </c>
      <c r="C878" t="s">
        <v>47</v>
      </c>
      <c r="D878" t="s">
        <v>1456</v>
      </c>
      <c r="E878">
        <v>0</v>
      </c>
      <c r="F878" t="s">
        <v>47</v>
      </c>
      <c r="G878">
        <v>0</v>
      </c>
      <c r="H878" t="s">
        <v>47</v>
      </c>
      <c r="I878">
        <v>0</v>
      </c>
      <c r="J878" t="s">
        <v>47</v>
      </c>
      <c r="K878">
        <v>0</v>
      </c>
      <c r="L878" t="s">
        <v>47</v>
      </c>
      <c r="M878">
        <v>0</v>
      </c>
      <c r="N878" t="s">
        <v>47</v>
      </c>
      <c r="O878">
        <v>0</v>
      </c>
      <c r="P878" t="s">
        <v>47</v>
      </c>
      <c r="Q878">
        <v>1</v>
      </c>
      <c r="R878" t="s">
        <v>45</v>
      </c>
      <c r="S878">
        <v>0</v>
      </c>
      <c r="T878" t="s">
        <v>47</v>
      </c>
    </row>
    <row r="879" spans="1:20" x14ac:dyDescent="0.35">
      <c r="A879" s="1" t="s">
        <v>2118</v>
      </c>
      <c r="B879" t="s">
        <v>16</v>
      </c>
      <c r="C879" t="s">
        <v>47</v>
      </c>
      <c r="D879" t="s">
        <v>1457</v>
      </c>
      <c r="E879">
        <v>1</v>
      </c>
      <c r="F879" t="s">
        <v>45</v>
      </c>
      <c r="G879">
        <v>1</v>
      </c>
      <c r="H879" t="s">
        <v>45</v>
      </c>
      <c r="I879">
        <v>0</v>
      </c>
      <c r="J879" t="s">
        <v>47</v>
      </c>
      <c r="K879">
        <v>0</v>
      </c>
      <c r="L879" t="s">
        <v>47</v>
      </c>
      <c r="M879">
        <v>0</v>
      </c>
      <c r="N879" t="s">
        <v>47</v>
      </c>
      <c r="O879">
        <v>0</v>
      </c>
      <c r="P879" t="s">
        <v>47</v>
      </c>
      <c r="Q879">
        <v>0</v>
      </c>
      <c r="R879" t="s">
        <v>47</v>
      </c>
      <c r="S879">
        <v>0</v>
      </c>
      <c r="T879" t="s">
        <v>47</v>
      </c>
    </row>
    <row r="880" spans="1:20" x14ac:dyDescent="0.35">
      <c r="A880" s="1" t="s">
        <v>2119</v>
      </c>
      <c r="B880" t="s">
        <v>14</v>
      </c>
      <c r="C880" t="s">
        <v>47</v>
      </c>
      <c r="D880" t="s">
        <v>1458</v>
      </c>
      <c r="E880">
        <v>0</v>
      </c>
      <c r="F880" t="s">
        <v>47</v>
      </c>
      <c r="G880">
        <v>1</v>
      </c>
      <c r="H880" t="s">
        <v>45</v>
      </c>
      <c r="I880">
        <v>0</v>
      </c>
      <c r="J880" t="s">
        <v>47</v>
      </c>
      <c r="K880">
        <v>0</v>
      </c>
      <c r="L880" t="s">
        <v>47</v>
      </c>
      <c r="M880">
        <v>0</v>
      </c>
      <c r="N880" t="s">
        <v>47</v>
      </c>
      <c r="O880">
        <v>0</v>
      </c>
      <c r="P880" t="s">
        <v>47</v>
      </c>
      <c r="Q880">
        <v>0</v>
      </c>
      <c r="R880" t="s">
        <v>47</v>
      </c>
      <c r="S880">
        <v>0</v>
      </c>
      <c r="T880" t="s">
        <v>47</v>
      </c>
    </row>
    <row r="881" spans="1:20" x14ac:dyDescent="0.35">
      <c r="A881" s="1" t="s">
        <v>2120</v>
      </c>
      <c r="B881" t="s">
        <v>14</v>
      </c>
      <c r="C881" t="s">
        <v>47</v>
      </c>
      <c r="D881" t="s">
        <v>1462</v>
      </c>
      <c r="E881">
        <v>0</v>
      </c>
      <c r="F881" t="s">
        <v>47</v>
      </c>
      <c r="G881">
        <v>1</v>
      </c>
      <c r="H881" t="s">
        <v>45</v>
      </c>
      <c r="I881">
        <v>0</v>
      </c>
      <c r="J881" t="s">
        <v>47</v>
      </c>
      <c r="K881">
        <v>0</v>
      </c>
      <c r="L881" t="s">
        <v>47</v>
      </c>
      <c r="M881">
        <v>0</v>
      </c>
      <c r="N881" t="s">
        <v>47</v>
      </c>
      <c r="O881">
        <v>0</v>
      </c>
      <c r="P881" t="s">
        <v>47</v>
      </c>
      <c r="Q881">
        <v>0</v>
      </c>
      <c r="R881" t="s">
        <v>47</v>
      </c>
      <c r="S881">
        <v>0</v>
      </c>
      <c r="T881" t="s">
        <v>47</v>
      </c>
    </row>
    <row r="882" spans="1:20" x14ac:dyDescent="0.35">
      <c r="A882" s="1" t="s">
        <v>2121</v>
      </c>
      <c r="B882" t="s">
        <v>14</v>
      </c>
      <c r="C882" t="s">
        <v>47</v>
      </c>
      <c r="D882" t="s">
        <v>1463</v>
      </c>
      <c r="E882">
        <v>0</v>
      </c>
      <c r="F882" t="s">
        <v>47</v>
      </c>
      <c r="G882">
        <v>1</v>
      </c>
      <c r="H882" t="s">
        <v>45</v>
      </c>
      <c r="I882">
        <v>0</v>
      </c>
      <c r="J882" t="s">
        <v>47</v>
      </c>
      <c r="K882">
        <v>0</v>
      </c>
      <c r="L882" t="s">
        <v>47</v>
      </c>
      <c r="M882">
        <v>0</v>
      </c>
      <c r="N882" t="s">
        <v>47</v>
      </c>
      <c r="O882">
        <v>0</v>
      </c>
      <c r="P882" t="s">
        <v>47</v>
      </c>
      <c r="Q882">
        <v>0</v>
      </c>
      <c r="R882" t="s">
        <v>47</v>
      </c>
      <c r="S882">
        <v>0</v>
      </c>
      <c r="T882" t="s">
        <v>47</v>
      </c>
    </row>
    <row r="883" spans="1:20" x14ac:dyDescent="0.35">
      <c r="A883" s="1" t="s">
        <v>2122</v>
      </c>
      <c r="B883" t="s">
        <v>14</v>
      </c>
      <c r="C883" t="s">
        <v>47</v>
      </c>
      <c r="D883" t="s">
        <v>1464</v>
      </c>
      <c r="E883">
        <v>0</v>
      </c>
      <c r="F883" t="s">
        <v>47</v>
      </c>
      <c r="G883">
        <v>1</v>
      </c>
      <c r="H883" t="s">
        <v>45</v>
      </c>
      <c r="I883">
        <v>0</v>
      </c>
      <c r="J883" t="s">
        <v>47</v>
      </c>
      <c r="K883">
        <v>0</v>
      </c>
      <c r="L883" t="s">
        <v>47</v>
      </c>
      <c r="M883">
        <v>0</v>
      </c>
      <c r="N883" t="s">
        <v>47</v>
      </c>
      <c r="O883">
        <v>0</v>
      </c>
      <c r="P883" t="s">
        <v>47</v>
      </c>
      <c r="Q883">
        <v>0</v>
      </c>
      <c r="R883" t="s">
        <v>47</v>
      </c>
      <c r="S883">
        <v>0</v>
      </c>
      <c r="T883" t="s">
        <v>47</v>
      </c>
    </row>
    <row r="884" spans="1:20" x14ac:dyDescent="0.35">
      <c r="A884" s="1" t="s">
        <v>2123</v>
      </c>
      <c r="B884" t="s">
        <v>14</v>
      </c>
      <c r="C884" t="s">
        <v>47</v>
      </c>
      <c r="D884" t="s">
        <v>1465</v>
      </c>
      <c r="E884">
        <v>0</v>
      </c>
      <c r="F884" t="s">
        <v>47</v>
      </c>
      <c r="G884">
        <v>1</v>
      </c>
      <c r="H884" t="s">
        <v>45</v>
      </c>
      <c r="I884">
        <v>0</v>
      </c>
      <c r="J884" t="s">
        <v>47</v>
      </c>
      <c r="K884">
        <v>0</v>
      </c>
      <c r="L884" t="s">
        <v>47</v>
      </c>
      <c r="M884">
        <v>0</v>
      </c>
      <c r="N884" t="s">
        <v>47</v>
      </c>
      <c r="O884">
        <v>0</v>
      </c>
      <c r="P884" t="s">
        <v>47</v>
      </c>
      <c r="Q884">
        <v>0</v>
      </c>
      <c r="R884" t="s">
        <v>47</v>
      </c>
      <c r="S884">
        <v>0</v>
      </c>
      <c r="T884" t="s">
        <v>47</v>
      </c>
    </row>
    <row r="885" spans="1:20" x14ac:dyDescent="0.35">
      <c r="A885" s="1" t="s">
        <v>2124</v>
      </c>
      <c r="B885" t="s">
        <v>14</v>
      </c>
      <c r="C885" t="s">
        <v>47</v>
      </c>
      <c r="D885" t="s">
        <v>1466</v>
      </c>
      <c r="E885">
        <v>0</v>
      </c>
      <c r="F885" t="s">
        <v>47</v>
      </c>
      <c r="G885">
        <v>1</v>
      </c>
      <c r="H885" t="s">
        <v>45</v>
      </c>
      <c r="I885">
        <v>0</v>
      </c>
      <c r="J885" t="s">
        <v>47</v>
      </c>
      <c r="K885">
        <v>0</v>
      </c>
      <c r="L885" t="s">
        <v>47</v>
      </c>
      <c r="M885">
        <v>0</v>
      </c>
      <c r="N885" t="s">
        <v>47</v>
      </c>
      <c r="O885">
        <v>0</v>
      </c>
      <c r="P885" t="s">
        <v>47</v>
      </c>
      <c r="Q885">
        <v>0</v>
      </c>
      <c r="R885" t="s">
        <v>47</v>
      </c>
      <c r="S885">
        <v>0</v>
      </c>
      <c r="T885" t="s">
        <v>47</v>
      </c>
    </row>
    <row r="886" spans="1:20" x14ac:dyDescent="0.35">
      <c r="A886" s="1" t="s">
        <v>2125</v>
      </c>
      <c r="B886" t="s">
        <v>14</v>
      </c>
      <c r="C886" t="s">
        <v>47</v>
      </c>
      <c r="D886" t="s">
        <v>1467</v>
      </c>
      <c r="E886">
        <v>1</v>
      </c>
      <c r="F886" t="s">
        <v>45</v>
      </c>
      <c r="G886">
        <v>0</v>
      </c>
      <c r="H886" t="s">
        <v>47</v>
      </c>
      <c r="I886">
        <v>0</v>
      </c>
      <c r="J886" t="s">
        <v>47</v>
      </c>
      <c r="K886">
        <v>0</v>
      </c>
      <c r="L886" t="s">
        <v>47</v>
      </c>
      <c r="M886">
        <v>0</v>
      </c>
      <c r="N886" t="s">
        <v>47</v>
      </c>
      <c r="O886">
        <v>1</v>
      </c>
      <c r="P886" t="s">
        <v>45</v>
      </c>
      <c r="Q886">
        <v>1</v>
      </c>
      <c r="R886" t="s">
        <v>45</v>
      </c>
      <c r="S886">
        <v>0</v>
      </c>
      <c r="T886" t="s">
        <v>47</v>
      </c>
    </row>
    <row r="887" spans="1:20" x14ac:dyDescent="0.35">
      <c r="A887" s="1" t="s">
        <v>2126</v>
      </c>
      <c r="B887" t="s">
        <v>16</v>
      </c>
      <c r="C887" t="s">
        <v>47</v>
      </c>
      <c r="D887" t="s">
        <v>1468</v>
      </c>
      <c r="E887">
        <v>1</v>
      </c>
      <c r="F887" t="s">
        <v>45</v>
      </c>
      <c r="G887">
        <v>1</v>
      </c>
      <c r="H887" t="s">
        <v>45</v>
      </c>
      <c r="I887">
        <v>0</v>
      </c>
      <c r="J887" t="s">
        <v>47</v>
      </c>
      <c r="K887">
        <v>0</v>
      </c>
      <c r="L887" t="s">
        <v>47</v>
      </c>
      <c r="M887">
        <v>0</v>
      </c>
      <c r="N887" t="s">
        <v>47</v>
      </c>
      <c r="O887">
        <v>1</v>
      </c>
      <c r="P887" t="s">
        <v>45</v>
      </c>
      <c r="Q887">
        <v>0</v>
      </c>
      <c r="R887" t="s">
        <v>47</v>
      </c>
      <c r="S887">
        <v>0</v>
      </c>
      <c r="T887" t="s">
        <v>47</v>
      </c>
    </row>
    <row r="888" spans="1:20" x14ac:dyDescent="0.35">
      <c r="A888" s="1" t="s">
        <v>2127</v>
      </c>
      <c r="B888" t="s">
        <v>16</v>
      </c>
      <c r="C888" t="s">
        <v>47</v>
      </c>
      <c r="D888" t="s">
        <v>1469</v>
      </c>
      <c r="E888">
        <v>1</v>
      </c>
      <c r="F888" t="s">
        <v>45</v>
      </c>
      <c r="G888">
        <v>1</v>
      </c>
      <c r="H888" t="s">
        <v>45</v>
      </c>
      <c r="I888">
        <v>0</v>
      </c>
      <c r="J888" t="s">
        <v>47</v>
      </c>
      <c r="K888">
        <v>0</v>
      </c>
      <c r="L888" t="s">
        <v>47</v>
      </c>
      <c r="M888">
        <v>0</v>
      </c>
      <c r="N888" t="s">
        <v>47</v>
      </c>
      <c r="O888">
        <v>0</v>
      </c>
      <c r="P888" t="s">
        <v>47</v>
      </c>
      <c r="Q888">
        <v>0</v>
      </c>
      <c r="R888" t="s">
        <v>47</v>
      </c>
      <c r="S888">
        <v>0</v>
      </c>
      <c r="T888" t="s">
        <v>47</v>
      </c>
    </row>
    <row r="889" spans="1:20" x14ac:dyDescent="0.35">
      <c r="A889" s="1" t="s">
        <v>2128</v>
      </c>
      <c r="B889" t="s">
        <v>16</v>
      </c>
      <c r="C889" t="s">
        <v>47</v>
      </c>
      <c r="D889" t="s">
        <v>1470</v>
      </c>
      <c r="E889">
        <v>0</v>
      </c>
      <c r="F889" t="s">
        <v>47</v>
      </c>
      <c r="G889">
        <v>1</v>
      </c>
      <c r="H889" t="s">
        <v>45</v>
      </c>
      <c r="I889">
        <v>0</v>
      </c>
      <c r="J889" t="s">
        <v>47</v>
      </c>
      <c r="K889">
        <v>0</v>
      </c>
      <c r="L889" t="s">
        <v>47</v>
      </c>
      <c r="M889">
        <v>0</v>
      </c>
      <c r="N889" t="s">
        <v>47</v>
      </c>
      <c r="O889">
        <v>0</v>
      </c>
      <c r="P889" t="s">
        <v>47</v>
      </c>
      <c r="Q889">
        <v>0</v>
      </c>
      <c r="R889" t="s">
        <v>47</v>
      </c>
      <c r="S889">
        <v>0</v>
      </c>
      <c r="T889" t="s">
        <v>47</v>
      </c>
    </row>
    <row r="890" spans="1:20" x14ac:dyDescent="0.35">
      <c r="A890" s="1" t="s">
        <v>2129</v>
      </c>
      <c r="B890" t="s">
        <v>14</v>
      </c>
      <c r="C890" t="s">
        <v>47</v>
      </c>
      <c r="D890" t="s">
        <v>1459</v>
      </c>
      <c r="E890">
        <v>0</v>
      </c>
      <c r="F890" t="s">
        <v>47</v>
      </c>
      <c r="G890">
        <v>1</v>
      </c>
      <c r="H890" t="s">
        <v>45</v>
      </c>
      <c r="I890">
        <v>0</v>
      </c>
      <c r="J890" t="s">
        <v>47</v>
      </c>
      <c r="K890">
        <v>0</v>
      </c>
      <c r="L890" t="s">
        <v>47</v>
      </c>
      <c r="M890">
        <v>0</v>
      </c>
      <c r="N890" t="s">
        <v>47</v>
      </c>
      <c r="O890">
        <v>0</v>
      </c>
      <c r="P890" t="s">
        <v>47</v>
      </c>
      <c r="Q890">
        <v>0</v>
      </c>
      <c r="R890" t="s">
        <v>47</v>
      </c>
      <c r="S890">
        <v>0</v>
      </c>
      <c r="T890" t="s">
        <v>47</v>
      </c>
    </row>
    <row r="891" spans="1:20" x14ac:dyDescent="0.35">
      <c r="A891" s="1" t="s">
        <v>2130</v>
      </c>
      <c r="B891" t="s">
        <v>14</v>
      </c>
      <c r="C891" t="s">
        <v>47</v>
      </c>
      <c r="D891" t="s">
        <v>1460</v>
      </c>
      <c r="E891">
        <v>1</v>
      </c>
      <c r="F891" t="s">
        <v>45</v>
      </c>
      <c r="G891">
        <v>0</v>
      </c>
      <c r="H891" t="s">
        <v>47</v>
      </c>
      <c r="I891">
        <v>0</v>
      </c>
      <c r="J891" t="s">
        <v>47</v>
      </c>
      <c r="K891">
        <v>0</v>
      </c>
      <c r="L891" t="s">
        <v>47</v>
      </c>
      <c r="M891">
        <v>0</v>
      </c>
      <c r="N891" t="s">
        <v>47</v>
      </c>
      <c r="O891">
        <v>0</v>
      </c>
      <c r="P891" t="s">
        <v>47</v>
      </c>
      <c r="Q891">
        <v>0</v>
      </c>
      <c r="R891" t="s">
        <v>47</v>
      </c>
      <c r="S891">
        <v>0</v>
      </c>
      <c r="T891" t="s">
        <v>47</v>
      </c>
    </row>
    <row r="892" spans="1:20" x14ac:dyDescent="0.35">
      <c r="A892" s="1" t="s">
        <v>2131</v>
      </c>
      <c r="B892" t="s">
        <v>16</v>
      </c>
      <c r="C892" t="s">
        <v>47</v>
      </c>
      <c r="D892" t="s">
        <v>1461</v>
      </c>
      <c r="E892">
        <v>0</v>
      </c>
      <c r="F892" t="s">
        <v>47</v>
      </c>
      <c r="G892">
        <v>1</v>
      </c>
      <c r="H892" t="s">
        <v>55</v>
      </c>
      <c r="I892">
        <v>0</v>
      </c>
      <c r="J892" t="s">
        <v>47</v>
      </c>
      <c r="K892">
        <v>0</v>
      </c>
      <c r="L892" t="s">
        <v>47</v>
      </c>
      <c r="M892">
        <v>0</v>
      </c>
      <c r="N892" t="s">
        <v>47</v>
      </c>
      <c r="O892">
        <v>0</v>
      </c>
      <c r="P892" t="s">
        <v>47</v>
      </c>
      <c r="Q892">
        <v>0</v>
      </c>
      <c r="R892" t="s">
        <v>47</v>
      </c>
      <c r="S892">
        <v>0</v>
      </c>
      <c r="T892" t="s">
        <v>47</v>
      </c>
    </row>
    <row r="893" spans="1:20" x14ac:dyDescent="0.35">
      <c r="A893" s="1" t="s">
        <v>2132</v>
      </c>
      <c r="B893" t="s">
        <v>14</v>
      </c>
      <c r="C893" t="s">
        <v>47</v>
      </c>
      <c r="D893" t="s">
        <v>1471</v>
      </c>
      <c r="E893">
        <v>0</v>
      </c>
      <c r="F893" t="s">
        <v>47</v>
      </c>
      <c r="G893">
        <v>1</v>
      </c>
      <c r="H893" t="s">
        <v>45</v>
      </c>
      <c r="I893">
        <v>0</v>
      </c>
      <c r="J893" t="s">
        <v>47</v>
      </c>
      <c r="K893">
        <v>0</v>
      </c>
      <c r="L893" t="s">
        <v>47</v>
      </c>
      <c r="M893">
        <v>0</v>
      </c>
      <c r="N893" t="s">
        <v>47</v>
      </c>
      <c r="O893">
        <v>0</v>
      </c>
      <c r="P893" t="s">
        <v>47</v>
      </c>
      <c r="Q893">
        <v>0</v>
      </c>
      <c r="R893" t="s">
        <v>47</v>
      </c>
      <c r="S893">
        <v>0</v>
      </c>
      <c r="T893" t="s">
        <v>47</v>
      </c>
    </row>
    <row r="894" spans="1:20" x14ac:dyDescent="0.35">
      <c r="A894" s="1" t="s">
        <v>2133</v>
      </c>
      <c r="B894" t="s">
        <v>14</v>
      </c>
      <c r="C894" t="s">
        <v>47</v>
      </c>
      <c r="D894" t="s">
        <v>1472</v>
      </c>
      <c r="E894">
        <v>0</v>
      </c>
      <c r="F894" t="s">
        <v>47</v>
      </c>
      <c r="G894">
        <v>0</v>
      </c>
      <c r="H894" t="s">
        <v>47</v>
      </c>
      <c r="I894">
        <v>0</v>
      </c>
      <c r="J894" t="s">
        <v>47</v>
      </c>
      <c r="K894">
        <v>0</v>
      </c>
      <c r="L894" t="s">
        <v>47</v>
      </c>
      <c r="M894">
        <v>0</v>
      </c>
      <c r="N894" t="s">
        <v>47</v>
      </c>
      <c r="O894">
        <v>0</v>
      </c>
      <c r="P894" t="s">
        <v>47</v>
      </c>
      <c r="Q894">
        <v>1</v>
      </c>
      <c r="R894" t="s">
        <v>45</v>
      </c>
      <c r="S894">
        <v>0</v>
      </c>
      <c r="T894" t="s">
        <v>47</v>
      </c>
    </row>
    <row r="895" spans="1:20" x14ac:dyDescent="0.35">
      <c r="A895" s="1" t="s">
        <v>2134</v>
      </c>
      <c r="B895" t="s">
        <v>14</v>
      </c>
      <c r="C895" t="s">
        <v>47</v>
      </c>
      <c r="D895" t="s">
        <v>1473</v>
      </c>
      <c r="E895">
        <v>0</v>
      </c>
      <c r="F895" t="s">
        <v>47</v>
      </c>
      <c r="G895">
        <v>0</v>
      </c>
      <c r="H895" t="s">
        <v>47</v>
      </c>
      <c r="I895">
        <v>0</v>
      </c>
      <c r="J895" t="s">
        <v>47</v>
      </c>
      <c r="K895">
        <v>0</v>
      </c>
      <c r="L895" t="s">
        <v>47</v>
      </c>
      <c r="M895">
        <v>0</v>
      </c>
      <c r="N895" t="s">
        <v>47</v>
      </c>
      <c r="O895">
        <v>0</v>
      </c>
      <c r="P895" t="s">
        <v>47</v>
      </c>
      <c r="Q895">
        <v>1</v>
      </c>
      <c r="R895" t="s">
        <v>45</v>
      </c>
      <c r="S895">
        <v>0</v>
      </c>
      <c r="T895" t="s">
        <v>47</v>
      </c>
    </row>
    <row r="896" spans="1:20" x14ac:dyDescent="0.35">
      <c r="A896" s="1" t="s">
        <v>2135</v>
      </c>
      <c r="B896" t="s">
        <v>14</v>
      </c>
      <c r="C896" t="s">
        <v>47</v>
      </c>
      <c r="D896" t="s">
        <v>1474</v>
      </c>
      <c r="E896">
        <v>0</v>
      </c>
      <c r="F896" t="s">
        <v>47</v>
      </c>
      <c r="G896">
        <v>0</v>
      </c>
      <c r="H896" t="s">
        <v>47</v>
      </c>
      <c r="I896">
        <v>0</v>
      </c>
      <c r="J896" t="s">
        <v>47</v>
      </c>
      <c r="K896">
        <v>0</v>
      </c>
      <c r="L896" t="s">
        <v>47</v>
      </c>
      <c r="M896">
        <v>0</v>
      </c>
      <c r="N896" t="s">
        <v>47</v>
      </c>
      <c r="O896">
        <v>0</v>
      </c>
      <c r="P896" t="s">
        <v>47</v>
      </c>
      <c r="Q896">
        <v>1</v>
      </c>
      <c r="R896" t="s">
        <v>45</v>
      </c>
      <c r="S896">
        <v>0</v>
      </c>
      <c r="T896" t="s">
        <v>47</v>
      </c>
    </row>
    <row r="897" spans="1:20" x14ac:dyDescent="0.35">
      <c r="A897" s="1" t="s">
        <v>2136</v>
      </c>
      <c r="B897" t="s">
        <v>14</v>
      </c>
      <c r="C897" t="s">
        <v>47</v>
      </c>
      <c r="D897" t="s">
        <v>1475</v>
      </c>
      <c r="E897">
        <v>0</v>
      </c>
      <c r="F897" t="s">
        <v>47</v>
      </c>
      <c r="G897">
        <v>0</v>
      </c>
      <c r="H897" t="s">
        <v>47</v>
      </c>
      <c r="I897">
        <v>0</v>
      </c>
      <c r="J897" t="s">
        <v>47</v>
      </c>
      <c r="K897">
        <v>0</v>
      </c>
      <c r="L897" t="s">
        <v>47</v>
      </c>
      <c r="M897">
        <v>0</v>
      </c>
      <c r="N897" t="s">
        <v>47</v>
      </c>
      <c r="O897">
        <v>0</v>
      </c>
      <c r="P897" t="s">
        <v>47</v>
      </c>
      <c r="Q897">
        <v>1</v>
      </c>
      <c r="R897" t="s">
        <v>45</v>
      </c>
      <c r="S897">
        <v>0</v>
      </c>
      <c r="T897" t="s">
        <v>47</v>
      </c>
    </row>
    <row r="898" spans="1:20" x14ac:dyDescent="0.35">
      <c r="A898" s="1" t="s">
        <v>2137</v>
      </c>
      <c r="B898" t="s">
        <v>14</v>
      </c>
      <c r="C898" t="s">
        <v>47</v>
      </c>
      <c r="D898" t="s">
        <v>1476</v>
      </c>
      <c r="E898">
        <v>0</v>
      </c>
      <c r="F898" t="s">
        <v>47</v>
      </c>
      <c r="G898">
        <v>0</v>
      </c>
      <c r="H898" t="s">
        <v>47</v>
      </c>
      <c r="I898">
        <v>0</v>
      </c>
      <c r="J898" t="s">
        <v>47</v>
      </c>
      <c r="K898">
        <v>0</v>
      </c>
      <c r="L898" t="s">
        <v>47</v>
      </c>
      <c r="M898">
        <v>0</v>
      </c>
      <c r="N898" t="s">
        <v>47</v>
      </c>
      <c r="O898">
        <v>0</v>
      </c>
      <c r="P898" t="s">
        <v>47</v>
      </c>
      <c r="Q898">
        <v>1</v>
      </c>
      <c r="R898" t="s">
        <v>45</v>
      </c>
      <c r="S898">
        <v>0</v>
      </c>
      <c r="T898" t="s">
        <v>47</v>
      </c>
    </row>
    <row r="899" spans="1:20" x14ac:dyDescent="0.35">
      <c r="A899" s="1" t="s">
        <v>2138</v>
      </c>
      <c r="B899" t="s">
        <v>16</v>
      </c>
      <c r="C899" t="s">
        <v>47</v>
      </c>
      <c r="D899" t="s">
        <v>1477</v>
      </c>
      <c r="E899">
        <v>0</v>
      </c>
      <c r="F899" t="s">
        <v>47</v>
      </c>
      <c r="G899">
        <v>1</v>
      </c>
      <c r="H899" t="s">
        <v>45</v>
      </c>
      <c r="I899">
        <v>0</v>
      </c>
      <c r="J899" t="s">
        <v>47</v>
      </c>
      <c r="K899">
        <v>0</v>
      </c>
      <c r="L899" t="s">
        <v>47</v>
      </c>
      <c r="M899">
        <v>0</v>
      </c>
      <c r="N899" t="s">
        <v>47</v>
      </c>
      <c r="O899">
        <v>0</v>
      </c>
      <c r="P899" t="s">
        <v>47</v>
      </c>
      <c r="Q899">
        <v>0</v>
      </c>
      <c r="R899" t="s">
        <v>47</v>
      </c>
      <c r="S899">
        <v>0</v>
      </c>
      <c r="T899" t="s">
        <v>47</v>
      </c>
    </row>
    <row r="900" spans="1:20" x14ac:dyDescent="0.35">
      <c r="A900" s="1" t="s">
        <v>2139</v>
      </c>
      <c r="B900" t="s">
        <v>16</v>
      </c>
      <c r="C900" t="s">
        <v>47</v>
      </c>
      <c r="D900" t="s">
        <v>1478</v>
      </c>
      <c r="E900">
        <v>1</v>
      </c>
      <c r="F900" t="s">
        <v>45</v>
      </c>
      <c r="G900">
        <v>1</v>
      </c>
      <c r="H900" t="s">
        <v>45</v>
      </c>
      <c r="I900">
        <v>0</v>
      </c>
      <c r="J900" t="s">
        <v>47</v>
      </c>
      <c r="K900">
        <v>0</v>
      </c>
      <c r="L900" t="s">
        <v>47</v>
      </c>
      <c r="M900">
        <v>0</v>
      </c>
      <c r="N900" t="s">
        <v>47</v>
      </c>
      <c r="O900">
        <v>0</v>
      </c>
      <c r="P900" t="s">
        <v>47</v>
      </c>
      <c r="Q900">
        <v>0</v>
      </c>
      <c r="R900" t="s">
        <v>47</v>
      </c>
      <c r="S900">
        <v>0</v>
      </c>
      <c r="T900" t="s">
        <v>47</v>
      </c>
    </row>
    <row r="901" spans="1:20" x14ac:dyDescent="0.35">
      <c r="A901" s="1" t="s">
        <v>2140</v>
      </c>
      <c r="B901" t="s">
        <v>16</v>
      </c>
      <c r="C901" t="s">
        <v>47</v>
      </c>
      <c r="D901" t="s">
        <v>1479</v>
      </c>
      <c r="E901">
        <v>1</v>
      </c>
      <c r="F901" t="s">
        <v>45</v>
      </c>
      <c r="G901">
        <v>1</v>
      </c>
      <c r="H901" t="s">
        <v>45</v>
      </c>
      <c r="I901">
        <v>0</v>
      </c>
      <c r="J901" t="s">
        <v>47</v>
      </c>
      <c r="K901">
        <v>0</v>
      </c>
      <c r="L901" t="s">
        <v>47</v>
      </c>
      <c r="M901">
        <v>0</v>
      </c>
      <c r="N901" t="s">
        <v>47</v>
      </c>
      <c r="O901">
        <v>0</v>
      </c>
      <c r="P901" t="s">
        <v>47</v>
      </c>
      <c r="Q901">
        <v>0</v>
      </c>
      <c r="R901" t="s">
        <v>47</v>
      </c>
      <c r="S901">
        <v>0</v>
      </c>
      <c r="T901" t="s">
        <v>47</v>
      </c>
    </row>
    <row r="902" spans="1:20" x14ac:dyDescent="0.35">
      <c r="A902" s="1" t="s">
        <v>2141</v>
      </c>
      <c r="B902" t="s">
        <v>14</v>
      </c>
      <c r="C902" t="s">
        <v>47</v>
      </c>
      <c r="D902" t="s">
        <v>1481</v>
      </c>
      <c r="E902">
        <v>0</v>
      </c>
      <c r="F902" t="s">
        <v>47</v>
      </c>
      <c r="G902">
        <v>1</v>
      </c>
      <c r="H902" t="s">
        <v>45</v>
      </c>
      <c r="I902">
        <v>0</v>
      </c>
      <c r="J902" t="s">
        <v>47</v>
      </c>
      <c r="K902">
        <v>0</v>
      </c>
      <c r="L902" t="s">
        <v>47</v>
      </c>
      <c r="M902">
        <v>0</v>
      </c>
      <c r="N902" t="s">
        <v>47</v>
      </c>
      <c r="O902">
        <v>0</v>
      </c>
      <c r="P902" t="s">
        <v>47</v>
      </c>
      <c r="Q902">
        <v>0</v>
      </c>
      <c r="R902" t="s">
        <v>47</v>
      </c>
      <c r="S902">
        <v>0</v>
      </c>
      <c r="T902" t="s">
        <v>47</v>
      </c>
    </row>
    <row r="903" spans="1:20" x14ac:dyDescent="0.35">
      <c r="A903" s="1" t="s">
        <v>2142</v>
      </c>
      <c r="B903" t="s">
        <v>14</v>
      </c>
      <c r="C903" t="s">
        <v>47</v>
      </c>
      <c r="D903" t="s">
        <v>1482</v>
      </c>
      <c r="E903">
        <v>1</v>
      </c>
      <c r="F903" t="s">
        <v>45</v>
      </c>
      <c r="G903">
        <v>1</v>
      </c>
      <c r="H903" t="s">
        <v>45</v>
      </c>
      <c r="I903">
        <v>0</v>
      </c>
      <c r="J903" t="s">
        <v>47</v>
      </c>
      <c r="K903">
        <v>0</v>
      </c>
      <c r="L903" t="s">
        <v>47</v>
      </c>
      <c r="M903">
        <v>0</v>
      </c>
      <c r="N903" t="s">
        <v>47</v>
      </c>
      <c r="O903">
        <v>0</v>
      </c>
      <c r="P903" t="s">
        <v>47</v>
      </c>
      <c r="Q903">
        <v>0</v>
      </c>
      <c r="R903" t="s">
        <v>47</v>
      </c>
      <c r="S903">
        <v>0</v>
      </c>
      <c r="T903" t="s">
        <v>47</v>
      </c>
    </row>
    <row r="904" spans="1:20" x14ac:dyDescent="0.35">
      <c r="A904" s="1" t="s">
        <v>2143</v>
      </c>
      <c r="B904" t="s">
        <v>16</v>
      </c>
      <c r="C904" t="s">
        <v>47</v>
      </c>
      <c r="D904" t="s">
        <v>1483</v>
      </c>
      <c r="E904">
        <v>0</v>
      </c>
      <c r="F904" t="s">
        <v>47</v>
      </c>
      <c r="G904">
        <v>1</v>
      </c>
      <c r="H904" t="s">
        <v>45</v>
      </c>
      <c r="I904">
        <v>0</v>
      </c>
      <c r="J904" t="s">
        <v>47</v>
      </c>
      <c r="K904">
        <v>0</v>
      </c>
      <c r="L904" t="s">
        <v>47</v>
      </c>
      <c r="M904">
        <v>0</v>
      </c>
      <c r="N904" t="s">
        <v>47</v>
      </c>
      <c r="O904">
        <v>1</v>
      </c>
      <c r="P904" t="s">
        <v>45</v>
      </c>
      <c r="Q904">
        <v>0</v>
      </c>
      <c r="R904" t="s">
        <v>47</v>
      </c>
      <c r="S904">
        <v>0</v>
      </c>
      <c r="T904" t="s">
        <v>47</v>
      </c>
    </row>
    <row r="905" spans="1:20" x14ac:dyDescent="0.35">
      <c r="A905" s="1" t="s">
        <v>2144</v>
      </c>
      <c r="B905" t="s">
        <v>16</v>
      </c>
      <c r="C905" t="s">
        <v>47</v>
      </c>
      <c r="D905" t="s">
        <v>1484</v>
      </c>
      <c r="E905">
        <v>1</v>
      </c>
      <c r="F905" t="s">
        <v>45</v>
      </c>
      <c r="G905">
        <v>1</v>
      </c>
      <c r="H905" t="s">
        <v>45</v>
      </c>
      <c r="I905">
        <v>0</v>
      </c>
      <c r="J905" t="s">
        <v>47</v>
      </c>
      <c r="K905">
        <v>0</v>
      </c>
      <c r="L905" t="s">
        <v>47</v>
      </c>
      <c r="M905">
        <v>0</v>
      </c>
      <c r="N905" t="s">
        <v>47</v>
      </c>
      <c r="O905">
        <v>0</v>
      </c>
      <c r="P905" t="s">
        <v>47</v>
      </c>
      <c r="Q905">
        <v>0</v>
      </c>
      <c r="R905" t="s">
        <v>47</v>
      </c>
      <c r="S905">
        <v>0</v>
      </c>
      <c r="T905" t="s">
        <v>47</v>
      </c>
    </row>
    <row r="906" spans="1:20" x14ac:dyDescent="0.35">
      <c r="A906" s="1" t="s">
        <v>2145</v>
      </c>
      <c r="B906" t="s">
        <v>16</v>
      </c>
      <c r="C906" t="s">
        <v>47</v>
      </c>
      <c r="D906" t="s">
        <v>1485</v>
      </c>
      <c r="E906">
        <v>0</v>
      </c>
      <c r="F906" t="s">
        <v>47</v>
      </c>
      <c r="G906">
        <v>1</v>
      </c>
      <c r="H906" t="s">
        <v>45</v>
      </c>
      <c r="I906">
        <v>0</v>
      </c>
      <c r="J906" t="s">
        <v>47</v>
      </c>
      <c r="K906">
        <v>0</v>
      </c>
      <c r="L906" t="s">
        <v>47</v>
      </c>
      <c r="M906">
        <v>0</v>
      </c>
      <c r="N906" t="s">
        <v>47</v>
      </c>
      <c r="O906">
        <v>0</v>
      </c>
      <c r="P906" t="s">
        <v>47</v>
      </c>
      <c r="Q906">
        <v>0</v>
      </c>
      <c r="R906" t="s">
        <v>47</v>
      </c>
      <c r="S906">
        <v>0</v>
      </c>
      <c r="T906" t="s">
        <v>47</v>
      </c>
    </row>
    <row r="907" spans="1:20" x14ac:dyDescent="0.35">
      <c r="A907" s="1" t="s">
        <v>2146</v>
      </c>
      <c r="B907" t="s">
        <v>16</v>
      </c>
      <c r="C907" t="s">
        <v>47</v>
      </c>
      <c r="D907" t="s">
        <v>1486</v>
      </c>
      <c r="E907">
        <v>0</v>
      </c>
      <c r="F907" t="s">
        <v>47</v>
      </c>
      <c r="G907">
        <v>1</v>
      </c>
      <c r="H907" t="s">
        <v>45</v>
      </c>
      <c r="I907">
        <v>0</v>
      </c>
      <c r="J907" t="s">
        <v>47</v>
      </c>
      <c r="K907">
        <v>0</v>
      </c>
      <c r="L907" t="s">
        <v>47</v>
      </c>
      <c r="M907">
        <v>0</v>
      </c>
      <c r="N907" t="s">
        <v>47</v>
      </c>
      <c r="O907">
        <v>0</v>
      </c>
      <c r="P907" t="s">
        <v>47</v>
      </c>
      <c r="Q907">
        <v>0</v>
      </c>
      <c r="R907" t="s">
        <v>47</v>
      </c>
      <c r="S907">
        <v>0</v>
      </c>
      <c r="T907" t="s">
        <v>47</v>
      </c>
    </row>
    <row r="908" spans="1:20" x14ac:dyDescent="0.35">
      <c r="A908" s="1" t="s">
        <v>2147</v>
      </c>
      <c r="B908" t="s">
        <v>16</v>
      </c>
      <c r="C908" t="s">
        <v>47</v>
      </c>
      <c r="D908" t="s">
        <v>1487</v>
      </c>
      <c r="E908">
        <v>0</v>
      </c>
      <c r="F908" t="s">
        <v>47</v>
      </c>
      <c r="G908">
        <v>1</v>
      </c>
      <c r="H908" t="s">
        <v>45</v>
      </c>
      <c r="I908">
        <v>0</v>
      </c>
      <c r="J908" t="s">
        <v>47</v>
      </c>
      <c r="K908">
        <v>0</v>
      </c>
      <c r="L908" t="s">
        <v>47</v>
      </c>
      <c r="M908">
        <v>0</v>
      </c>
      <c r="N908" t="s">
        <v>47</v>
      </c>
      <c r="O908">
        <v>0</v>
      </c>
      <c r="P908" t="s">
        <v>47</v>
      </c>
      <c r="Q908">
        <v>1</v>
      </c>
      <c r="R908" t="s">
        <v>45</v>
      </c>
      <c r="S908">
        <v>0</v>
      </c>
      <c r="T908" t="s">
        <v>47</v>
      </c>
    </row>
    <row r="909" spans="1:20" x14ac:dyDescent="0.35">
      <c r="A909" s="1" t="s">
        <v>2148</v>
      </c>
      <c r="B909" t="s">
        <v>14</v>
      </c>
      <c r="C909" t="s">
        <v>47</v>
      </c>
      <c r="D909" t="s">
        <v>1480</v>
      </c>
      <c r="E909">
        <v>0</v>
      </c>
      <c r="F909" t="s">
        <v>47</v>
      </c>
      <c r="G909">
        <v>0</v>
      </c>
      <c r="H909" t="s">
        <v>47</v>
      </c>
      <c r="I909">
        <v>0</v>
      </c>
      <c r="J909" t="s">
        <v>47</v>
      </c>
      <c r="K909">
        <v>0</v>
      </c>
      <c r="L909" t="s">
        <v>47</v>
      </c>
      <c r="M909">
        <v>0</v>
      </c>
      <c r="N909" t="s">
        <v>47</v>
      </c>
      <c r="O909">
        <v>0</v>
      </c>
      <c r="P909" t="s">
        <v>47</v>
      </c>
      <c r="Q909">
        <v>1</v>
      </c>
      <c r="R909" t="s">
        <v>45</v>
      </c>
      <c r="S909">
        <v>0</v>
      </c>
      <c r="T909" t="s">
        <v>47</v>
      </c>
    </row>
    <row r="910" spans="1:20" x14ac:dyDescent="0.35">
      <c r="A910" s="1" t="s">
        <v>2149</v>
      </c>
      <c r="B910" t="s">
        <v>16</v>
      </c>
      <c r="C910" t="s">
        <v>47</v>
      </c>
      <c r="D910" t="s">
        <v>1488</v>
      </c>
      <c r="E910">
        <v>0</v>
      </c>
      <c r="F910" t="s">
        <v>47</v>
      </c>
      <c r="G910">
        <v>1</v>
      </c>
      <c r="H910" t="s">
        <v>45</v>
      </c>
      <c r="I910">
        <v>0</v>
      </c>
      <c r="J910" t="s">
        <v>47</v>
      </c>
      <c r="K910">
        <v>0</v>
      </c>
      <c r="L910" t="s">
        <v>47</v>
      </c>
      <c r="M910">
        <v>0</v>
      </c>
      <c r="N910" t="s">
        <v>47</v>
      </c>
      <c r="O910">
        <v>0</v>
      </c>
      <c r="P910" t="s">
        <v>47</v>
      </c>
      <c r="Q910">
        <v>0</v>
      </c>
      <c r="R910" t="s">
        <v>47</v>
      </c>
      <c r="S910">
        <v>0</v>
      </c>
      <c r="T910" t="s">
        <v>47</v>
      </c>
    </row>
    <row r="911" spans="1:20" x14ac:dyDescent="0.35">
      <c r="A911" s="1" t="s">
        <v>2150</v>
      </c>
      <c r="B911" t="s">
        <v>16</v>
      </c>
      <c r="C911" t="s">
        <v>47</v>
      </c>
      <c r="D911" t="s">
        <v>1489</v>
      </c>
      <c r="E911">
        <v>0</v>
      </c>
      <c r="F911" t="s">
        <v>47</v>
      </c>
      <c r="G911">
        <v>1</v>
      </c>
      <c r="H911" t="s">
        <v>45</v>
      </c>
      <c r="I911">
        <v>0</v>
      </c>
      <c r="J911" t="s">
        <v>47</v>
      </c>
      <c r="K911">
        <v>0</v>
      </c>
      <c r="L911" t="s">
        <v>47</v>
      </c>
      <c r="M911">
        <v>0</v>
      </c>
      <c r="N911" t="s">
        <v>47</v>
      </c>
      <c r="O911">
        <v>0</v>
      </c>
      <c r="P911" t="s">
        <v>47</v>
      </c>
      <c r="Q911">
        <v>0</v>
      </c>
      <c r="R911" t="s">
        <v>47</v>
      </c>
      <c r="S911">
        <v>0</v>
      </c>
      <c r="T911" t="s">
        <v>47</v>
      </c>
    </row>
    <row r="912" spans="1:20" x14ac:dyDescent="0.35">
      <c r="A912" s="1" t="s">
        <v>2151</v>
      </c>
      <c r="B912" t="s">
        <v>16</v>
      </c>
      <c r="C912" t="s">
        <v>47</v>
      </c>
      <c r="D912" t="s">
        <v>1490</v>
      </c>
      <c r="E912">
        <v>1</v>
      </c>
      <c r="F912" t="s">
        <v>45</v>
      </c>
      <c r="G912">
        <v>1</v>
      </c>
      <c r="H912" t="s">
        <v>45</v>
      </c>
      <c r="I912">
        <v>0</v>
      </c>
      <c r="J912" t="s">
        <v>47</v>
      </c>
      <c r="K912">
        <v>0</v>
      </c>
      <c r="L912" t="s">
        <v>47</v>
      </c>
      <c r="M912">
        <v>0</v>
      </c>
      <c r="N912" t="s">
        <v>47</v>
      </c>
      <c r="O912">
        <v>0</v>
      </c>
      <c r="P912" t="s">
        <v>47</v>
      </c>
      <c r="Q912">
        <v>0</v>
      </c>
      <c r="R912" t="s">
        <v>47</v>
      </c>
      <c r="S912">
        <v>0</v>
      </c>
      <c r="T912" t="s">
        <v>47</v>
      </c>
    </row>
    <row r="913" spans="1:20" x14ac:dyDescent="0.35">
      <c r="A913" s="1" t="s">
        <v>2152</v>
      </c>
      <c r="B913" t="s">
        <v>14</v>
      </c>
      <c r="C913" t="s">
        <v>47</v>
      </c>
      <c r="D913" t="s">
        <v>1491</v>
      </c>
      <c r="E913">
        <v>1</v>
      </c>
      <c r="F913" t="s">
        <v>45</v>
      </c>
      <c r="G913">
        <v>1</v>
      </c>
      <c r="H913" t="s">
        <v>45</v>
      </c>
      <c r="I913">
        <v>0</v>
      </c>
      <c r="J913" t="s">
        <v>47</v>
      </c>
      <c r="K913">
        <v>0</v>
      </c>
      <c r="L913" t="s">
        <v>47</v>
      </c>
      <c r="M913">
        <v>0</v>
      </c>
      <c r="N913" t="s">
        <v>47</v>
      </c>
      <c r="O913">
        <v>0</v>
      </c>
      <c r="P913" t="s">
        <v>47</v>
      </c>
      <c r="Q913">
        <v>0</v>
      </c>
      <c r="R913" t="s">
        <v>47</v>
      </c>
      <c r="S913">
        <v>0</v>
      </c>
      <c r="T913" t="s">
        <v>47</v>
      </c>
    </row>
    <row r="914" spans="1:20" x14ac:dyDescent="0.35">
      <c r="A914" s="1" t="s">
        <v>2153</v>
      </c>
      <c r="B914" t="s">
        <v>14</v>
      </c>
      <c r="C914" t="s">
        <v>47</v>
      </c>
      <c r="D914" t="s">
        <v>1492</v>
      </c>
      <c r="E914">
        <v>0</v>
      </c>
      <c r="F914" t="s">
        <v>47</v>
      </c>
      <c r="G914">
        <v>0</v>
      </c>
      <c r="H914" t="s">
        <v>47</v>
      </c>
      <c r="I914">
        <v>0</v>
      </c>
      <c r="J914" t="s">
        <v>47</v>
      </c>
      <c r="K914">
        <v>0</v>
      </c>
      <c r="L914" t="s">
        <v>47</v>
      </c>
      <c r="M914">
        <v>0</v>
      </c>
      <c r="N914" t="s">
        <v>47</v>
      </c>
      <c r="O914">
        <v>0</v>
      </c>
      <c r="P914" t="s">
        <v>47</v>
      </c>
      <c r="Q914">
        <v>1</v>
      </c>
      <c r="R914" t="s">
        <v>45</v>
      </c>
      <c r="S914">
        <v>0</v>
      </c>
      <c r="T914" t="s">
        <v>47</v>
      </c>
    </row>
    <row r="915" spans="1:20" x14ac:dyDescent="0.35">
      <c r="A915" s="1" t="s">
        <v>2154</v>
      </c>
      <c r="B915" t="s">
        <v>16</v>
      </c>
      <c r="C915" t="s">
        <v>47</v>
      </c>
      <c r="D915" t="s">
        <v>1493</v>
      </c>
      <c r="E915">
        <v>0</v>
      </c>
      <c r="F915" t="s">
        <v>47</v>
      </c>
      <c r="G915">
        <v>1</v>
      </c>
      <c r="H915" t="s">
        <v>45</v>
      </c>
      <c r="I915">
        <v>0</v>
      </c>
      <c r="J915" t="s">
        <v>47</v>
      </c>
      <c r="K915">
        <v>0</v>
      </c>
      <c r="L915" t="s">
        <v>47</v>
      </c>
      <c r="M915">
        <v>0</v>
      </c>
      <c r="N915" t="s">
        <v>47</v>
      </c>
      <c r="O915">
        <v>0</v>
      </c>
      <c r="P915" t="s">
        <v>47</v>
      </c>
      <c r="Q915">
        <v>1</v>
      </c>
      <c r="R915" t="s">
        <v>45</v>
      </c>
      <c r="S915">
        <v>0</v>
      </c>
      <c r="T915" t="s">
        <v>47</v>
      </c>
    </row>
    <row r="916" spans="1:20" x14ac:dyDescent="0.35">
      <c r="A916" s="1" t="s">
        <v>2155</v>
      </c>
      <c r="B916" t="s">
        <v>14</v>
      </c>
      <c r="C916" t="s">
        <v>47</v>
      </c>
      <c r="D916" t="s">
        <v>1494</v>
      </c>
      <c r="E916">
        <v>1</v>
      </c>
      <c r="F916" t="s">
        <v>45</v>
      </c>
      <c r="G916">
        <v>0</v>
      </c>
      <c r="H916" t="s">
        <v>47</v>
      </c>
      <c r="I916">
        <v>0</v>
      </c>
      <c r="J916" t="s">
        <v>47</v>
      </c>
      <c r="K916">
        <v>0</v>
      </c>
      <c r="L916" t="s">
        <v>47</v>
      </c>
      <c r="M916">
        <v>0</v>
      </c>
      <c r="N916" t="s">
        <v>47</v>
      </c>
      <c r="O916">
        <v>0</v>
      </c>
      <c r="P916" t="s">
        <v>47</v>
      </c>
      <c r="Q916">
        <v>0</v>
      </c>
      <c r="R916" t="s">
        <v>47</v>
      </c>
      <c r="S916">
        <v>0</v>
      </c>
      <c r="T916" t="s">
        <v>47</v>
      </c>
    </row>
    <row r="917" spans="1:20" x14ac:dyDescent="0.35">
      <c r="A917" s="1" t="s">
        <v>2156</v>
      </c>
      <c r="B917" t="s">
        <v>14</v>
      </c>
      <c r="C917" t="s">
        <v>47</v>
      </c>
      <c r="D917" t="s">
        <v>1495</v>
      </c>
      <c r="E917">
        <v>0</v>
      </c>
      <c r="F917" t="s">
        <v>47</v>
      </c>
      <c r="G917">
        <v>1</v>
      </c>
      <c r="H917" t="s">
        <v>45</v>
      </c>
      <c r="I917">
        <v>0</v>
      </c>
      <c r="J917" t="s">
        <v>47</v>
      </c>
      <c r="K917">
        <v>0</v>
      </c>
      <c r="L917" t="s">
        <v>47</v>
      </c>
      <c r="M917">
        <v>0</v>
      </c>
      <c r="N917" t="s">
        <v>47</v>
      </c>
      <c r="O917">
        <v>0</v>
      </c>
      <c r="P917" t="s">
        <v>47</v>
      </c>
      <c r="Q917">
        <v>0</v>
      </c>
      <c r="R917" t="s">
        <v>47</v>
      </c>
      <c r="S917">
        <v>0</v>
      </c>
      <c r="T917" t="s">
        <v>47</v>
      </c>
    </row>
    <row r="918" spans="1:20" x14ac:dyDescent="0.35">
      <c r="A918" s="1" t="s">
        <v>2157</v>
      </c>
      <c r="B918" t="s">
        <v>16</v>
      </c>
      <c r="C918" t="s">
        <v>47</v>
      </c>
      <c r="D918" t="s">
        <v>1496</v>
      </c>
      <c r="E918">
        <v>1</v>
      </c>
      <c r="F918" t="s">
        <v>45</v>
      </c>
      <c r="G918">
        <v>0</v>
      </c>
      <c r="H918" t="s">
        <v>47</v>
      </c>
      <c r="I918">
        <v>0</v>
      </c>
      <c r="J918" t="s">
        <v>47</v>
      </c>
      <c r="K918">
        <v>0</v>
      </c>
      <c r="L918" t="s">
        <v>47</v>
      </c>
      <c r="M918">
        <v>0</v>
      </c>
      <c r="N918" t="s">
        <v>47</v>
      </c>
      <c r="O918">
        <v>0</v>
      </c>
      <c r="P918" t="s">
        <v>47</v>
      </c>
      <c r="Q918">
        <v>0</v>
      </c>
      <c r="R918" t="s">
        <v>47</v>
      </c>
      <c r="S918">
        <v>0</v>
      </c>
      <c r="T918" t="s">
        <v>47</v>
      </c>
    </row>
    <row r="919" spans="1:20" x14ac:dyDescent="0.35">
      <c r="A919" s="1" t="s">
        <v>2158</v>
      </c>
      <c r="B919" t="s">
        <v>14</v>
      </c>
      <c r="C919" t="s">
        <v>47</v>
      </c>
      <c r="D919" t="s">
        <v>1491</v>
      </c>
      <c r="E919">
        <v>1</v>
      </c>
      <c r="F919" t="s">
        <v>45</v>
      </c>
      <c r="G919">
        <v>1</v>
      </c>
      <c r="H919" t="s">
        <v>45</v>
      </c>
      <c r="I919">
        <v>0</v>
      </c>
      <c r="J919" t="s">
        <v>47</v>
      </c>
      <c r="K919">
        <v>0</v>
      </c>
      <c r="L919" t="s">
        <v>47</v>
      </c>
      <c r="M919">
        <v>0</v>
      </c>
      <c r="N919" t="s">
        <v>47</v>
      </c>
      <c r="O919">
        <v>0</v>
      </c>
      <c r="P919" t="s">
        <v>47</v>
      </c>
      <c r="Q919">
        <v>0</v>
      </c>
      <c r="R919" t="s">
        <v>47</v>
      </c>
      <c r="S919">
        <v>0</v>
      </c>
      <c r="T919" t="s">
        <v>47</v>
      </c>
    </row>
    <row r="920" spans="1:20" x14ac:dyDescent="0.35">
      <c r="A920" s="1" t="s">
        <v>2159</v>
      </c>
      <c r="B920" t="s">
        <v>14</v>
      </c>
      <c r="C920" t="s">
        <v>47</v>
      </c>
      <c r="D920" t="s">
        <v>1492</v>
      </c>
      <c r="E920">
        <v>0</v>
      </c>
      <c r="F920" t="s">
        <v>47</v>
      </c>
      <c r="G920">
        <v>0</v>
      </c>
      <c r="H920" t="s">
        <v>47</v>
      </c>
      <c r="I920">
        <v>0</v>
      </c>
      <c r="J920" t="s">
        <v>47</v>
      </c>
      <c r="K920">
        <v>0</v>
      </c>
      <c r="L920" t="s">
        <v>47</v>
      </c>
      <c r="M920">
        <v>0</v>
      </c>
      <c r="N920" t="s">
        <v>47</v>
      </c>
      <c r="O920">
        <v>0</v>
      </c>
      <c r="P920" t="s">
        <v>47</v>
      </c>
      <c r="Q920">
        <v>1</v>
      </c>
      <c r="R920" t="s">
        <v>45</v>
      </c>
      <c r="S920">
        <v>0</v>
      </c>
      <c r="T920" t="s">
        <v>47</v>
      </c>
    </row>
    <row r="921" spans="1:20" x14ac:dyDescent="0.35">
      <c r="A921" s="1" t="s">
        <v>2160</v>
      </c>
      <c r="B921" t="s">
        <v>16</v>
      </c>
      <c r="C921" t="s">
        <v>47</v>
      </c>
      <c r="D921" t="s">
        <v>1493</v>
      </c>
      <c r="E921">
        <v>0</v>
      </c>
      <c r="F921" t="s">
        <v>47</v>
      </c>
      <c r="G921">
        <v>1</v>
      </c>
      <c r="H921" t="s">
        <v>45</v>
      </c>
      <c r="I921">
        <v>0</v>
      </c>
      <c r="J921" t="s">
        <v>47</v>
      </c>
      <c r="K921">
        <v>0</v>
      </c>
      <c r="L921" t="s">
        <v>47</v>
      </c>
      <c r="M921">
        <v>0</v>
      </c>
      <c r="N921" t="s">
        <v>47</v>
      </c>
      <c r="O921">
        <v>0</v>
      </c>
      <c r="P921" t="s">
        <v>47</v>
      </c>
      <c r="Q921">
        <v>1</v>
      </c>
      <c r="R921" t="s">
        <v>45</v>
      </c>
      <c r="S921">
        <v>0</v>
      </c>
      <c r="T921" t="s">
        <v>47</v>
      </c>
    </row>
    <row r="922" spans="1:20" x14ac:dyDescent="0.35">
      <c r="A922" s="1" t="s">
        <v>2161</v>
      </c>
      <c r="B922" t="s">
        <v>14</v>
      </c>
      <c r="C922" t="s">
        <v>47</v>
      </c>
      <c r="D922" t="s">
        <v>1494</v>
      </c>
      <c r="E922">
        <v>1</v>
      </c>
      <c r="F922" t="s">
        <v>45</v>
      </c>
      <c r="G922">
        <v>0</v>
      </c>
      <c r="H922" t="s">
        <v>47</v>
      </c>
      <c r="I922">
        <v>0</v>
      </c>
      <c r="J922" t="s">
        <v>47</v>
      </c>
      <c r="K922">
        <v>0</v>
      </c>
      <c r="L922" t="s">
        <v>47</v>
      </c>
      <c r="M922">
        <v>0</v>
      </c>
      <c r="N922" t="s">
        <v>47</v>
      </c>
      <c r="O922">
        <v>0</v>
      </c>
      <c r="P922" t="s">
        <v>47</v>
      </c>
      <c r="Q922">
        <v>0</v>
      </c>
      <c r="R922" t="s">
        <v>47</v>
      </c>
      <c r="S922">
        <v>0</v>
      </c>
      <c r="T922" t="s">
        <v>47</v>
      </c>
    </row>
    <row r="923" spans="1:20" x14ac:dyDescent="0.35">
      <c r="A923" s="1" t="s">
        <v>2162</v>
      </c>
      <c r="B923" t="s">
        <v>14</v>
      </c>
      <c r="C923" t="s">
        <v>47</v>
      </c>
      <c r="D923" t="s">
        <v>1495</v>
      </c>
      <c r="E923">
        <v>0</v>
      </c>
      <c r="F923" t="s">
        <v>47</v>
      </c>
      <c r="G923">
        <v>1</v>
      </c>
      <c r="H923" t="s">
        <v>45</v>
      </c>
      <c r="I923">
        <v>0</v>
      </c>
      <c r="J923" t="s">
        <v>47</v>
      </c>
      <c r="K923">
        <v>0</v>
      </c>
      <c r="L923" t="s">
        <v>47</v>
      </c>
      <c r="M923">
        <v>0</v>
      </c>
      <c r="N923" t="s">
        <v>47</v>
      </c>
      <c r="O923">
        <v>0</v>
      </c>
      <c r="P923" t="s">
        <v>47</v>
      </c>
      <c r="Q923">
        <v>0</v>
      </c>
      <c r="R923" t="s">
        <v>47</v>
      </c>
      <c r="S923">
        <v>0</v>
      </c>
      <c r="T923" t="s">
        <v>47</v>
      </c>
    </row>
    <row r="924" spans="1:20" x14ac:dyDescent="0.35">
      <c r="A924" s="1" t="s">
        <v>2163</v>
      </c>
      <c r="B924" t="s">
        <v>16</v>
      </c>
      <c r="C924" t="s">
        <v>47</v>
      </c>
      <c r="D924" t="s">
        <v>1496</v>
      </c>
      <c r="E924">
        <v>1</v>
      </c>
      <c r="F924" t="s">
        <v>45</v>
      </c>
      <c r="G924">
        <v>0</v>
      </c>
      <c r="H924" t="s">
        <v>47</v>
      </c>
      <c r="I924">
        <v>0</v>
      </c>
      <c r="J924" t="s">
        <v>47</v>
      </c>
      <c r="K924">
        <v>0</v>
      </c>
      <c r="L924" t="s">
        <v>47</v>
      </c>
      <c r="M924">
        <v>0</v>
      </c>
      <c r="N924" t="s">
        <v>47</v>
      </c>
      <c r="O924">
        <v>0</v>
      </c>
      <c r="P924" t="s">
        <v>47</v>
      </c>
      <c r="Q924">
        <v>0</v>
      </c>
      <c r="R924" t="s">
        <v>47</v>
      </c>
      <c r="S924">
        <v>0</v>
      </c>
      <c r="T924" t="s">
        <v>47</v>
      </c>
    </row>
    <row r="925" spans="1:20" x14ac:dyDescent="0.35">
      <c r="A925" s="1" t="s">
        <v>2164</v>
      </c>
      <c r="B925" t="s">
        <v>14</v>
      </c>
      <c r="C925" t="s">
        <v>47</v>
      </c>
      <c r="D925" t="s">
        <v>1497</v>
      </c>
      <c r="E925">
        <v>0</v>
      </c>
      <c r="F925" t="s">
        <v>47</v>
      </c>
      <c r="G925">
        <v>1</v>
      </c>
      <c r="H925" t="s">
        <v>45</v>
      </c>
      <c r="I925">
        <v>0</v>
      </c>
      <c r="J925" t="s">
        <v>47</v>
      </c>
      <c r="K925">
        <v>0</v>
      </c>
      <c r="L925" t="s">
        <v>47</v>
      </c>
      <c r="M925">
        <v>0</v>
      </c>
      <c r="N925" t="s">
        <v>47</v>
      </c>
      <c r="O925">
        <v>0</v>
      </c>
      <c r="P925" t="s">
        <v>47</v>
      </c>
      <c r="Q925">
        <v>0</v>
      </c>
      <c r="R925" t="s">
        <v>47</v>
      </c>
      <c r="S925">
        <v>0</v>
      </c>
      <c r="T925" t="s">
        <v>47</v>
      </c>
    </row>
    <row r="926" spans="1:20" x14ac:dyDescent="0.35">
      <c r="A926" s="1" t="s">
        <v>2165</v>
      </c>
      <c r="B926" t="s">
        <v>14</v>
      </c>
      <c r="C926" t="s">
        <v>47</v>
      </c>
      <c r="D926" t="s">
        <v>1498</v>
      </c>
      <c r="E926">
        <v>0</v>
      </c>
      <c r="F926" t="s">
        <v>47</v>
      </c>
      <c r="G926">
        <v>1</v>
      </c>
      <c r="H926" t="s">
        <v>45</v>
      </c>
      <c r="I926">
        <v>0</v>
      </c>
      <c r="J926" t="s">
        <v>47</v>
      </c>
      <c r="K926">
        <v>0</v>
      </c>
      <c r="L926" t="s">
        <v>47</v>
      </c>
      <c r="M926">
        <v>0</v>
      </c>
      <c r="N926" t="s">
        <v>47</v>
      </c>
      <c r="O926">
        <v>0</v>
      </c>
      <c r="P926" t="s">
        <v>47</v>
      </c>
      <c r="Q926">
        <v>1</v>
      </c>
      <c r="R926" t="s">
        <v>45</v>
      </c>
      <c r="S926">
        <v>0</v>
      </c>
      <c r="T926" t="s">
        <v>47</v>
      </c>
    </row>
    <row r="927" spans="1:20" x14ac:dyDescent="0.35">
      <c r="A927" s="1" t="s">
        <v>2166</v>
      </c>
      <c r="B927" t="s">
        <v>14</v>
      </c>
      <c r="C927" t="s">
        <v>47</v>
      </c>
      <c r="D927" t="s">
        <v>1499</v>
      </c>
      <c r="E927">
        <v>0</v>
      </c>
      <c r="F927" t="s">
        <v>47</v>
      </c>
      <c r="G927">
        <v>0</v>
      </c>
      <c r="H927" t="s">
        <v>47</v>
      </c>
      <c r="I927">
        <v>0</v>
      </c>
      <c r="J927" t="s">
        <v>47</v>
      </c>
      <c r="K927">
        <v>0</v>
      </c>
      <c r="L927" t="s">
        <v>47</v>
      </c>
      <c r="M927">
        <v>0</v>
      </c>
      <c r="N927" t="s">
        <v>47</v>
      </c>
      <c r="O927">
        <v>0</v>
      </c>
      <c r="P927" t="s">
        <v>47</v>
      </c>
      <c r="Q927">
        <v>1</v>
      </c>
      <c r="R927" t="s">
        <v>45</v>
      </c>
      <c r="S927">
        <v>0</v>
      </c>
      <c r="T927" t="s">
        <v>47</v>
      </c>
    </row>
    <row r="928" spans="1:20" x14ac:dyDescent="0.35">
      <c r="A928" s="1" t="s">
        <v>2167</v>
      </c>
      <c r="B928" t="s">
        <v>14</v>
      </c>
      <c r="C928" t="s">
        <v>47</v>
      </c>
      <c r="D928" t="s">
        <v>1500</v>
      </c>
      <c r="E928">
        <v>1</v>
      </c>
      <c r="F928" t="s">
        <v>45</v>
      </c>
      <c r="G928">
        <v>1</v>
      </c>
      <c r="H928" t="s">
        <v>45</v>
      </c>
      <c r="I928">
        <v>0</v>
      </c>
      <c r="J928" t="s">
        <v>47</v>
      </c>
      <c r="K928">
        <v>0</v>
      </c>
      <c r="L928" t="s">
        <v>47</v>
      </c>
      <c r="M928">
        <v>0</v>
      </c>
      <c r="N928" t="s">
        <v>47</v>
      </c>
      <c r="O928">
        <v>0</v>
      </c>
      <c r="P928" t="s">
        <v>47</v>
      </c>
      <c r="Q928">
        <v>0</v>
      </c>
      <c r="R928" t="s">
        <v>47</v>
      </c>
      <c r="S928">
        <v>0</v>
      </c>
      <c r="T928" t="s">
        <v>47</v>
      </c>
    </row>
    <row r="929" spans="1:20" x14ac:dyDescent="0.35">
      <c r="A929" s="1" t="s">
        <v>2168</v>
      </c>
      <c r="B929" t="s">
        <v>16</v>
      </c>
      <c r="C929" t="s">
        <v>47</v>
      </c>
      <c r="D929" t="s">
        <v>1501</v>
      </c>
      <c r="E929">
        <v>1</v>
      </c>
      <c r="F929" t="s">
        <v>45</v>
      </c>
      <c r="G929">
        <v>1</v>
      </c>
      <c r="H929" t="s">
        <v>45</v>
      </c>
      <c r="I929">
        <v>0</v>
      </c>
      <c r="J929" t="s">
        <v>47</v>
      </c>
      <c r="K929">
        <v>0</v>
      </c>
      <c r="L929" t="s">
        <v>47</v>
      </c>
      <c r="M929">
        <v>0</v>
      </c>
      <c r="N929" t="s">
        <v>47</v>
      </c>
      <c r="O929">
        <v>0</v>
      </c>
      <c r="P929" t="s">
        <v>47</v>
      </c>
      <c r="Q929">
        <v>0</v>
      </c>
      <c r="R929" t="s">
        <v>47</v>
      </c>
      <c r="S929">
        <v>0</v>
      </c>
      <c r="T929" t="s">
        <v>47</v>
      </c>
    </row>
    <row r="930" spans="1:20" x14ac:dyDescent="0.35">
      <c r="A930" s="1" t="s">
        <v>2169</v>
      </c>
      <c r="B930" t="s">
        <v>14</v>
      </c>
      <c r="C930" t="s">
        <v>47</v>
      </c>
      <c r="D930" t="s">
        <v>1502</v>
      </c>
      <c r="E930">
        <v>1</v>
      </c>
      <c r="F930" t="s">
        <v>45</v>
      </c>
      <c r="G930">
        <v>1</v>
      </c>
      <c r="H930" t="s">
        <v>45</v>
      </c>
      <c r="I930">
        <v>0</v>
      </c>
      <c r="J930" t="s">
        <v>47</v>
      </c>
      <c r="K930">
        <v>0</v>
      </c>
      <c r="L930" t="s">
        <v>47</v>
      </c>
      <c r="M930">
        <v>0</v>
      </c>
      <c r="N930" t="s">
        <v>47</v>
      </c>
      <c r="O930">
        <v>0</v>
      </c>
      <c r="P930" t="s">
        <v>47</v>
      </c>
      <c r="Q930">
        <v>0</v>
      </c>
      <c r="R930" t="s">
        <v>47</v>
      </c>
      <c r="S930">
        <v>0</v>
      </c>
      <c r="T930" t="s">
        <v>47</v>
      </c>
    </row>
    <row r="931" spans="1:20" x14ac:dyDescent="0.35">
      <c r="A931" s="1" t="s">
        <v>2170</v>
      </c>
      <c r="B931" t="s">
        <v>14</v>
      </c>
      <c r="C931" t="s">
        <v>47</v>
      </c>
      <c r="D931" t="s">
        <v>1503</v>
      </c>
      <c r="E931">
        <v>1</v>
      </c>
      <c r="F931" t="s">
        <v>45</v>
      </c>
      <c r="G931">
        <v>1</v>
      </c>
      <c r="H931" t="s">
        <v>45</v>
      </c>
      <c r="I931">
        <v>0</v>
      </c>
      <c r="J931" t="s">
        <v>47</v>
      </c>
      <c r="K931">
        <v>0</v>
      </c>
      <c r="L931" t="s">
        <v>47</v>
      </c>
      <c r="M931">
        <v>0</v>
      </c>
      <c r="N931" t="s">
        <v>47</v>
      </c>
      <c r="O931">
        <v>0</v>
      </c>
      <c r="P931" t="s">
        <v>47</v>
      </c>
      <c r="Q931">
        <v>0</v>
      </c>
      <c r="R931" t="s">
        <v>47</v>
      </c>
      <c r="S931">
        <v>0</v>
      </c>
      <c r="T931" t="s">
        <v>47</v>
      </c>
    </row>
    <row r="932" spans="1:20" x14ac:dyDescent="0.35">
      <c r="A932" s="1" t="s">
        <v>2171</v>
      </c>
      <c r="B932" t="s">
        <v>14</v>
      </c>
      <c r="C932" t="s">
        <v>47</v>
      </c>
      <c r="D932" t="s">
        <v>1504</v>
      </c>
      <c r="E932">
        <v>1</v>
      </c>
      <c r="F932" t="s">
        <v>45</v>
      </c>
      <c r="G932">
        <v>1</v>
      </c>
      <c r="H932" t="s">
        <v>45</v>
      </c>
      <c r="I932">
        <v>0</v>
      </c>
      <c r="J932" t="s">
        <v>47</v>
      </c>
      <c r="K932">
        <v>0</v>
      </c>
      <c r="L932" t="s">
        <v>47</v>
      </c>
      <c r="M932">
        <v>0</v>
      </c>
      <c r="N932" t="s">
        <v>47</v>
      </c>
      <c r="O932">
        <v>1</v>
      </c>
      <c r="P932" t="s">
        <v>45</v>
      </c>
      <c r="Q932">
        <v>0</v>
      </c>
      <c r="R932" t="s">
        <v>47</v>
      </c>
      <c r="S932">
        <v>0</v>
      </c>
      <c r="T932" t="s">
        <v>47</v>
      </c>
    </row>
    <row r="933" spans="1:20" x14ac:dyDescent="0.35">
      <c r="A933" s="1" t="s">
        <v>2172</v>
      </c>
      <c r="B933" t="s">
        <v>14</v>
      </c>
      <c r="C933" t="s">
        <v>47</v>
      </c>
      <c r="D933" t="s">
        <v>1505</v>
      </c>
      <c r="E933">
        <v>0</v>
      </c>
      <c r="F933" t="s">
        <v>47</v>
      </c>
      <c r="G933">
        <v>1</v>
      </c>
      <c r="H933" t="s">
        <v>45</v>
      </c>
      <c r="I933">
        <v>0</v>
      </c>
      <c r="J933" t="s">
        <v>47</v>
      </c>
      <c r="K933">
        <v>0</v>
      </c>
      <c r="L933" t="s">
        <v>47</v>
      </c>
      <c r="M933">
        <v>0</v>
      </c>
      <c r="N933" t="s">
        <v>47</v>
      </c>
      <c r="O933">
        <v>0</v>
      </c>
      <c r="P933" t="s">
        <v>47</v>
      </c>
      <c r="Q933">
        <v>0</v>
      </c>
      <c r="R933" t="s">
        <v>47</v>
      </c>
      <c r="S933">
        <v>0</v>
      </c>
      <c r="T933" t="s">
        <v>47</v>
      </c>
    </row>
    <row r="934" spans="1:20" x14ac:dyDescent="0.35">
      <c r="A934" s="1" t="s">
        <v>2173</v>
      </c>
      <c r="B934" t="s">
        <v>14</v>
      </c>
      <c r="C934" t="s">
        <v>47</v>
      </c>
      <c r="D934" t="s">
        <v>1506</v>
      </c>
      <c r="E934">
        <v>1</v>
      </c>
      <c r="F934" t="s">
        <v>45</v>
      </c>
      <c r="G934">
        <v>1</v>
      </c>
      <c r="H934" t="s">
        <v>45</v>
      </c>
      <c r="I934">
        <v>0</v>
      </c>
      <c r="J934" t="s">
        <v>47</v>
      </c>
      <c r="K934">
        <v>0</v>
      </c>
      <c r="L934" t="s">
        <v>47</v>
      </c>
      <c r="M934">
        <v>0</v>
      </c>
      <c r="N934" t="s">
        <v>47</v>
      </c>
      <c r="O934">
        <v>0</v>
      </c>
      <c r="P934" t="s">
        <v>47</v>
      </c>
      <c r="Q934">
        <v>1</v>
      </c>
      <c r="R934" t="s">
        <v>45</v>
      </c>
      <c r="S934">
        <v>0</v>
      </c>
      <c r="T934" t="s">
        <v>47</v>
      </c>
    </row>
    <row r="935" spans="1:20" x14ac:dyDescent="0.35">
      <c r="A935" s="1" t="s">
        <v>2174</v>
      </c>
      <c r="B935" t="s">
        <v>14</v>
      </c>
      <c r="C935" t="s">
        <v>47</v>
      </c>
      <c r="D935" t="s">
        <v>1507</v>
      </c>
      <c r="E935">
        <v>1</v>
      </c>
      <c r="F935" t="s">
        <v>45</v>
      </c>
      <c r="G935">
        <v>1</v>
      </c>
      <c r="H935" t="s">
        <v>45</v>
      </c>
      <c r="I935">
        <v>0</v>
      </c>
      <c r="J935" t="s">
        <v>47</v>
      </c>
      <c r="K935">
        <v>0</v>
      </c>
      <c r="L935" t="s">
        <v>47</v>
      </c>
      <c r="M935">
        <v>0</v>
      </c>
      <c r="N935" t="s">
        <v>47</v>
      </c>
      <c r="O935">
        <v>0</v>
      </c>
      <c r="P935" t="s">
        <v>47</v>
      </c>
      <c r="Q935">
        <v>1</v>
      </c>
      <c r="R935" t="s">
        <v>45</v>
      </c>
      <c r="S935">
        <v>0</v>
      </c>
      <c r="T935" t="s">
        <v>47</v>
      </c>
    </row>
    <row r="936" spans="1:20" x14ac:dyDescent="0.35">
      <c r="A936" s="1" t="s">
        <v>2175</v>
      </c>
      <c r="B936" t="s">
        <v>16</v>
      </c>
      <c r="C936" t="s">
        <v>47</v>
      </c>
      <c r="D936" t="s">
        <v>1508</v>
      </c>
      <c r="E936">
        <v>1</v>
      </c>
      <c r="F936" t="s">
        <v>45</v>
      </c>
      <c r="G936">
        <v>0</v>
      </c>
      <c r="H936" t="s">
        <v>47</v>
      </c>
      <c r="I936">
        <v>0</v>
      </c>
      <c r="J936" t="s">
        <v>47</v>
      </c>
      <c r="K936">
        <v>0</v>
      </c>
      <c r="L936" t="s">
        <v>47</v>
      </c>
      <c r="M936">
        <v>0</v>
      </c>
      <c r="N936" t="s">
        <v>47</v>
      </c>
      <c r="O936">
        <v>0</v>
      </c>
      <c r="P936" t="s">
        <v>47</v>
      </c>
      <c r="Q936">
        <v>1</v>
      </c>
      <c r="R936" t="s">
        <v>45</v>
      </c>
      <c r="S936">
        <v>0</v>
      </c>
      <c r="T936" t="s">
        <v>47</v>
      </c>
    </row>
    <row r="937" spans="1:20" x14ac:dyDescent="0.35">
      <c r="A937" s="1" t="s">
        <v>2176</v>
      </c>
      <c r="B937" t="s">
        <v>14</v>
      </c>
      <c r="C937" t="s">
        <v>47</v>
      </c>
      <c r="D937" t="s">
        <v>1509</v>
      </c>
      <c r="E937">
        <v>1</v>
      </c>
      <c r="F937" t="s">
        <v>45</v>
      </c>
      <c r="G937">
        <v>1</v>
      </c>
      <c r="H937" t="s">
        <v>45</v>
      </c>
      <c r="I937">
        <v>0</v>
      </c>
      <c r="J937" t="s">
        <v>47</v>
      </c>
      <c r="K937">
        <v>0</v>
      </c>
      <c r="L937" t="s">
        <v>47</v>
      </c>
      <c r="M937">
        <v>0</v>
      </c>
      <c r="N937" t="s">
        <v>47</v>
      </c>
      <c r="O937">
        <v>0</v>
      </c>
      <c r="P937" t="s">
        <v>47</v>
      </c>
      <c r="Q937">
        <v>1</v>
      </c>
      <c r="R937" t="s">
        <v>45</v>
      </c>
      <c r="S937">
        <v>0</v>
      </c>
      <c r="T937" t="s">
        <v>47</v>
      </c>
    </row>
    <row r="938" spans="1:20" x14ac:dyDescent="0.35">
      <c r="A938" s="1" t="s">
        <v>2177</v>
      </c>
      <c r="B938" t="s">
        <v>14</v>
      </c>
      <c r="C938" t="s">
        <v>47</v>
      </c>
      <c r="D938" t="s">
        <v>1510</v>
      </c>
      <c r="E938">
        <v>1</v>
      </c>
      <c r="F938" t="s">
        <v>45</v>
      </c>
      <c r="G938">
        <v>1</v>
      </c>
      <c r="H938" t="s">
        <v>45</v>
      </c>
      <c r="I938">
        <v>0</v>
      </c>
      <c r="J938" t="s">
        <v>47</v>
      </c>
      <c r="K938">
        <v>0</v>
      </c>
      <c r="L938" t="s">
        <v>47</v>
      </c>
      <c r="M938">
        <v>0</v>
      </c>
      <c r="N938" t="s">
        <v>47</v>
      </c>
      <c r="O938">
        <v>0</v>
      </c>
      <c r="P938" t="s">
        <v>47</v>
      </c>
      <c r="Q938">
        <v>1</v>
      </c>
      <c r="R938" t="s">
        <v>45</v>
      </c>
      <c r="S938">
        <v>0</v>
      </c>
      <c r="T938" t="s">
        <v>47</v>
      </c>
    </row>
    <row r="939" spans="1:20" x14ac:dyDescent="0.35">
      <c r="A939" s="1" t="s">
        <v>2178</v>
      </c>
      <c r="B939" t="s">
        <v>14</v>
      </c>
      <c r="C939" t="s">
        <v>47</v>
      </c>
      <c r="D939" t="s">
        <v>1511</v>
      </c>
      <c r="E939">
        <v>1</v>
      </c>
      <c r="F939" t="s">
        <v>45</v>
      </c>
      <c r="G939">
        <v>1</v>
      </c>
      <c r="H939" t="s">
        <v>45</v>
      </c>
      <c r="I939">
        <v>0</v>
      </c>
      <c r="J939" t="s">
        <v>47</v>
      </c>
      <c r="K939">
        <v>0</v>
      </c>
      <c r="L939" t="s">
        <v>47</v>
      </c>
      <c r="M939">
        <v>0</v>
      </c>
      <c r="N939" t="s">
        <v>47</v>
      </c>
      <c r="O939">
        <v>0</v>
      </c>
      <c r="P939" t="s">
        <v>47</v>
      </c>
      <c r="Q939">
        <v>0</v>
      </c>
      <c r="R939" t="s">
        <v>47</v>
      </c>
      <c r="S939">
        <v>0</v>
      </c>
      <c r="T939" t="s">
        <v>47</v>
      </c>
    </row>
    <row r="940" spans="1:20" x14ac:dyDescent="0.35">
      <c r="A940" s="1" t="s">
        <v>2179</v>
      </c>
      <c r="B940" t="s">
        <v>14</v>
      </c>
      <c r="C940" t="s">
        <v>47</v>
      </c>
      <c r="D940" t="s">
        <v>1512</v>
      </c>
      <c r="E940">
        <v>1</v>
      </c>
      <c r="F940" t="s">
        <v>45</v>
      </c>
      <c r="G940">
        <v>1</v>
      </c>
      <c r="H940" t="s">
        <v>45</v>
      </c>
      <c r="I940">
        <v>0</v>
      </c>
      <c r="J940" t="s">
        <v>47</v>
      </c>
      <c r="K940">
        <v>0</v>
      </c>
      <c r="L940" t="s">
        <v>47</v>
      </c>
      <c r="M940">
        <v>0</v>
      </c>
      <c r="N940" t="s">
        <v>47</v>
      </c>
      <c r="O940">
        <v>1</v>
      </c>
      <c r="P940" t="s">
        <v>45</v>
      </c>
      <c r="Q940">
        <v>0</v>
      </c>
      <c r="R940" t="s">
        <v>47</v>
      </c>
      <c r="S940">
        <v>0</v>
      </c>
      <c r="T940" t="s">
        <v>47</v>
      </c>
    </row>
    <row r="941" spans="1:20" x14ac:dyDescent="0.35">
      <c r="A941" s="1" t="s">
        <v>2180</v>
      </c>
      <c r="B941" t="s">
        <v>14</v>
      </c>
      <c r="C941" t="s">
        <v>47</v>
      </c>
      <c r="D941" t="s">
        <v>1513</v>
      </c>
      <c r="E941">
        <v>0</v>
      </c>
      <c r="F941" t="s">
        <v>47</v>
      </c>
      <c r="G941">
        <v>1</v>
      </c>
      <c r="H941" t="s">
        <v>45</v>
      </c>
      <c r="I941">
        <v>0</v>
      </c>
      <c r="J941" t="s">
        <v>47</v>
      </c>
      <c r="K941">
        <v>0</v>
      </c>
      <c r="L941" t="s">
        <v>47</v>
      </c>
      <c r="M941">
        <v>0</v>
      </c>
      <c r="N941" t="s">
        <v>47</v>
      </c>
      <c r="O941">
        <v>0</v>
      </c>
      <c r="P941" t="s">
        <v>47</v>
      </c>
      <c r="Q941">
        <v>1</v>
      </c>
      <c r="R941" t="s">
        <v>45</v>
      </c>
      <c r="S941">
        <v>0</v>
      </c>
      <c r="T941" t="s">
        <v>47</v>
      </c>
    </row>
    <row r="942" spans="1:20" x14ac:dyDescent="0.35">
      <c r="A942" s="1" t="s">
        <v>2181</v>
      </c>
      <c r="B942" t="s">
        <v>14</v>
      </c>
      <c r="C942" t="s">
        <v>47</v>
      </c>
      <c r="D942" t="s">
        <v>1514</v>
      </c>
      <c r="E942">
        <v>0</v>
      </c>
      <c r="F942" t="s">
        <v>47</v>
      </c>
      <c r="G942">
        <v>1</v>
      </c>
      <c r="H942" t="s">
        <v>45</v>
      </c>
      <c r="I942">
        <v>0</v>
      </c>
      <c r="J942" t="s">
        <v>47</v>
      </c>
      <c r="K942">
        <v>0</v>
      </c>
      <c r="L942" t="s">
        <v>47</v>
      </c>
      <c r="M942">
        <v>0</v>
      </c>
      <c r="N942" t="s">
        <v>47</v>
      </c>
      <c r="O942">
        <v>1</v>
      </c>
      <c r="P942" t="s">
        <v>45</v>
      </c>
      <c r="Q942">
        <v>0</v>
      </c>
      <c r="R942" t="s">
        <v>47</v>
      </c>
    </row>
    <row r="943" spans="1:20" x14ac:dyDescent="0.35">
      <c r="A943" s="1" t="s">
        <v>2182</v>
      </c>
      <c r="B943" t="s">
        <v>14</v>
      </c>
      <c r="C943" t="s">
        <v>47</v>
      </c>
      <c r="D943" t="s">
        <v>1515</v>
      </c>
      <c r="E943">
        <v>1</v>
      </c>
      <c r="F943" t="s">
        <v>45</v>
      </c>
      <c r="G943">
        <v>1</v>
      </c>
      <c r="H943" t="s">
        <v>45</v>
      </c>
      <c r="I943">
        <v>0</v>
      </c>
      <c r="J943" t="s">
        <v>47</v>
      </c>
      <c r="K943">
        <v>0</v>
      </c>
      <c r="L943" t="s">
        <v>47</v>
      </c>
      <c r="M943">
        <v>0</v>
      </c>
      <c r="N943" t="s">
        <v>47</v>
      </c>
      <c r="O943">
        <v>0</v>
      </c>
      <c r="P943" t="s">
        <v>47</v>
      </c>
      <c r="Q943">
        <v>1</v>
      </c>
      <c r="R943" t="s">
        <v>45</v>
      </c>
      <c r="S943">
        <v>0</v>
      </c>
      <c r="T943" t="s">
        <v>47</v>
      </c>
    </row>
    <row r="944" spans="1:20" x14ac:dyDescent="0.35">
      <c r="A944" s="1" t="s">
        <v>2183</v>
      </c>
      <c r="B944" t="s">
        <v>14</v>
      </c>
      <c r="C944" t="s">
        <v>47</v>
      </c>
      <c r="D944" t="s">
        <v>1516</v>
      </c>
      <c r="E944">
        <v>0</v>
      </c>
      <c r="F944" t="s">
        <v>47</v>
      </c>
      <c r="G944">
        <v>1</v>
      </c>
      <c r="H944" t="s">
        <v>45</v>
      </c>
      <c r="I944">
        <v>0</v>
      </c>
      <c r="J944" t="s">
        <v>47</v>
      </c>
      <c r="K944">
        <v>0</v>
      </c>
      <c r="L944" t="s">
        <v>47</v>
      </c>
      <c r="M944">
        <v>0</v>
      </c>
      <c r="N944" t="s">
        <v>47</v>
      </c>
      <c r="O944">
        <v>0</v>
      </c>
      <c r="P944" t="s">
        <v>47</v>
      </c>
      <c r="Q944">
        <v>0</v>
      </c>
      <c r="R944" t="s">
        <v>47</v>
      </c>
      <c r="S944">
        <v>0</v>
      </c>
      <c r="T944" t="s">
        <v>47</v>
      </c>
    </row>
    <row r="945" spans="1:20" x14ac:dyDescent="0.35">
      <c r="A945" s="1" t="s">
        <v>2184</v>
      </c>
      <c r="B945" t="s">
        <v>16</v>
      </c>
      <c r="C945" t="s">
        <v>47</v>
      </c>
      <c r="D945" t="s">
        <v>1517</v>
      </c>
      <c r="E945">
        <v>1</v>
      </c>
      <c r="F945" t="s">
        <v>45</v>
      </c>
      <c r="G945">
        <v>1</v>
      </c>
      <c r="H945" t="s">
        <v>45</v>
      </c>
      <c r="I945">
        <v>0</v>
      </c>
      <c r="J945" t="s">
        <v>47</v>
      </c>
      <c r="K945">
        <v>0</v>
      </c>
      <c r="L945" t="s">
        <v>47</v>
      </c>
      <c r="M945">
        <v>0</v>
      </c>
      <c r="N945" t="s">
        <v>47</v>
      </c>
      <c r="O945">
        <v>0</v>
      </c>
      <c r="P945" t="s">
        <v>47</v>
      </c>
      <c r="Q945">
        <v>0</v>
      </c>
      <c r="R945" t="s">
        <v>47</v>
      </c>
      <c r="S945">
        <v>0</v>
      </c>
      <c r="T945" t="s">
        <v>47</v>
      </c>
    </row>
    <row r="946" spans="1:20" x14ac:dyDescent="0.35">
      <c r="A946" s="1" t="s">
        <v>2185</v>
      </c>
      <c r="B946" t="s">
        <v>16</v>
      </c>
      <c r="C946" t="s">
        <v>47</v>
      </c>
      <c r="D946" t="s">
        <v>1518</v>
      </c>
      <c r="E946">
        <v>1</v>
      </c>
      <c r="F946" t="s">
        <v>45</v>
      </c>
      <c r="G946">
        <v>0</v>
      </c>
      <c r="H946" t="s">
        <v>47</v>
      </c>
      <c r="I946">
        <v>0</v>
      </c>
      <c r="J946" t="s">
        <v>47</v>
      </c>
      <c r="K946">
        <v>0</v>
      </c>
      <c r="L946" t="s">
        <v>47</v>
      </c>
      <c r="M946">
        <v>0</v>
      </c>
      <c r="N946" t="s">
        <v>47</v>
      </c>
      <c r="O946">
        <v>0</v>
      </c>
      <c r="P946" t="s">
        <v>47</v>
      </c>
      <c r="Q946">
        <v>1</v>
      </c>
      <c r="R946" t="s">
        <v>45</v>
      </c>
      <c r="S946">
        <v>0</v>
      </c>
      <c r="T946" t="s">
        <v>47</v>
      </c>
    </row>
    <row r="947" spans="1:20" x14ac:dyDescent="0.35">
      <c r="A947" s="1" t="s">
        <v>2186</v>
      </c>
      <c r="B947" t="s">
        <v>14</v>
      </c>
      <c r="C947" t="s">
        <v>47</v>
      </c>
      <c r="D947" t="s">
        <v>1519</v>
      </c>
      <c r="E947">
        <v>1</v>
      </c>
      <c r="F947" t="s">
        <v>45</v>
      </c>
      <c r="G947">
        <v>1</v>
      </c>
      <c r="H947" t="s">
        <v>45</v>
      </c>
      <c r="I947">
        <v>0</v>
      </c>
      <c r="J947" t="s">
        <v>47</v>
      </c>
      <c r="K947">
        <v>0</v>
      </c>
      <c r="L947" t="s">
        <v>47</v>
      </c>
      <c r="M947">
        <v>0</v>
      </c>
      <c r="N947" t="s">
        <v>47</v>
      </c>
      <c r="O947">
        <v>0</v>
      </c>
      <c r="P947" t="s">
        <v>47</v>
      </c>
      <c r="Q947">
        <v>0</v>
      </c>
      <c r="R947" t="s">
        <v>47</v>
      </c>
      <c r="S947">
        <v>0</v>
      </c>
      <c r="T947" t="s">
        <v>47</v>
      </c>
    </row>
    <row r="948" spans="1:20" x14ac:dyDescent="0.35">
      <c r="A948" s="1" t="s">
        <v>2187</v>
      </c>
      <c r="B948" t="s">
        <v>16</v>
      </c>
      <c r="C948" t="s">
        <v>47</v>
      </c>
      <c r="D948" t="s">
        <v>1520</v>
      </c>
      <c r="E948">
        <v>0</v>
      </c>
      <c r="F948" t="s">
        <v>47</v>
      </c>
      <c r="G948">
        <v>1</v>
      </c>
      <c r="H948" t="s">
        <v>45</v>
      </c>
      <c r="I948">
        <v>0</v>
      </c>
      <c r="J948" t="s">
        <v>47</v>
      </c>
      <c r="K948">
        <v>0</v>
      </c>
      <c r="L948" t="s">
        <v>47</v>
      </c>
      <c r="M948">
        <v>0</v>
      </c>
      <c r="N948" t="s">
        <v>47</v>
      </c>
      <c r="O948">
        <v>1</v>
      </c>
      <c r="P948" t="s">
        <v>45</v>
      </c>
      <c r="Q948">
        <v>1</v>
      </c>
      <c r="R948" t="s">
        <v>45</v>
      </c>
      <c r="S948">
        <v>0</v>
      </c>
      <c r="T948" t="s">
        <v>47</v>
      </c>
    </row>
    <row r="949" spans="1:20" x14ac:dyDescent="0.35">
      <c r="A949" s="1" t="s">
        <v>2188</v>
      </c>
      <c r="B949" t="s">
        <v>16</v>
      </c>
      <c r="C949" t="s">
        <v>47</v>
      </c>
      <c r="D949" t="s">
        <v>1521</v>
      </c>
      <c r="E949">
        <v>0</v>
      </c>
      <c r="F949" t="s">
        <v>47</v>
      </c>
      <c r="G949">
        <v>1</v>
      </c>
      <c r="H949" t="s">
        <v>45</v>
      </c>
      <c r="I949">
        <v>0</v>
      </c>
      <c r="J949" t="s">
        <v>47</v>
      </c>
      <c r="K949">
        <v>0</v>
      </c>
      <c r="L949" t="s">
        <v>47</v>
      </c>
      <c r="M949">
        <v>0</v>
      </c>
      <c r="N949" t="s">
        <v>47</v>
      </c>
      <c r="O949">
        <v>0</v>
      </c>
      <c r="P949" t="s">
        <v>47</v>
      </c>
      <c r="Q949">
        <v>0</v>
      </c>
      <c r="R949" t="s">
        <v>47</v>
      </c>
      <c r="S949">
        <v>0</v>
      </c>
      <c r="T949" t="s">
        <v>47</v>
      </c>
    </row>
    <row r="950" spans="1:20" x14ac:dyDescent="0.35">
      <c r="A950" s="1" t="s">
        <v>2189</v>
      </c>
      <c r="B950" t="s">
        <v>14</v>
      </c>
      <c r="C950" t="s">
        <v>47</v>
      </c>
      <c r="D950" t="s">
        <v>1522</v>
      </c>
      <c r="E950">
        <v>1</v>
      </c>
      <c r="F950" t="s">
        <v>45</v>
      </c>
      <c r="G950">
        <v>0</v>
      </c>
      <c r="H950" t="s">
        <v>47</v>
      </c>
      <c r="I950">
        <v>0</v>
      </c>
      <c r="J950" t="s">
        <v>47</v>
      </c>
      <c r="K950">
        <v>0</v>
      </c>
      <c r="L950" t="s">
        <v>47</v>
      </c>
      <c r="M950">
        <v>0</v>
      </c>
      <c r="N950" t="s">
        <v>47</v>
      </c>
      <c r="O950">
        <v>0</v>
      </c>
      <c r="P950" t="s">
        <v>47</v>
      </c>
      <c r="Q950">
        <v>0</v>
      </c>
      <c r="R950" t="s">
        <v>47</v>
      </c>
      <c r="S950">
        <v>0</v>
      </c>
      <c r="T950" t="s">
        <v>47</v>
      </c>
    </row>
    <row r="951" spans="1:20" x14ac:dyDescent="0.35">
      <c r="A951" s="1" t="s">
        <v>2190</v>
      </c>
      <c r="B951" t="s">
        <v>14</v>
      </c>
      <c r="C951" t="s">
        <v>47</v>
      </c>
      <c r="D951" t="s">
        <v>1523</v>
      </c>
      <c r="E951">
        <v>0</v>
      </c>
      <c r="F951" t="s">
        <v>47</v>
      </c>
      <c r="G951">
        <v>1</v>
      </c>
      <c r="H951" t="s">
        <v>45</v>
      </c>
      <c r="I951">
        <v>0</v>
      </c>
      <c r="J951" t="s">
        <v>47</v>
      </c>
      <c r="K951">
        <v>0</v>
      </c>
      <c r="L951" t="s">
        <v>47</v>
      </c>
      <c r="M951">
        <v>0</v>
      </c>
      <c r="N951" t="s">
        <v>47</v>
      </c>
      <c r="O951">
        <v>0</v>
      </c>
      <c r="P951" t="s">
        <v>47</v>
      </c>
      <c r="Q951">
        <v>0</v>
      </c>
      <c r="R951" t="s">
        <v>47</v>
      </c>
      <c r="S951">
        <v>0</v>
      </c>
      <c r="T951" t="s">
        <v>47</v>
      </c>
    </row>
    <row r="952" spans="1:20" x14ac:dyDescent="0.35">
      <c r="A952" s="1" t="s">
        <v>2191</v>
      </c>
      <c r="B952" t="s">
        <v>14</v>
      </c>
      <c r="C952" t="s">
        <v>47</v>
      </c>
      <c r="D952" t="s">
        <v>1524</v>
      </c>
      <c r="E952">
        <v>0</v>
      </c>
      <c r="F952" t="s">
        <v>47</v>
      </c>
      <c r="G952">
        <v>1</v>
      </c>
      <c r="H952" t="s">
        <v>45</v>
      </c>
      <c r="I952">
        <v>0</v>
      </c>
      <c r="J952" t="s">
        <v>47</v>
      </c>
      <c r="K952">
        <v>0</v>
      </c>
      <c r="L952" t="s">
        <v>47</v>
      </c>
      <c r="M952">
        <v>0</v>
      </c>
      <c r="N952" t="s">
        <v>47</v>
      </c>
      <c r="O952">
        <v>0</v>
      </c>
      <c r="P952" t="s">
        <v>47</v>
      </c>
      <c r="Q952">
        <v>0</v>
      </c>
      <c r="R952" t="s">
        <v>47</v>
      </c>
      <c r="S952">
        <v>0</v>
      </c>
      <c r="T952" t="s">
        <v>47</v>
      </c>
    </row>
    <row r="953" spans="1:20" x14ac:dyDescent="0.35">
      <c r="A953" s="1" t="s">
        <v>2192</v>
      </c>
      <c r="B953" t="s">
        <v>16</v>
      </c>
      <c r="C953" t="s">
        <v>47</v>
      </c>
      <c r="D953" t="s">
        <v>1525</v>
      </c>
      <c r="E953">
        <v>0</v>
      </c>
      <c r="F953" t="s">
        <v>47</v>
      </c>
      <c r="G953">
        <v>1</v>
      </c>
      <c r="H953" t="s">
        <v>45</v>
      </c>
      <c r="I953">
        <v>0</v>
      </c>
      <c r="J953" t="s">
        <v>47</v>
      </c>
      <c r="K953">
        <v>0</v>
      </c>
      <c r="L953" t="s">
        <v>47</v>
      </c>
      <c r="M953">
        <v>0</v>
      </c>
      <c r="N953" t="s">
        <v>47</v>
      </c>
      <c r="O953">
        <v>0</v>
      </c>
      <c r="P953" t="s">
        <v>47</v>
      </c>
      <c r="Q953">
        <v>1</v>
      </c>
      <c r="R953" t="s">
        <v>45</v>
      </c>
      <c r="S953">
        <v>0</v>
      </c>
      <c r="T953" t="s">
        <v>47</v>
      </c>
    </row>
    <row r="954" spans="1:20" x14ac:dyDescent="0.35">
      <c r="A954" s="1" t="s">
        <v>2193</v>
      </c>
      <c r="B954" t="s">
        <v>14</v>
      </c>
      <c r="C954" t="s">
        <v>47</v>
      </c>
      <c r="D954" t="s">
        <v>1527</v>
      </c>
      <c r="E954">
        <v>0</v>
      </c>
      <c r="F954" t="s">
        <v>47</v>
      </c>
      <c r="G954">
        <v>1</v>
      </c>
      <c r="H954" t="s">
        <v>45</v>
      </c>
      <c r="I954">
        <v>0</v>
      </c>
      <c r="J954" t="s">
        <v>47</v>
      </c>
      <c r="K954">
        <v>0</v>
      </c>
      <c r="L954" t="s">
        <v>47</v>
      </c>
      <c r="M954">
        <v>0</v>
      </c>
      <c r="N954" t="s">
        <v>47</v>
      </c>
      <c r="O954">
        <v>0</v>
      </c>
      <c r="P954" t="s">
        <v>47</v>
      </c>
      <c r="Q954">
        <v>0</v>
      </c>
      <c r="R954" t="s">
        <v>47</v>
      </c>
      <c r="S954">
        <v>0</v>
      </c>
      <c r="T954" t="s">
        <v>47</v>
      </c>
    </row>
    <row r="955" spans="1:20" x14ac:dyDescent="0.35">
      <c r="A955" s="1" t="s">
        <v>2194</v>
      </c>
      <c r="B955" t="s">
        <v>14</v>
      </c>
      <c r="C955" t="s">
        <v>47</v>
      </c>
      <c r="D955" t="s">
        <v>1528</v>
      </c>
      <c r="E955">
        <v>1</v>
      </c>
      <c r="F955" t="s">
        <v>45</v>
      </c>
      <c r="G955">
        <v>1</v>
      </c>
      <c r="H955" t="s">
        <v>45</v>
      </c>
      <c r="I955">
        <v>0</v>
      </c>
      <c r="J955" t="s">
        <v>47</v>
      </c>
      <c r="K955">
        <v>0</v>
      </c>
      <c r="L955" t="s">
        <v>47</v>
      </c>
      <c r="M955">
        <v>0</v>
      </c>
      <c r="N955" t="s">
        <v>47</v>
      </c>
      <c r="O955">
        <v>0</v>
      </c>
      <c r="P955" t="s">
        <v>47</v>
      </c>
      <c r="Q955">
        <v>0</v>
      </c>
      <c r="R955" t="s">
        <v>47</v>
      </c>
      <c r="S955">
        <v>0</v>
      </c>
      <c r="T955" t="s">
        <v>47</v>
      </c>
    </row>
    <row r="956" spans="1:20" x14ac:dyDescent="0.35">
      <c r="A956" s="1" t="s">
        <v>2195</v>
      </c>
      <c r="B956" t="s">
        <v>14</v>
      </c>
      <c r="C956" t="s">
        <v>47</v>
      </c>
      <c r="D956" t="s">
        <v>1529</v>
      </c>
      <c r="E956">
        <v>0</v>
      </c>
      <c r="F956" t="s">
        <v>47</v>
      </c>
      <c r="G956">
        <v>1</v>
      </c>
      <c r="H956" t="s">
        <v>45</v>
      </c>
      <c r="I956">
        <v>0</v>
      </c>
      <c r="J956" t="s">
        <v>47</v>
      </c>
      <c r="K956">
        <v>0</v>
      </c>
      <c r="L956" t="s">
        <v>47</v>
      </c>
      <c r="M956">
        <v>0</v>
      </c>
      <c r="N956" t="s">
        <v>47</v>
      </c>
      <c r="O956">
        <v>0</v>
      </c>
      <c r="P956" t="s">
        <v>47</v>
      </c>
      <c r="Q956">
        <v>0</v>
      </c>
      <c r="R956" t="s">
        <v>47</v>
      </c>
      <c r="S956">
        <v>0</v>
      </c>
      <c r="T956" t="s">
        <v>47</v>
      </c>
    </row>
    <row r="957" spans="1:20" x14ac:dyDescent="0.35">
      <c r="A957" s="1" t="s">
        <v>2196</v>
      </c>
      <c r="B957" t="s">
        <v>14</v>
      </c>
      <c r="C957" t="s">
        <v>47</v>
      </c>
      <c r="D957" t="s">
        <v>1530</v>
      </c>
      <c r="E957">
        <v>1</v>
      </c>
      <c r="F957" t="s">
        <v>45</v>
      </c>
      <c r="G957">
        <v>1</v>
      </c>
      <c r="H957" t="s">
        <v>45</v>
      </c>
      <c r="I957">
        <v>0</v>
      </c>
      <c r="J957" t="s">
        <v>47</v>
      </c>
      <c r="K957">
        <v>1</v>
      </c>
      <c r="L957" t="s">
        <v>45</v>
      </c>
      <c r="M957">
        <v>0</v>
      </c>
      <c r="N957" t="s">
        <v>47</v>
      </c>
      <c r="O957">
        <v>0</v>
      </c>
      <c r="P957" t="s">
        <v>47</v>
      </c>
      <c r="Q957">
        <v>1</v>
      </c>
      <c r="R957" t="s">
        <v>45</v>
      </c>
      <c r="S957">
        <v>0</v>
      </c>
      <c r="T957" t="s">
        <v>47</v>
      </c>
    </row>
    <row r="958" spans="1:20" x14ac:dyDescent="0.35">
      <c r="A958" s="1" t="s">
        <v>2197</v>
      </c>
      <c r="B958" t="s">
        <v>14</v>
      </c>
      <c r="C958" t="s">
        <v>47</v>
      </c>
      <c r="D958" t="s">
        <v>1531</v>
      </c>
      <c r="E958">
        <v>0</v>
      </c>
      <c r="F958" t="s">
        <v>47</v>
      </c>
      <c r="G958">
        <v>1</v>
      </c>
      <c r="H958" t="s">
        <v>45</v>
      </c>
      <c r="I958">
        <v>0</v>
      </c>
      <c r="J958" t="s">
        <v>47</v>
      </c>
      <c r="K958">
        <v>0</v>
      </c>
      <c r="L958" t="s">
        <v>47</v>
      </c>
      <c r="M958">
        <v>0</v>
      </c>
      <c r="N958" t="s">
        <v>47</v>
      </c>
      <c r="O958">
        <v>1</v>
      </c>
      <c r="P958" t="s">
        <v>45</v>
      </c>
      <c r="Q958">
        <v>1</v>
      </c>
      <c r="R958" t="s">
        <v>45</v>
      </c>
      <c r="S958">
        <v>0</v>
      </c>
      <c r="T958" t="s">
        <v>47</v>
      </c>
    </row>
    <row r="959" spans="1:20" x14ac:dyDescent="0.35">
      <c r="A959" s="1" t="s">
        <v>2198</v>
      </c>
      <c r="B959" t="s">
        <v>14</v>
      </c>
      <c r="C959" t="s">
        <v>47</v>
      </c>
      <c r="D959" t="s">
        <v>1532</v>
      </c>
      <c r="E959">
        <v>0</v>
      </c>
      <c r="F959" t="s">
        <v>47</v>
      </c>
      <c r="G959">
        <v>1</v>
      </c>
      <c r="H959" t="s">
        <v>45</v>
      </c>
      <c r="I959">
        <v>0</v>
      </c>
      <c r="J959" t="s">
        <v>47</v>
      </c>
      <c r="K959">
        <v>0</v>
      </c>
      <c r="L959" t="s">
        <v>47</v>
      </c>
      <c r="M959">
        <v>0</v>
      </c>
      <c r="N959" t="s">
        <v>47</v>
      </c>
      <c r="O959">
        <v>0</v>
      </c>
      <c r="P959" t="s">
        <v>47</v>
      </c>
      <c r="Q959">
        <v>0</v>
      </c>
      <c r="R959" t="s">
        <v>47</v>
      </c>
      <c r="S959">
        <v>0</v>
      </c>
      <c r="T959" t="s">
        <v>47</v>
      </c>
    </row>
    <row r="960" spans="1:20" x14ac:dyDescent="0.35">
      <c r="A960" s="1" t="s">
        <v>2199</v>
      </c>
      <c r="B960" t="s">
        <v>14</v>
      </c>
      <c r="C960" t="s">
        <v>47</v>
      </c>
      <c r="D960" t="s">
        <v>1533</v>
      </c>
      <c r="E960">
        <v>0</v>
      </c>
      <c r="F960" t="s">
        <v>47</v>
      </c>
      <c r="G960">
        <v>0</v>
      </c>
      <c r="H960" t="s">
        <v>47</v>
      </c>
      <c r="I960">
        <v>0</v>
      </c>
      <c r="J960" t="s">
        <v>47</v>
      </c>
      <c r="K960">
        <v>0</v>
      </c>
      <c r="L960" t="s">
        <v>47</v>
      </c>
      <c r="M960">
        <v>0</v>
      </c>
      <c r="N960" t="s">
        <v>47</v>
      </c>
      <c r="O960">
        <v>0</v>
      </c>
      <c r="P960" t="s">
        <v>47</v>
      </c>
      <c r="Q960">
        <v>1</v>
      </c>
      <c r="R960" t="s">
        <v>45</v>
      </c>
      <c r="S960">
        <v>0</v>
      </c>
      <c r="T960" t="s">
        <v>47</v>
      </c>
    </row>
    <row r="961" spans="1:20" x14ac:dyDescent="0.35">
      <c r="A961" s="1" t="s">
        <v>2200</v>
      </c>
      <c r="B961" t="s">
        <v>14</v>
      </c>
      <c r="C961" t="s">
        <v>47</v>
      </c>
      <c r="D961" t="s">
        <v>1534</v>
      </c>
      <c r="E961">
        <v>0</v>
      </c>
      <c r="F961" t="s">
        <v>47</v>
      </c>
      <c r="G961">
        <v>1</v>
      </c>
      <c r="H961" t="s">
        <v>45</v>
      </c>
      <c r="I961">
        <v>0</v>
      </c>
      <c r="J961" t="s">
        <v>47</v>
      </c>
      <c r="K961">
        <v>0</v>
      </c>
      <c r="L961" t="s">
        <v>47</v>
      </c>
      <c r="M961">
        <v>0</v>
      </c>
      <c r="N961" t="s">
        <v>47</v>
      </c>
      <c r="O961">
        <v>0</v>
      </c>
      <c r="P961" t="s">
        <v>47</v>
      </c>
      <c r="Q961">
        <v>1</v>
      </c>
      <c r="R961" t="s">
        <v>45</v>
      </c>
      <c r="S961">
        <v>0</v>
      </c>
      <c r="T961" t="s">
        <v>47</v>
      </c>
    </row>
    <row r="962" spans="1:20" x14ac:dyDescent="0.35">
      <c r="A962" s="1" t="s">
        <v>2201</v>
      </c>
      <c r="B962" t="s">
        <v>14</v>
      </c>
      <c r="C962" t="s">
        <v>47</v>
      </c>
      <c r="D962" t="s">
        <v>1535</v>
      </c>
      <c r="E962">
        <v>0</v>
      </c>
      <c r="F962" t="s">
        <v>47</v>
      </c>
      <c r="G962">
        <v>1</v>
      </c>
      <c r="H962" t="s">
        <v>45</v>
      </c>
      <c r="I962">
        <v>0</v>
      </c>
      <c r="J962" t="s">
        <v>47</v>
      </c>
      <c r="K962">
        <v>0</v>
      </c>
      <c r="L962" t="s">
        <v>47</v>
      </c>
      <c r="M962">
        <v>0</v>
      </c>
      <c r="N962" t="s">
        <v>47</v>
      </c>
      <c r="O962">
        <v>0</v>
      </c>
      <c r="P962" t="s">
        <v>47</v>
      </c>
      <c r="Q962">
        <v>0</v>
      </c>
      <c r="R962" t="s">
        <v>47</v>
      </c>
      <c r="S962">
        <v>0</v>
      </c>
      <c r="T962" t="s">
        <v>47</v>
      </c>
    </row>
    <row r="963" spans="1:20" x14ac:dyDescent="0.35">
      <c r="A963" s="1" t="s">
        <v>2202</v>
      </c>
      <c r="B963" t="s">
        <v>16</v>
      </c>
      <c r="C963" t="s">
        <v>47</v>
      </c>
      <c r="D963" t="s">
        <v>1536</v>
      </c>
      <c r="E963">
        <v>0</v>
      </c>
      <c r="F963" t="s">
        <v>47</v>
      </c>
      <c r="G963">
        <v>1</v>
      </c>
      <c r="H963" t="s">
        <v>45</v>
      </c>
      <c r="I963">
        <v>0</v>
      </c>
      <c r="J963" t="s">
        <v>47</v>
      </c>
      <c r="K963">
        <v>0</v>
      </c>
      <c r="L963" t="s">
        <v>47</v>
      </c>
      <c r="M963">
        <v>0</v>
      </c>
      <c r="N963" t="s">
        <v>47</v>
      </c>
      <c r="O963">
        <v>0</v>
      </c>
      <c r="P963" t="s">
        <v>47</v>
      </c>
      <c r="Q963">
        <v>0</v>
      </c>
      <c r="R963" t="s">
        <v>47</v>
      </c>
      <c r="S963">
        <v>0</v>
      </c>
      <c r="T963" t="s">
        <v>47</v>
      </c>
    </row>
    <row r="964" spans="1:20" x14ac:dyDescent="0.35">
      <c r="A964" s="1" t="s">
        <v>2203</v>
      </c>
      <c r="B964" t="s">
        <v>14</v>
      </c>
      <c r="C964" t="s">
        <v>47</v>
      </c>
      <c r="D964" t="s">
        <v>1537</v>
      </c>
      <c r="E964">
        <v>0</v>
      </c>
      <c r="F964" t="s">
        <v>47</v>
      </c>
      <c r="G964">
        <v>1</v>
      </c>
      <c r="H964" t="s">
        <v>45</v>
      </c>
      <c r="I964">
        <v>0</v>
      </c>
      <c r="J964" t="s">
        <v>47</v>
      </c>
      <c r="K964">
        <v>0</v>
      </c>
      <c r="L964" t="s">
        <v>47</v>
      </c>
      <c r="M964">
        <v>0</v>
      </c>
      <c r="N964" t="s">
        <v>47</v>
      </c>
      <c r="O964">
        <v>0</v>
      </c>
      <c r="P964" t="s">
        <v>47</v>
      </c>
      <c r="Q964">
        <v>0</v>
      </c>
      <c r="R964" t="s">
        <v>47</v>
      </c>
      <c r="S964">
        <v>0</v>
      </c>
      <c r="T964" t="s">
        <v>47</v>
      </c>
    </row>
    <row r="965" spans="1:20" x14ac:dyDescent="0.35">
      <c r="A965" s="1" t="s">
        <v>2204</v>
      </c>
      <c r="B965" t="s">
        <v>14</v>
      </c>
      <c r="C965" t="s">
        <v>47</v>
      </c>
      <c r="D965" t="s">
        <v>1538</v>
      </c>
      <c r="E965">
        <v>1</v>
      </c>
      <c r="F965" t="s">
        <v>45</v>
      </c>
      <c r="G965">
        <v>1</v>
      </c>
      <c r="H965" t="s">
        <v>45</v>
      </c>
      <c r="I965">
        <v>0</v>
      </c>
      <c r="J965" t="s">
        <v>47</v>
      </c>
      <c r="K965">
        <v>0</v>
      </c>
      <c r="L965" t="s">
        <v>47</v>
      </c>
      <c r="M965">
        <v>0</v>
      </c>
      <c r="N965" t="s">
        <v>47</v>
      </c>
      <c r="O965">
        <v>0</v>
      </c>
      <c r="P965" t="s">
        <v>47</v>
      </c>
      <c r="Q965">
        <v>0</v>
      </c>
      <c r="R965" t="s">
        <v>47</v>
      </c>
      <c r="S965">
        <v>0</v>
      </c>
      <c r="T965" t="s">
        <v>47</v>
      </c>
    </row>
    <row r="966" spans="1:20" x14ac:dyDescent="0.35">
      <c r="A966" s="1" t="s">
        <v>2205</v>
      </c>
      <c r="B966" t="s">
        <v>14</v>
      </c>
      <c r="C966" t="s">
        <v>47</v>
      </c>
      <c r="D966" t="s">
        <v>1539</v>
      </c>
      <c r="E966">
        <v>0</v>
      </c>
      <c r="F966" t="s">
        <v>47</v>
      </c>
      <c r="G966">
        <v>1</v>
      </c>
      <c r="H966" t="s">
        <v>45</v>
      </c>
      <c r="I966">
        <v>0</v>
      </c>
      <c r="J966" t="s">
        <v>47</v>
      </c>
      <c r="K966">
        <v>0</v>
      </c>
      <c r="L966" t="s">
        <v>47</v>
      </c>
      <c r="M966">
        <v>0</v>
      </c>
      <c r="N966" t="s">
        <v>47</v>
      </c>
      <c r="O966">
        <v>0</v>
      </c>
      <c r="P966" t="s">
        <v>47</v>
      </c>
      <c r="Q966">
        <v>0</v>
      </c>
      <c r="R966" t="s">
        <v>47</v>
      </c>
      <c r="S966">
        <v>0</v>
      </c>
      <c r="T966" t="s">
        <v>47</v>
      </c>
    </row>
    <row r="967" spans="1:20" x14ac:dyDescent="0.35">
      <c r="A967" s="1" t="s">
        <v>2206</v>
      </c>
      <c r="B967" t="s">
        <v>16</v>
      </c>
      <c r="C967" t="s">
        <v>47</v>
      </c>
      <c r="D967" t="s">
        <v>1540</v>
      </c>
      <c r="E967">
        <v>0</v>
      </c>
      <c r="F967" t="s">
        <v>47</v>
      </c>
      <c r="G967">
        <v>1</v>
      </c>
      <c r="H967" t="s">
        <v>45</v>
      </c>
      <c r="I967">
        <v>0</v>
      </c>
      <c r="J967" t="s">
        <v>47</v>
      </c>
      <c r="K967">
        <v>0</v>
      </c>
      <c r="L967" t="s">
        <v>47</v>
      </c>
      <c r="M967">
        <v>0</v>
      </c>
      <c r="N967" t="s">
        <v>47</v>
      </c>
      <c r="O967">
        <v>0</v>
      </c>
      <c r="P967" t="s">
        <v>47</v>
      </c>
      <c r="Q967">
        <v>1</v>
      </c>
      <c r="R967" t="s">
        <v>45</v>
      </c>
      <c r="S967">
        <v>0</v>
      </c>
      <c r="T967" t="s">
        <v>47</v>
      </c>
    </row>
    <row r="968" spans="1:20" x14ac:dyDescent="0.35">
      <c r="A968" s="1" t="s">
        <v>2207</v>
      </c>
      <c r="B968" t="s">
        <v>14</v>
      </c>
      <c r="C968" t="s">
        <v>47</v>
      </c>
      <c r="D968" t="s">
        <v>1526</v>
      </c>
      <c r="E968">
        <v>0</v>
      </c>
      <c r="F968" t="s">
        <v>47</v>
      </c>
      <c r="G968">
        <v>1</v>
      </c>
      <c r="H968" t="s">
        <v>45</v>
      </c>
      <c r="I968">
        <v>0</v>
      </c>
      <c r="J968" t="s">
        <v>47</v>
      </c>
      <c r="K968">
        <v>0</v>
      </c>
      <c r="L968" t="s">
        <v>47</v>
      </c>
      <c r="M968">
        <v>0</v>
      </c>
      <c r="N968" t="s">
        <v>47</v>
      </c>
      <c r="O968">
        <v>0</v>
      </c>
      <c r="P968" t="s">
        <v>47</v>
      </c>
      <c r="Q968">
        <v>0</v>
      </c>
      <c r="R968" t="s">
        <v>47</v>
      </c>
      <c r="S968">
        <v>0</v>
      </c>
      <c r="T968" t="s">
        <v>47</v>
      </c>
    </row>
    <row r="969" spans="1:20" x14ac:dyDescent="0.35">
      <c r="A969" s="1" t="s">
        <v>2208</v>
      </c>
      <c r="B969" t="s">
        <v>16</v>
      </c>
      <c r="C969" t="s">
        <v>47</v>
      </c>
      <c r="D969" t="s">
        <v>1541</v>
      </c>
      <c r="E969">
        <v>1</v>
      </c>
      <c r="F969" t="s">
        <v>45</v>
      </c>
      <c r="G969">
        <v>1</v>
      </c>
      <c r="H969" t="s">
        <v>45</v>
      </c>
      <c r="I969">
        <v>0</v>
      </c>
      <c r="J969" t="s">
        <v>47</v>
      </c>
      <c r="K969">
        <v>0</v>
      </c>
      <c r="L969" t="s">
        <v>47</v>
      </c>
      <c r="M969">
        <v>0</v>
      </c>
      <c r="N969" t="s">
        <v>47</v>
      </c>
      <c r="O969">
        <v>1</v>
      </c>
      <c r="P969" t="s">
        <v>45</v>
      </c>
      <c r="Q969">
        <v>0</v>
      </c>
      <c r="R969" t="s">
        <v>47</v>
      </c>
      <c r="S969">
        <v>0</v>
      </c>
      <c r="T969" t="s">
        <v>47</v>
      </c>
    </row>
    <row r="970" spans="1:20" x14ac:dyDescent="0.35">
      <c r="A970" s="1" t="s">
        <v>2209</v>
      </c>
      <c r="B970" t="s">
        <v>16</v>
      </c>
      <c r="C970" t="s">
        <v>47</v>
      </c>
      <c r="D970" t="s">
        <v>1542</v>
      </c>
      <c r="E970">
        <v>0</v>
      </c>
      <c r="F970" t="s">
        <v>47</v>
      </c>
      <c r="G970">
        <v>1</v>
      </c>
      <c r="H970" t="s">
        <v>45</v>
      </c>
      <c r="I970">
        <v>0</v>
      </c>
      <c r="J970" t="s">
        <v>47</v>
      </c>
      <c r="K970">
        <v>0</v>
      </c>
      <c r="L970" t="s">
        <v>47</v>
      </c>
      <c r="M970">
        <v>0</v>
      </c>
      <c r="N970" t="s">
        <v>47</v>
      </c>
      <c r="O970">
        <v>0</v>
      </c>
      <c r="P970" t="s">
        <v>47</v>
      </c>
      <c r="Q970">
        <v>1</v>
      </c>
      <c r="R970" t="s">
        <v>45</v>
      </c>
      <c r="S970">
        <v>0</v>
      </c>
      <c r="T970" t="s">
        <v>47</v>
      </c>
    </row>
    <row r="971" spans="1:20" x14ac:dyDescent="0.35">
      <c r="A971" s="1" t="s">
        <v>2210</v>
      </c>
      <c r="B971" t="s">
        <v>16</v>
      </c>
      <c r="C971" t="s">
        <v>47</v>
      </c>
      <c r="D971" t="s">
        <v>1543</v>
      </c>
      <c r="E971">
        <v>0</v>
      </c>
      <c r="F971" t="s">
        <v>47</v>
      </c>
      <c r="G971">
        <v>1</v>
      </c>
      <c r="H971" t="s">
        <v>45</v>
      </c>
      <c r="I971">
        <v>0</v>
      </c>
      <c r="J971" t="s">
        <v>47</v>
      </c>
      <c r="K971">
        <v>0</v>
      </c>
      <c r="L971" t="s">
        <v>47</v>
      </c>
      <c r="M971">
        <v>0</v>
      </c>
      <c r="N971" t="s">
        <v>47</v>
      </c>
      <c r="O971">
        <v>1</v>
      </c>
      <c r="P971" t="s">
        <v>45</v>
      </c>
      <c r="Q971">
        <v>0</v>
      </c>
      <c r="R971" t="s">
        <v>47</v>
      </c>
      <c r="S971">
        <v>0</v>
      </c>
      <c r="T971" t="s">
        <v>47</v>
      </c>
    </row>
    <row r="972" spans="1:20" x14ac:dyDescent="0.35">
      <c r="A972" s="1" t="s">
        <v>2211</v>
      </c>
      <c r="B972" t="s">
        <v>14</v>
      </c>
      <c r="C972" t="s">
        <v>47</v>
      </c>
      <c r="D972" t="s">
        <v>1544</v>
      </c>
      <c r="E972">
        <v>1</v>
      </c>
      <c r="F972" t="s">
        <v>45</v>
      </c>
      <c r="G972">
        <v>1</v>
      </c>
      <c r="H972" t="s">
        <v>45</v>
      </c>
      <c r="I972">
        <v>0</v>
      </c>
      <c r="J972" t="s">
        <v>47</v>
      </c>
      <c r="K972">
        <v>0</v>
      </c>
      <c r="L972" t="s">
        <v>47</v>
      </c>
      <c r="M972">
        <v>0</v>
      </c>
      <c r="N972" t="s">
        <v>47</v>
      </c>
      <c r="O972">
        <v>0</v>
      </c>
      <c r="P972" t="s">
        <v>47</v>
      </c>
      <c r="Q972">
        <v>0</v>
      </c>
      <c r="R972" t="s">
        <v>47</v>
      </c>
      <c r="S972">
        <v>0</v>
      </c>
      <c r="T972" t="s">
        <v>47</v>
      </c>
    </row>
    <row r="973" spans="1:20" x14ac:dyDescent="0.35">
      <c r="A973" s="1" t="s">
        <v>2212</v>
      </c>
      <c r="B973" t="s">
        <v>14</v>
      </c>
      <c r="C973" t="s">
        <v>47</v>
      </c>
      <c r="D973" t="s">
        <v>1545</v>
      </c>
      <c r="E973">
        <v>1</v>
      </c>
      <c r="F973" t="s">
        <v>45</v>
      </c>
      <c r="G973">
        <v>1</v>
      </c>
      <c r="H973" t="s">
        <v>45</v>
      </c>
      <c r="I973">
        <v>0</v>
      </c>
      <c r="J973" t="s">
        <v>47</v>
      </c>
      <c r="K973">
        <v>0</v>
      </c>
      <c r="L973" t="s">
        <v>47</v>
      </c>
      <c r="M973">
        <v>0</v>
      </c>
      <c r="N973" t="s">
        <v>47</v>
      </c>
      <c r="O973">
        <v>1</v>
      </c>
      <c r="P973" t="s">
        <v>45</v>
      </c>
      <c r="Q973">
        <v>1</v>
      </c>
      <c r="R973" t="s">
        <v>45</v>
      </c>
      <c r="S973">
        <v>0</v>
      </c>
      <c r="T973" t="s">
        <v>47</v>
      </c>
    </row>
    <row r="974" spans="1:20" x14ac:dyDescent="0.35">
      <c r="A974" s="1" t="s">
        <v>2213</v>
      </c>
      <c r="B974" t="s">
        <v>14</v>
      </c>
      <c r="C974" t="s">
        <v>47</v>
      </c>
      <c r="D974" t="s">
        <v>1546</v>
      </c>
      <c r="E974">
        <v>1</v>
      </c>
      <c r="F974" t="s">
        <v>45</v>
      </c>
      <c r="G974">
        <v>1</v>
      </c>
      <c r="H974" t="s">
        <v>45</v>
      </c>
      <c r="I974">
        <v>0</v>
      </c>
      <c r="J974" t="s">
        <v>47</v>
      </c>
      <c r="K974">
        <v>0</v>
      </c>
      <c r="L974" t="s">
        <v>47</v>
      </c>
      <c r="M974">
        <v>0</v>
      </c>
      <c r="N974" t="s">
        <v>47</v>
      </c>
      <c r="O974">
        <v>0</v>
      </c>
      <c r="P974" t="s">
        <v>47</v>
      </c>
      <c r="Q974">
        <v>1</v>
      </c>
      <c r="R974" t="s">
        <v>45</v>
      </c>
      <c r="S974">
        <v>0</v>
      </c>
      <c r="T974" t="s">
        <v>47</v>
      </c>
    </row>
    <row r="975" spans="1:20" x14ac:dyDescent="0.35">
      <c r="A975" s="1" t="s">
        <v>2214</v>
      </c>
      <c r="B975" t="s">
        <v>14</v>
      </c>
      <c r="C975" t="s">
        <v>47</v>
      </c>
      <c r="D975" t="s">
        <v>1547</v>
      </c>
      <c r="E975">
        <v>1</v>
      </c>
      <c r="F975" t="s">
        <v>45</v>
      </c>
      <c r="G975">
        <v>0</v>
      </c>
      <c r="H975" t="s">
        <v>47</v>
      </c>
      <c r="I975">
        <v>0</v>
      </c>
      <c r="J975" t="s">
        <v>47</v>
      </c>
      <c r="K975">
        <v>0</v>
      </c>
      <c r="L975" t="s">
        <v>47</v>
      </c>
      <c r="M975">
        <v>0</v>
      </c>
      <c r="N975" t="s">
        <v>47</v>
      </c>
      <c r="O975">
        <v>0</v>
      </c>
      <c r="P975" t="s">
        <v>47</v>
      </c>
      <c r="Q975">
        <v>1</v>
      </c>
      <c r="R975" t="s">
        <v>45</v>
      </c>
      <c r="S975">
        <v>0</v>
      </c>
      <c r="T975" t="s">
        <v>47</v>
      </c>
    </row>
    <row r="976" spans="1:20" x14ac:dyDescent="0.35">
      <c r="A976" s="1" t="s">
        <v>2215</v>
      </c>
      <c r="B976" t="s">
        <v>14</v>
      </c>
      <c r="C976" t="s">
        <v>47</v>
      </c>
      <c r="D976" t="s">
        <v>1548</v>
      </c>
      <c r="E976">
        <v>1</v>
      </c>
      <c r="F976" t="s">
        <v>45</v>
      </c>
      <c r="G976">
        <v>0</v>
      </c>
      <c r="H976" t="s">
        <v>47</v>
      </c>
      <c r="I976">
        <v>0</v>
      </c>
      <c r="J976" t="s">
        <v>47</v>
      </c>
      <c r="K976">
        <v>0</v>
      </c>
      <c r="L976" t="s">
        <v>47</v>
      </c>
      <c r="M976">
        <v>0</v>
      </c>
      <c r="N976" t="s">
        <v>47</v>
      </c>
      <c r="O976">
        <v>0</v>
      </c>
      <c r="P976" t="s">
        <v>47</v>
      </c>
      <c r="Q976">
        <v>0</v>
      </c>
      <c r="R976" t="s">
        <v>47</v>
      </c>
      <c r="S976">
        <v>0</v>
      </c>
      <c r="T976" t="s">
        <v>47</v>
      </c>
    </row>
    <row r="977" spans="1:20" x14ac:dyDescent="0.35">
      <c r="A977" s="1" t="s">
        <v>2216</v>
      </c>
      <c r="B977" t="s">
        <v>14</v>
      </c>
      <c r="C977" t="s">
        <v>47</v>
      </c>
      <c r="D977" t="s">
        <v>1549</v>
      </c>
      <c r="E977">
        <v>0</v>
      </c>
      <c r="F977" t="s">
        <v>47</v>
      </c>
      <c r="G977">
        <v>1</v>
      </c>
      <c r="H977" t="s">
        <v>45</v>
      </c>
      <c r="I977">
        <v>0</v>
      </c>
      <c r="J977" t="s">
        <v>47</v>
      </c>
      <c r="K977">
        <v>0</v>
      </c>
      <c r="L977" t="s">
        <v>47</v>
      </c>
      <c r="M977">
        <v>0</v>
      </c>
      <c r="N977" t="s">
        <v>47</v>
      </c>
      <c r="O977">
        <v>0</v>
      </c>
      <c r="P977" t="s">
        <v>47</v>
      </c>
      <c r="Q977">
        <v>0</v>
      </c>
      <c r="R977" t="s">
        <v>47</v>
      </c>
      <c r="S977">
        <v>0</v>
      </c>
      <c r="T977" t="s">
        <v>47</v>
      </c>
    </row>
    <row r="978" spans="1:20" x14ac:dyDescent="0.35">
      <c r="A978" s="1" t="s">
        <v>2217</v>
      </c>
      <c r="B978" t="s">
        <v>14</v>
      </c>
      <c r="C978" t="s">
        <v>47</v>
      </c>
      <c r="D978" t="s">
        <v>1550</v>
      </c>
      <c r="E978">
        <v>0</v>
      </c>
      <c r="F978" t="s">
        <v>47</v>
      </c>
      <c r="G978">
        <v>1</v>
      </c>
      <c r="H978" t="s">
        <v>45</v>
      </c>
      <c r="I978">
        <v>0</v>
      </c>
      <c r="J978" t="s">
        <v>47</v>
      </c>
      <c r="K978">
        <v>0</v>
      </c>
      <c r="L978" t="s">
        <v>47</v>
      </c>
      <c r="M978">
        <v>0</v>
      </c>
      <c r="N978" t="s">
        <v>47</v>
      </c>
      <c r="O978">
        <v>0</v>
      </c>
      <c r="P978" t="s">
        <v>47</v>
      </c>
      <c r="Q978">
        <v>0</v>
      </c>
      <c r="R978" t="s">
        <v>47</v>
      </c>
      <c r="S978">
        <v>0</v>
      </c>
      <c r="T978" t="s">
        <v>47</v>
      </c>
    </row>
    <row r="979" spans="1:20" x14ac:dyDescent="0.35">
      <c r="A979" s="1" t="s">
        <v>2218</v>
      </c>
      <c r="B979" t="s">
        <v>14</v>
      </c>
      <c r="C979" t="s">
        <v>47</v>
      </c>
      <c r="D979" t="s">
        <v>1551</v>
      </c>
      <c r="E979">
        <v>0</v>
      </c>
      <c r="F979" t="s">
        <v>47</v>
      </c>
      <c r="G979">
        <v>1</v>
      </c>
      <c r="H979" t="s">
        <v>45</v>
      </c>
      <c r="I979">
        <v>0</v>
      </c>
      <c r="J979" t="s">
        <v>47</v>
      </c>
      <c r="K979">
        <v>0</v>
      </c>
      <c r="L979" t="s">
        <v>47</v>
      </c>
      <c r="M979">
        <v>0</v>
      </c>
      <c r="N979" t="s">
        <v>47</v>
      </c>
      <c r="O979">
        <v>0</v>
      </c>
      <c r="P979" t="s">
        <v>47</v>
      </c>
      <c r="Q979">
        <v>0</v>
      </c>
      <c r="R979" t="s">
        <v>47</v>
      </c>
      <c r="S979">
        <v>0</v>
      </c>
      <c r="T979" t="s">
        <v>47</v>
      </c>
    </row>
    <row r="980" spans="1:20" x14ac:dyDescent="0.35">
      <c r="A980" s="1" t="s">
        <v>2219</v>
      </c>
      <c r="B980" t="s">
        <v>14</v>
      </c>
      <c r="C980" t="s">
        <v>47</v>
      </c>
      <c r="D980" t="s">
        <v>1553</v>
      </c>
      <c r="E980">
        <v>1</v>
      </c>
      <c r="F980" t="s">
        <v>45</v>
      </c>
      <c r="G980">
        <v>1</v>
      </c>
      <c r="H980" t="s">
        <v>45</v>
      </c>
      <c r="I980">
        <v>0</v>
      </c>
      <c r="J980" t="s">
        <v>47</v>
      </c>
      <c r="K980">
        <v>0</v>
      </c>
      <c r="L980" t="s">
        <v>47</v>
      </c>
      <c r="M980">
        <v>0</v>
      </c>
      <c r="N980" t="s">
        <v>47</v>
      </c>
      <c r="O980">
        <v>0</v>
      </c>
      <c r="P980" t="s">
        <v>47</v>
      </c>
      <c r="Q980">
        <v>1</v>
      </c>
      <c r="R980" t="s">
        <v>45</v>
      </c>
      <c r="S980">
        <v>0</v>
      </c>
      <c r="T980" t="s">
        <v>47</v>
      </c>
    </row>
    <row r="981" spans="1:20" x14ac:dyDescent="0.35">
      <c r="A981" s="1" t="s">
        <v>2220</v>
      </c>
      <c r="B981" t="s">
        <v>14</v>
      </c>
      <c r="C981" t="s">
        <v>47</v>
      </c>
      <c r="D981" t="s">
        <v>1554</v>
      </c>
      <c r="E981">
        <v>1</v>
      </c>
      <c r="F981" t="s">
        <v>45</v>
      </c>
      <c r="G981">
        <v>1</v>
      </c>
      <c r="H981" t="s">
        <v>45</v>
      </c>
      <c r="I981">
        <v>0</v>
      </c>
      <c r="J981" t="s">
        <v>47</v>
      </c>
      <c r="K981">
        <v>0</v>
      </c>
      <c r="L981" t="s">
        <v>47</v>
      </c>
      <c r="M981">
        <v>0</v>
      </c>
      <c r="N981" t="s">
        <v>47</v>
      </c>
      <c r="O981">
        <v>0</v>
      </c>
      <c r="P981" t="s">
        <v>47</v>
      </c>
      <c r="Q981">
        <v>0</v>
      </c>
      <c r="R981" t="s">
        <v>47</v>
      </c>
      <c r="S981">
        <v>0</v>
      </c>
      <c r="T981" t="s">
        <v>47</v>
      </c>
    </row>
    <row r="982" spans="1:20" x14ac:dyDescent="0.35">
      <c r="A982" s="1" t="s">
        <v>2221</v>
      </c>
      <c r="B982" t="s">
        <v>16</v>
      </c>
      <c r="C982" t="s">
        <v>47</v>
      </c>
      <c r="D982" t="s">
        <v>1555</v>
      </c>
      <c r="E982">
        <v>0</v>
      </c>
      <c r="F982" t="s">
        <v>47</v>
      </c>
      <c r="G982">
        <v>1</v>
      </c>
      <c r="H982" t="s">
        <v>45</v>
      </c>
      <c r="I982">
        <v>0</v>
      </c>
      <c r="J982" t="s">
        <v>47</v>
      </c>
      <c r="K982">
        <v>0</v>
      </c>
      <c r="L982" t="s">
        <v>47</v>
      </c>
      <c r="M982">
        <v>0</v>
      </c>
      <c r="N982" t="s">
        <v>47</v>
      </c>
      <c r="O982">
        <v>0</v>
      </c>
      <c r="P982" t="s">
        <v>47</v>
      </c>
      <c r="Q982">
        <v>1</v>
      </c>
      <c r="R982" t="s">
        <v>45</v>
      </c>
      <c r="S982">
        <v>0</v>
      </c>
      <c r="T982" t="s">
        <v>47</v>
      </c>
    </row>
    <row r="983" spans="1:20" x14ac:dyDescent="0.35">
      <c r="A983" s="1" t="s">
        <v>2222</v>
      </c>
      <c r="B983" t="s">
        <v>16</v>
      </c>
      <c r="C983" t="s">
        <v>47</v>
      </c>
      <c r="D983" t="s">
        <v>1556</v>
      </c>
      <c r="E983">
        <v>1</v>
      </c>
      <c r="F983" t="s">
        <v>45</v>
      </c>
      <c r="G983">
        <v>1</v>
      </c>
      <c r="H983" t="s">
        <v>45</v>
      </c>
      <c r="I983">
        <v>0</v>
      </c>
      <c r="J983" t="s">
        <v>47</v>
      </c>
      <c r="K983">
        <v>0</v>
      </c>
      <c r="L983" t="s">
        <v>47</v>
      </c>
      <c r="M983">
        <v>0</v>
      </c>
      <c r="N983" t="s">
        <v>47</v>
      </c>
      <c r="O983">
        <v>1</v>
      </c>
      <c r="P983" t="s">
        <v>45</v>
      </c>
      <c r="Q983">
        <v>0</v>
      </c>
      <c r="R983" t="s">
        <v>47</v>
      </c>
      <c r="S983">
        <v>0</v>
      </c>
      <c r="T983" t="s">
        <v>47</v>
      </c>
    </row>
    <row r="984" spans="1:20" x14ac:dyDescent="0.35">
      <c r="A984" s="1" t="s">
        <v>2223</v>
      </c>
      <c r="B984" t="s">
        <v>16</v>
      </c>
      <c r="C984" t="s">
        <v>47</v>
      </c>
      <c r="D984" t="s">
        <v>1557</v>
      </c>
      <c r="E984">
        <v>1</v>
      </c>
      <c r="F984" t="s">
        <v>45</v>
      </c>
      <c r="G984">
        <v>1</v>
      </c>
      <c r="H984" t="s">
        <v>45</v>
      </c>
      <c r="I984">
        <v>0</v>
      </c>
      <c r="J984" t="s">
        <v>47</v>
      </c>
      <c r="K984">
        <v>0</v>
      </c>
      <c r="L984" t="s">
        <v>47</v>
      </c>
      <c r="M984">
        <v>0</v>
      </c>
      <c r="N984" t="s">
        <v>47</v>
      </c>
      <c r="O984">
        <v>0</v>
      </c>
      <c r="P984" t="s">
        <v>47</v>
      </c>
      <c r="Q984">
        <v>0</v>
      </c>
      <c r="R984" t="s">
        <v>47</v>
      </c>
      <c r="S984">
        <v>0</v>
      </c>
      <c r="T984" t="s">
        <v>47</v>
      </c>
    </row>
    <row r="985" spans="1:20" x14ac:dyDescent="0.35">
      <c r="A985" s="1" t="s">
        <v>2224</v>
      </c>
      <c r="B985" t="s">
        <v>16</v>
      </c>
      <c r="C985" t="s">
        <v>47</v>
      </c>
      <c r="D985" t="s">
        <v>1558</v>
      </c>
      <c r="E985">
        <v>1</v>
      </c>
      <c r="F985" t="s">
        <v>45</v>
      </c>
      <c r="G985">
        <v>1</v>
      </c>
      <c r="H985" t="s">
        <v>45</v>
      </c>
      <c r="I985">
        <v>0</v>
      </c>
      <c r="J985" t="s">
        <v>47</v>
      </c>
      <c r="K985">
        <v>0</v>
      </c>
      <c r="L985" t="s">
        <v>47</v>
      </c>
      <c r="M985">
        <v>0</v>
      </c>
      <c r="N985" t="s">
        <v>47</v>
      </c>
      <c r="O985">
        <v>0</v>
      </c>
      <c r="P985" t="s">
        <v>47</v>
      </c>
      <c r="Q985">
        <v>0</v>
      </c>
      <c r="R985" t="s">
        <v>47</v>
      </c>
      <c r="S985">
        <v>0</v>
      </c>
      <c r="T985" t="s">
        <v>47</v>
      </c>
    </row>
    <row r="986" spans="1:20" x14ac:dyDescent="0.35">
      <c r="A986" s="1" t="s">
        <v>2225</v>
      </c>
      <c r="B986" t="s">
        <v>14</v>
      </c>
      <c r="C986" t="s">
        <v>47</v>
      </c>
      <c r="D986" t="s">
        <v>1559</v>
      </c>
      <c r="E986">
        <v>0</v>
      </c>
      <c r="F986" t="s">
        <v>47</v>
      </c>
      <c r="G986">
        <v>1</v>
      </c>
      <c r="H986" t="s">
        <v>45</v>
      </c>
      <c r="I986">
        <v>0</v>
      </c>
      <c r="J986" t="s">
        <v>47</v>
      </c>
      <c r="K986">
        <v>0</v>
      </c>
      <c r="L986" t="s">
        <v>47</v>
      </c>
      <c r="M986">
        <v>0</v>
      </c>
      <c r="N986" t="s">
        <v>47</v>
      </c>
      <c r="O986">
        <v>0</v>
      </c>
      <c r="P986" t="s">
        <v>47</v>
      </c>
      <c r="Q986">
        <v>1</v>
      </c>
      <c r="R986" t="s">
        <v>45</v>
      </c>
      <c r="S986">
        <v>0</v>
      </c>
      <c r="T986" t="s">
        <v>47</v>
      </c>
    </row>
    <row r="987" spans="1:20" x14ac:dyDescent="0.35">
      <c r="A987" s="1" t="s">
        <v>2226</v>
      </c>
      <c r="B987" t="s">
        <v>16</v>
      </c>
      <c r="C987" t="s">
        <v>47</v>
      </c>
      <c r="D987" t="s">
        <v>1560</v>
      </c>
      <c r="E987">
        <v>1</v>
      </c>
      <c r="F987" t="s">
        <v>45</v>
      </c>
      <c r="G987">
        <v>1</v>
      </c>
      <c r="H987" t="s">
        <v>45</v>
      </c>
      <c r="I987">
        <v>0</v>
      </c>
      <c r="J987" t="s">
        <v>47</v>
      </c>
      <c r="K987">
        <v>0</v>
      </c>
      <c r="L987" t="s">
        <v>47</v>
      </c>
      <c r="M987">
        <v>0</v>
      </c>
      <c r="N987" t="s">
        <v>47</v>
      </c>
      <c r="O987">
        <v>1</v>
      </c>
      <c r="P987" t="s">
        <v>45</v>
      </c>
      <c r="Q987">
        <v>0</v>
      </c>
      <c r="R987" t="s">
        <v>47</v>
      </c>
      <c r="S987">
        <v>0</v>
      </c>
      <c r="T987" t="s">
        <v>47</v>
      </c>
    </row>
    <row r="988" spans="1:20" x14ac:dyDescent="0.35">
      <c r="A988" s="1" t="s">
        <v>2227</v>
      </c>
      <c r="B988" t="s">
        <v>14</v>
      </c>
      <c r="C988" t="s">
        <v>47</v>
      </c>
      <c r="D988" t="s">
        <v>1561</v>
      </c>
      <c r="E988">
        <v>1</v>
      </c>
      <c r="F988" t="s">
        <v>45</v>
      </c>
      <c r="G988">
        <v>1</v>
      </c>
      <c r="H988" t="s">
        <v>45</v>
      </c>
      <c r="I988">
        <v>0</v>
      </c>
      <c r="J988" t="s">
        <v>47</v>
      </c>
      <c r="K988">
        <v>0</v>
      </c>
      <c r="L988" t="s">
        <v>47</v>
      </c>
      <c r="M988">
        <v>0</v>
      </c>
      <c r="N988" t="s">
        <v>47</v>
      </c>
      <c r="O988">
        <v>0</v>
      </c>
      <c r="P988" t="s">
        <v>47</v>
      </c>
      <c r="Q988">
        <v>0</v>
      </c>
      <c r="R988" t="s">
        <v>47</v>
      </c>
      <c r="S988">
        <v>0</v>
      </c>
      <c r="T988" t="s">
        <v>47</v>
      </c>
    </row>
    <row r="989" spans="1:20" x14ac:dyDescent="0.35">
      <c r="A989" s="1" t="s">
        <v>2228</v>
      </c>
      <c r="B989" t="s">
        <v>16</v>
      </c>
      <c r="C989" t="s">
        <v>47</v>
      </c>
      <c r="D989" t="s">
        <v>1552</v>
      </c>
      <c r="E989">
        <v>1</v>
      </c>
      <c r="F989" t="s">
        <v>45</v>
      </c>
      <c r="G989">
        <v>1</v>
      </c>
      <c r="H989" t="s">
        <v>45</v>
      </c>
      <c r="I989">
        <v>0</v>
      </c>
      <c r="J989" t="s">
        <v>47</v>
      </c>
      <c r="K989">
        <v>1</v>
      </c>
      <c r="L989" t="s">
        <v>45</v>
      </c>
      <c r="M989">
        <v>0</v>
      </c>
      <c r="N989" t="s">
        <v>47</v>
      </c>
      <c r="O989">
        <v>1</v>
      </c>
      <c r="P989" t="s">
        <v>45</v>
      </c>
      <c r="Q989">
        <v>1</v>
      </c>
      <c r="R989" t="s">
        <v>45</v>
      </c>
      <c r="S989">
        <v>0</v>
      </c>
      <c r="T989" t="s">
        <v>47</v>
      </c>
    </row>
    <row r="990" spans="1:20" x14ac:dyDescent="0.35">
      <c r="A990" s="1" t="s">
        <v>2229</v>
      </c>
      <c r="B990" t="s">
        <v>16</v>
      </c>
      <c r="C990" t="s">
        <v>47</v>
      </c>
      <c r="D990" t="s">
        <v>1562</v>
      </c>
      <c r="E990">
        <v>1</v>
      </c>
      <c r="F990" t="s">
        <v>45</v>
      </c>
      <c r="G990">
        <v>1</v>
      </c>
      <c r="H990" t="s">
        <v>45</v>
      </c>
      <c r="I990">
        <v>0</v>
      </c>
      <c r="J990" t="s">
        <v>47</v>
      </c>
      <c r="K990">
        <v>0</v>
      </c>
      <c r="L990" t="s">
        <v>47</v>
      </c>
      <c r="M990">
        <v>0</v>
      </c>
      <c r="N990" t="s">
        <v>47</v>
      </c>
      <c r="O990">
        <v>0</v>
      </c>
      <c r="P990" t="s">
        <v>47</v>
      </c>
      <c r="Q990">
        <v>1</v>
      </c>
      <c r="R990" t="s">
        <v>45</v>
      </c>
      <c r="S990">
        <v>0</v>
      </c>
      <c r="T990" t="s">
        <v>47</v>
      </c>
    </row>
    <row r="991" spans="1:20" x14ac:dyDescent="0.35">
      <c r="A991" s="1" t="s">
        <v>2230</v>
      </c>
      <c r="B991" t="s">
        <v>14</v>
      </c>
      <c r="C991" t="s">
        <v>47</v>
      </c>
      <c r="D991" t="s">
        <v>1563</v>
      </c>
      <c r="E991">
        <v>0</v>
      </c>
      <c r="F991" t="s">
        <v>47</v>
      </c>
      <c r="G991">
        <v>1</v>
      </c>
      <c r="H991" t="s">
        <v>45</v>
      </c>
      <c r="I991">
        <v>0</v>
      </c>
      <c r="J991" t="s">
        <v>47</v>
      </c>
      <c r="K991">
        <v>0</v>
      </c>
      <c r="L991" t="s">
        <v>47</v>
      </c>
      <c r="M991">
        <v>0</v>
      </c>
      <c r="N991" t="s">
        <v>47</v>
      </c>
      <c r="O991">
        <v>0</v>
      </c>
      <c r="P991" t="s">
        <v>47</v>
      </c>
      <c r="Q991">
        <v>0</v>
      </c>
      <c r="R991" t="s">
        <v>47</v>
      </c>
      <c r="S991">
        <v>0</v>
      </c>
      <c r="T991" t="s">
        <v>47</v>
      </c>
    </row>
    <row r="992" spans="1:20" x14ac:dyDescent="0.35">
      <c r="A992" s="1" t="s">
        <v>2231</v>
      </c>
      <c r="B992" t="s">
        <v>14</v>
      </c>
      <c r="C992" t="s">
        <v>47</v>
      </c>
      <c r="D992" t="s">
        <v>1564</v>
      </c>
      <c r="E992">
        <v>1</v>
      </c>
      <c r="F992" t="s">
        <v>45</v>
      </c>
      <c r="G992">
        <v>0</v>
      </c>
      <c r="H992" t="s">
        <v>47</v>
      </c>
      <c r="I992">
        <v>0</v>
      </c>
      <c r="J992" t="s">
        <v>47</v>
      </c>
      <c r="K992">
        <v>0</v>
      </c>
      <c r="L992" t="s">
        <v>47</v>
      </c>
      <c r="M992">
        <v>0</v>
      </c>
      <c r="N992" t="s">
        <v>47</v>
      </c>
      <c r="O992">
        <v>0</v>
      </c>
      <c r="P992" t="s">
        <v>47</v>
      </c>
      <c r="Q992">
        <v>0</v>
      </c>
      <c r="R992" t="s">
        <v>47</v>
      </c>
      <c r="S992">
        <v>0</v>
      </c>
      <c r="T992" t="s">
        <v>47</v>
      </c>
    </row>
    <row r="993" spans="1:20" x14ac:dyDescent="0.35">
      <c r="A993" s="1" t="s">
        <v>2232</v>
      </c>
      <c r="B993" t="s">
        <v>14</v>
      </c>
      <c r="C993" t="s">
        <v>47</v>
      </c>
      <c r="D993" t="s">
        <v>1565</v>
      </c>
      <c r="E993">
        <v>1</v>
      </c>
      <c r="F993" t="s">
        <v>45</v>
      </c>
      <c r="G993">
        <v>0</v>
      </c>
      <c r="H993" t="s">
        <v>47</v>
      </c>
      <c r="I993">
        <v>0</v>
      </c>
      <c r="J993" t="s">
        <v>47</v>
      </c>
      <c r="K993">
        <v>0</v>
      </c>
      <c r="L993" t="s">
        <v>47</v>
      </c>
      <c r="M993">
        <v>0</v>
      </c>
      <c r="N993" t="s">
        <v>47</v>
      </c>
      <c r="O993">
        <v>0</v>
      </c>
      <c r="P993" t="s">
        <v>47</v>
      </c>
      <c r="Q993">
        <v>0</v>
      </c>
      <c r="R993" t="s">
        <v>47</v>
      </c>
      <c r="S993">
        <v>0</v>
      </c>
      <c r="T993" t="s">
        <v>47</v>
      </c>
    </row>
    <row r="994" spans="1:20" x14ac:dyDescent="0.35">
      <c r="A994" s="1" t="s">
        <v>2233</v>
      </c>
      <c r="B994" t="s">
        <v>14</v>
      </c>
      <c r="C994" t="s">
        <v>47</v>
      </c>
      <c r="D994" t="s">
        <v>1566</v>
      </c>
      <c r="E994">
        <v>0</v>
      </c>
      <c r="F994" t="s">
        <v>47</v>
      </c>
      <c r="G994">
        <v>0</v>
      </c>
      <c r="H994" t="s">
        <v>47</v>
      </c>
      <c r="I994">
        <v>0</v>
      </c>
      <c r="J994" t="s">
        <v>47</v>
      </c>
      <c r="K994">
        <v>0</v>
      </c>
      <c r="L994" t="s">
        <v>47</v>
      </c>
      <c r="M994">
        <v>0</v>
      </c>
      <c r="N994" t="s">
        <v>47</v>
      </c>
      <c r="O994">
        <v>0</v>
      </c>
      <c r="P994" t="s">
        <v>47</v>
      </c>
      <c r="Q994">
        <v>1</v>
      </c>
      <c r="R994" t="s">
        <v>45</v>
      </c>
      <c r="S994">
        <v>0</v>
      </c>
      <c r="T994" t="s">
        <v>47</v>
      </c>
    </row>
    <row r="995" spans="1:20" x14ac:dyDescent="0.35">
      <c r="A995" s="1" t="s">
        <v>2234</v>
      </c>
      <c r="B995" t="s">
        <v>14</v>
      </c>
      <c r="C995" t="s">
        <v>47</v>
      </c>
      <c r="D995" t="s">
        <v>1567</v>
      </c>
      <c r="E995">
        <v>1</v>
      </c>
      <c r="F995" t="s">
        <v>45</v>
      </c>
      <c r="G995">
        <v>1</v>
      </c>
      <c r="H995" t="s">
        <v>45</v>
      </c>
      <c r="I995">
        <v>0</v>
      </c>
      <c r="J995" t="s">
        <v>47</v>
      </c>
      <c r="K995">
        <v>0</v>
      </c>
      <c r="L995" t="s">
        <v>47</v>
      </c>
      <c r="M995">
        <v>0</v>
      </c>
      <c r="N995" t="s">
        <v>47</v>
      </c>
      <c r="O995">
        <v>0</v>
      </c>
      <c r="P995" t="s">
        <v>47</v>
      </c>
      <c r="Q995">
        <v>0</v>
      </c>
      <c r="R995" t="s">
        <v>47</v>
      </c>
      <c r="S995">
        <v>0</v>
      </c>
      <c r="T995" t="s">
        <v>47</v>
      </c>
    </row>
    <row r="996" spans="1:20" x14ac:dyDescent="0.35">
      <c r="A996" s="1" t="s">
        <v>2235</v>
      </c>
      <c r="B996" t="s">
        <v>14</v>
      </c>
      <c r="C996" t="s">
        <v>47</v>
      </c>
      <c r="D996" t="s">
        <v>1568</v>
      </c>
      <c r="E996">
        <v>1</v>
      </c>
      <c r="F996" t="s">
        <v>45</v>
      </c>
      <c r="G996">
        <v>1</v>
      </c>
      <c r="H996" t="s">
        <v>45</v>
      </c>
      <c r="I996">
        <v>0</v>
      </c>
      <c r="J996" t="s">
        <v>47</v>
      </c>
      <c r="K996">
        <v>0</v>
      </c>
      <c r="L996" t="s">
        <v>47</v>
      </c>
      <c r="M996">
        <v>0</v>
      </c>
      <c r="N996" t="s">
        <v>47</v>
      </c>
      <c r="O996">
        <v>0</v>
      </c>
      <c r="P996" t="s">
        <v>47</v>
      </c>
      <c r="Q996">
        <v>0</v>
      </c>
      <c r="R996" t="s">
        <v>47</v>
      </c>
      <c r="S996">
        <v>0</v>
      </c>
      <c r="T996" t="s">
        <v>47</v>
      </c>
    </row>
    <row r="997" spans="1:20" x14ac:dyDescent="0.35">
      <c r="A997" s="1" t="s">
        <v>2236</v>
      </c>
      <c r="B997" t="s">
        <v>14</v>
      </c>
      <c r="C997" t="s">
        <v>47</v>
      </c>
      <c r="D997" t="s">
        <v>1569</v>
      </c>
      <c r="E997">
        <v>0</v>
      </c>
      <c r="F997" t="s">
        <v>47</v>
      </c>
      <c r="G997">
        <v>1</v>
      </c>
      <c r="H997" t="s">
        <v>45</v>
      </c>
      <c r="I997">
        <v>0</v>
      </c>
      <c r="J997" t="s">
        <v>47</v>
      </c>
      <c r="K997">
        <v>0</v>
      </c>
      <c r="L997" t="s">
        <v>47</v>
      </c>
      <c r="M997">
        <v>0</v>
      </c>
      <c r="N997" t="s">
        <v>47</v>
      </c>
      <c r="O997">
        <v>0</v>
      </c>
      <c r="P997" t="s">
        <v>47</v>
      </c>
      <c r="Q997">
        <v>0</v>
      </c>
      <c r="R997" t="s">
        <v>47</v>
      </c>
      <c r="S997">
        <v>0</v>
      </c>
      <c r="T997" t="s">
        <v>47</v>
      </c>
    </row>
    <row r="998" spans="1:20" x14ac:dyDescent="0.35">
      <c r="A998" s="1" t="s">
        <v>2237</v>
      </c>
      <c r="B998" t="s">
        <v>14</v>
      </c>
      <c r="C998" t="s">
        <v>47</v>
      </c>
      <c r="D998" t="s">
        <v>1570</v>
      </c>
      <c r="E998">
        <v>0</v>
      </c>
      <c r="F998" t="s">
        <v>47</v>
      </c>
      <c r="G998">
        <v>1</v>
      </c>
      <c r="H998" t="s">
        <v>45</v>
      </c>
      <c r="I998">
        <v>0</v>
      </c>
      <c r="J998" t="s">
        <v>47</v>
      </c>
      <c r="K998">
        <v>0</v>
      </c>
      <c r="L998" t="s">
        <v>47</v>
      </c>
      <c r="M998">
        <v>0</v>
      </c>
      <c r="N998" t="s">
        <v>47</v>
      </c>
      <c r="O998">
        <v>0</v>
      </c>
      <c r="P998" t="s">
        <v>47</v>
      </c>
      <c r="Q998">
        <v>0</v>
      </c>
      <c r="R998" t="s">
        <v>47</v>
      </c>
      <c r="S998">
        <v>0</v>
      </c>
      <c r="T998" t="s">
        <v>47</v>
      </c>
    </row>
    <row r="999" spans="1:20" x14ac:dyDescent="0.35">
      <c r="A999" s="1" t="s">
        <v>2238</v>
      </c>
      <c r="B999" t="s">
        <v>14</v>
      </c>
      <c r="C999" t="s">
        <v>47</v>
      </c>
      <c r="D999" t="s">
        <v>1571</v>
      </c>
      <c r="E999">
        <v>0</v>
      </c>
      <c r="F999" t="s">
        <v>47</v>
      </c>
      <c r="G999">
        <v>1</v>
      </c>
      <c r="H999" t="s">
        <v>45</v>
      </c>
      <c r="I999">
        <v>0</v>
      </c>
      <c r="J999" t="s">
        <v>47</v>
      </c>
      <c r="K999">
        <v>0</v>
      </c>
      <c r="L999" t="s">
        <v>47</v>
      </c>
      <c r="M999">
        <v>0</v>
      </c>
      <c r="N999" t="s">
        <v>47</v>
      </c>
      <c r="O999">
        <v>0</v>
      </c>
      <c r="P999" t="s">
        <v>47</v>
      </c>
      <c r="Q999">
        <v>0</v>
      </c>
      <c r="R999" t="s">
        <v>47</v>
      </c>
      <c r="S999">
        <v>0</v>
      </c>
      <c r="T999" t="s">
        <v>47</v>
      </c>
    </row>
    <row r="1000" spans="1:20" x14ac:dyDescent="0.35">
      <c r="A1000" s="1" t="s">
        <v>2239</v>
      </c>
      <c r="B1000" t="s">
        <v>14</v>
      </c>
      <c r="C1000" t="s">
        <v>47</v>
      </c>
      <c r="D1000" t="s">
        <v>1572</v>
      </c>
      <c r="E1000">
        <v>0</v>
      </c>
      <c r="F1000" t="s">
        <v>47</v>
      </c>
      <c r="G1000">
        <v>1</v>
      </c>
      <c r="H1000" t="s">
        <v>45</v>
      </c>
      <c r="I1000">
        <v>0</v>
      </c>
      <c r="J1000" t="s">
        <v>47</v>
      </c>
      <c r="K1000">
        <v>0</v>
      </c>
      <c r="L1000" t="s">
        <v>47</v>
      </c>
      <c r="M1000">
        <v>0</v>
      </c>
      <c r="N1000" t="s">
        <v>47</v>
      </c>
      <c r="O1000">
        <v>0</v>
      </c>
      <c r="P1000" t="s">
        <v>47</v>
      </c>
      <c r="Q1000">
        <v>0</v>
      </c>
      <c r="R1000" t="s">
        <v>47</v>
      </c>
      <c r="S1000">
        <v>0</v>
      </c>
      <c r="T1000" t="s">
        <v>47</v>
      </c>
    </row>
    <row r="1001" spans="1:20" x14ac:dyDescent="0.35">
      <c r="A1001" s="1" t="s">
        <v>2240</v>
      </c>
      <c r="B1001" t="s">
        <v>14</v>
      </c>
      <c r="C1001" t="s">
        <v>47</v>
      </c>
      <c r="D1001" t="s">
        <v>1573</v>
      </c>
      <c r="E1001">
        <v>0</v>
      </c>
      <c r="F1001" t="s">
        <v>47</v>
      </c>
      <c r="G1001">
        <v>1</v>
      </c>
      <c r="H1001" t="s">
        <v>45</v>
      </c>
      <c r="I1001">
        <v>0</v>
      </c>
      <c r="J1001" t="s">
        <v>47</v>
      </c>
      <c r="K1001">
        <v>0</v>
      </c>
      <c r="L1001" t="s">
        <v>47</v>
      </c>
      <c r="M1001">
        <v>0</v>
      </c>
      <c r="N1001" t="s">
        <v>47</v>
      </c>
      <c r="O1001">
        <v>1</v>
      </c>
      <c r="P1001" t="s">
        <v>45</v>
      </c>
      <c r="Q1001">
        <v>1</v>
      </c>
      <c r="R1001" t="s">
        <v>45</v>
      </c>
      <c r="S1001">
        <v>0</v>
      </c>
      <c r="T1001" t="s">
        <v>47</v>
      </c>
    </row>
    <row r="1002" spans="1:20" x14ac:dyDescent="0.35">
      <c r="A1002" s="1" t="s">
        <v>2241</v>
      </c>
      <c r="B1002" t="s">
        <v>14</v>
      </c>
      <c r="C1002" t="s">
        <v>47</v>
      </c>
      <c r="D1002" t="s">
        <v>1574</v>
      </c>
      <c r="E1002">
        <v>0</v>
      </c>
      <c r="F1002" t="s">
        <v>47</v>
      </c>
      <c r="G1002">
        <v>1</v>
      </c>
      <c r="H1002" t="s">
        <v>45</v>
      </c>
      <c r="I1002">
        <v>0</v>
      </c>
      <c r="J1002" t="s">
        <v>47</v>
      </c>
      <c r="K1002">
        <v>0</v>
      </c>
      <c r="L1002" t="s">
        <v>47</v>
      </c>
      <c r="M1002">
        <v>0</v>
      </c>
      <c r="N1002" t="s">
        <v>47</v>
      </c>
      <c r="O1002">
        <v>0</v>
      </c>
      <c r="P1002" t="s">
        <v>47</v>
      </c>
      <c r="Q1002">
        <v>0</v>
      </c>
      <c r="R1002" t="s">
        <v>47</v>
      </c>
      <c r="S1002">
        <v>0</v>
      </c>
      <c r="T1002" t="s">
        <v>47</v>
      </c>
    </row>
    <row r="1003" spans="1:20" x14ac:dyDescent="0.35">
      <c r="A1003" s="1" t="s">
        <v>2242</v>
      </c>
      <c r="B1003" t="s">
        <v>14</v>
      </c>
      <c r="C1003" t="s">
        <v>47</v>
      </c>
      <c r="D1003" t="s">
        <v>1575</v>
      </c>
      <c r="E1003">
        <v>1</v>
      </c>
      <c r="F1003" t="s">
        <v>45</v>
      </c>
      <c r="G1003">
        <v>0</v>
      </c>
      <c r="H1003" t="s">
        <v>47</v>
      </c>
      <c r="I1003">
        <v>0</v>
      </c>
      <c r="J1003" t="s">
        <v>47</v>
      </c>
      <c r="K1003">
        <v>0</v>
      </c>
      <c r="L1003" t="s">
        <v>47</v>
      </c>
      <c r="M1003">
        <v>0</v>
      </c>
      <c r="N1003" t="s">
        <v>47</v>
      </c>
      <c r="O1003">
        <v>0</v>
      </c>
      <c r="P1003" t="s">
        <v>47</v>
      </c>
      <c r="Q1003">
        <v>0</v>
      </c>
      <c r="R1003" t="s">
        <v>47</v>
      </c>
      <c r="S1003">
        <v>0</v>
      </c>
      <c r="T1003" t="s">
        <v>47</v>
      </c>
    </row>
    <row r="1004" spans="1:20" x14ac:dyDescent="0.35">
      <c r="A1004" s="1" t="s">
        <v>2243</v>
      </c>
      <c r="B1004" t="s">
        <v>14</v>
      </c>
      <c r="C1004" t="s">
        <v>47</v>
      </c>
      <c r="D1004" t="s">
        <v>1576</v>
      </c>
      <c r="E1004">
        <v>1</v>
      </c>
      <c r="F1004" t="s">
        <v>45</v>
      </c>
      <c r="G1004">
        <v>0</v>
      </c>
      <c r="H1004" t="s">
        <v>47</v>
      </c>
      <c r="I1004">
        <v>0</v>
      </c>
      <c r="J1004" t="s">
        <v>47</v>
      </c>
      <c r="K1004">
        <v>0</v>
      </c>
      <c r="L1004" t="s">
        <v>47</v>
      </c>
      <c r="M1004">
        <v>0</v>
      </c>
      <c r="N1004" t="s">
        <v>47</v>
      </c>
      <c r="O1004">
        <v>0</v>
      </c>
      <c r="P1004" t="s">
        <v>47</v>
      </c>
      <c r="Q1004">
        <v>0</v>
      </c>
      <c r="R1004" t="s">
        <v>47</v>
      </c>
      <c r="S1004">
        <v>0</v>
      </c>
      <c r="T1004" t="s">
        <v>47</v>
      </c>
    </row>
    <row r="1005" spans="1:20" x14ac:dyDescent="0.35">
      <c r="A1005" s="1" t="s">
        <v>2244</v>
      </c>
      <c r="B1005" t="s">
        <v>16</v>
      </c>
      <c r="C1005" t="s">
        <v>47</v>
      </c>
      <c r="D1005" t="s">
        <v>1577</v>
      </c>
      <c r="E1005">
        <v>1</v>
      </c>
      <c r="F1005" t="s">
        <v>45</v>
      </c>
      <c r="G1005">
        <v>1</v>
      </c>
      <c r="H1005" t="s">
        <v>45</v>
      </c>
      <c r="I1005">
        <v>0</v>
      </c>
      <c r="J1005" t="s">
        <v>47</v>
      </c>
      <c r="K1005">
        <v>0</v>
      </c>
      <c r="L1005" t="s">
        <v>47</v>
      </c>
      <c r="M1005">
        <v>0</v>
      </c>
      <c r="N1005" t="s">
        <v>47</v>
      </c>
      <c r="O1005">
        <v>1</v>
      </c>
      <c r="P1005" t="s">
        <v>45</v>
      </c>
      <c r="Q1005">
        <v>0</v>
      </c>
      <c r="R1005" t="s">
        <v>47</v>
      </c>
      <c r="S1005">
        <v>0</v>
      </c>
      <c r="T1005" t="s">
        <v>47</v>
      </c>
    </row>
    <row r="1006" spans="1:20" x14ac:dyDescent="0.35">
      <c r="A1006" s="1" t="s">
        <v>2245</v>
      </c>
      <c r="B1006" t="s">
        <v>14</v>
      </c>
      <c r="C1006" t="s">
        <v>47</v>
      </c>
      <c r="D1006" t="s">
        <v>1578</v>
      </c>
      <c r="E1006">
        <v>1</v>
      </c>
      <c r="F1006" t="s">
        <v>45</v>
      </c>
      <c r="G1006">
        <v>1</v>
      </c>
      <c r="H1006" t="s">
        <v>45</v>
      </c>
      <c r="I1006">
        <v>0</v>
      </c>
      <c r="J1006" t="s">
        <v>47</v>
      </c>
      <c r="K1006">
        <v>0</v>
      </c>
      <c r="L1006" t="s">
        <v>47</v>
      </c>
      <c r="M1006">
        <v>0</v>
      </c>
      <c r="N1006" t="s">
        <v>47</v>
      </c>
      <c r="O1006">
        <v>0</v>
      </c>
      <c r="P1006" t="s">
        <v>47</v>
      </c>
      <c r="Q1006">
        <v>0</v>
      </c>
      <c r="R1006" t="s">
        <v>47</v>
      </c>
      <c r="S1006">
        <v>0</v>
      </c>
      <c r="T1006" t="s">
        <v>47</v>
      </c>
    </row>
    <row r="1007" spans="1:20" x14ac:dyDescent="0.35">
      <c r="A1007" s="1" t="s">
        <v>2246</v>
      </c>
      <c r="B1007" t="s">
        <v>14</v>
      </c>
      <c r="C1007" t="s">
        <v>47</v>
      </c>
      <c r="D1007" t="s">
        <v>1579</v>
      </c>
      <c r="E1007">
        <v>1</v>
      </c>
      <c r="F1007" t="s">
        <v>45</v>
      </c>
      <c r="G1007">
        <v>1</v>
      </c>
      <c r="H1007" t="s">
        <v>45</v>
      </c>
      <c r="I1007">
        <v>0</v>
      </c>
      <c r="J1007" t="s">
        <v>47</v>
      </c>
      <c r="K1007">
        <v>0</v>
      </c>
      <c r="L1007" t="s">
        <v>47</v>
      </c>
      <c r="M1007">
        <v>0</v>
      </c>
      <c r="N1007" t="s">
        <v>47</v>
      </c>
      <c r="O1007">
        <v>0</v>
      </c>
      <c r="P1007" t="s">
        <v>47</v>
      </c>
      <c r="Q1007">
        <v>0</v>
      </c>
      <c r="R1007" t="s">
        <v>47</v>
      </c>
      <c r="S1007">
        <v>0</v>
      </c>
      <c r="T1007" t="s">
        <v>47</v>
      </c>
    </row>
    <row r="1008" spans="1:20" x14ac:dyDescent="0.35">
      <c r="A1008" s="1" t="s">
        <v>2247</v>
      </c>
      <c r="B1008" t="s">
        <v>14</v>
      </c>
      <c r="C1008" t="s">
        <v>47</v>
      </c>
      <c r="D1008" t="s">
        <v>1580</v>
      </c>
      <c r="E1008">
        <v>1</v>
      </c>
      <c r="F1008" t="s">
        <v>45</v>
      </c>
      <c r="G1008">
        <v>0</v>
      </c>
      <c r="H1008" t="s">
        <v>47</v>
      </c>
      <c r="I1008">
        <v>0</v>
      </c>
      <c r="J1008" t="s">
        <v>47</v>
      </c>
      <c r="K1008">
        <v>0</v>
      </c>
      <c r="L1008" t="s">
        <v>47</v>
      </c>
      <c r="M1008">
        <v>0</v>
      </c>
      <c r="N1008" t="s">
        <v>47</v>
      </c>
      <c r="O1008">
        <v>0</v>
      </c>
      <c r="P1008" t="s">
        <v>47</v>
      </c>
      <c r="Q1008">
        <v>0</v>
      </c>
      <c r="R1008" t="s">
        <v>47</v>
      </c>
      <c r="S1008">
        <v>0</v>
      </c>
      <c r="T1008" t="s">
        <v>47</v>
      </c>
    </row>
    <row r="1009" spans="1:20" x14ac:dyDescent="0.35">
      <c r="A1009" s="1" t="s">
        <v>2248</v>
      </c>
      <c r="B1009" t="s">
        <v>14</v>
      </c>
      <c r="C1009" t="s">
        <v>47</v>
      </c>
      <c r="D1009" t="s">
        <v>1581</v>
      </c>
      <c r="E1009">
        <v>1</v>
      </c>
      <c r="F1009" t="s">
        <v>45</v>
      </c>
      <c r="G1009">
        <v>1</v>
      </c>
      <c r="H1009" t="s">
        <v>45</v>
      </c>
      <c r="I1009">
        <v>0</v>
      </c>
      <c r="J1009" t="s">
        <v>47</v>
      </c>
      <c r="K1009">
        <v>0</v>
      </c>
      <c r="L1009" t="s">
        <v>47</v>
      </c>
      <c r="M1009">
        <v>0</v>
      </c>
      <c r="N1009" t="s">
        <v>47</v>
      </c>
      <c r="O1009">
        <v>1</v>
      </c>
      <c r="P1009" t="s">
        <v>45</v>
      </c>
      <c r="Q1009">
        <v>0</v>
      </c>
      <c r="R1009" t="s">
        <v>47</v>
      </c>
      <c r="S1009">
        <v>0</v>
      </c>
      <c r="T1009" t="s">
        <v>47</v>
      </c>
    </row>
    <row r="1010" spans="1:20" x14ac:dyDescent="0.35">
      <c r="A1010" s="1" t="s">
        <v>2249</v>
      </c>
      <c r="B1010" t="s">
        <v>14</v>
      </c>
      <c r="C1010" t="s">
        <v>47</v>
      </c>
      <c r="D1010" t="s">
        <v>1582</v>
      </c>
      <c r="E1010">
        <v>1</v>
      </c>
      <c r="F1010" t="s">
        <v>45</v>
      </c>
      <c r="G1010">
        <v>1</v>
      </c>
      <c r="H1010" t="s">
        <v>45</v>
      </c>
      <c r="I1010">
        <v>0</v>
      </c>
      <c r="J1010" t="s">
        <v>47</v>
      </c>
      <c r="K1010">
        <v>0</v>
      </c>
      <c r="L1010" t="s">
        <v>47</v>
      </c>
      <c r="M1010">
        <v>0</v>
      </c>
      <c r="N1010" t="s">
        <v>47</v>
      </c>
      <c r="O1010">
        <v>0</v>
      </c>
      <c r="P1010" t="s">
        <v>47</v>
      </c>
      <c r="Q1010">
        <v>0</v>
      </c>
      <c r="R1010" t="s">
        <v>47</v>
      </c>
      <c r="S1010">
        <v>0</v>
      </c>
      <c r="T1010" t="s">
        <v>47</v>
      </c>
    </row>
    <row r="1011" spans="1:20" x14ac:dyDescent="0.35">
      <c r="A1011" s="1" t="s">
        <v>2250</v>
      </c>
      <c r="B1011" t="s">
        <v>14</v>
      </c>
      <c r="C1011" t="s">
        <v>47</v>
      </c>
      <c r="D1011" t="s">
        <v>1583</v>
      </c>
      <c r="E1011">
        <v>1</v>
      </c>
      <c r="F1011" t="s">
        <v>45</v>
      </c>
      <c r="G1011">
        <v>0</v>
      </c>
      <c r="H1011" t="s">
        <v>47</v>
      </c>
      <c r="I1011">
        <v>0</v>
      </c>
      <c r="J1011" t="s">
        <v>47</v>
      </c>
      <c r="K1011">
        <v>0</v>
      </c>
      <c r="L1011" t="s">
        <v>47</v>
      </c>
      <c r="M1011">
        <v>0</v>
      </c>
      <c r="N1011" t="s">
        <v>47</v>
      </c>
      <c r="O1011">
        <v>1</v>
      </c>
      <c r="P1011" t="s">
        <v>45</v>
      </c>
      <c r="Q1011">
        <v>0</v>
      </c>
      <c r="R1011" t="s">
        <v>47</v>
      </c>
      <c r="S1011">
        <v>0</v>
      </c>
      <c r="T1011" t="s">
        <v>47</v>
      </c>
    </row>
    <row r="1012" spans="1:20" x14ac:dyDescent="0.35">
      <c r="A1012" s="1" t="s">
        <v>2251</v>
      </c>
      <c r="B1012" t="s">
        <v>16</v>
      </c>
      <c r="C1012" t="s">
        <v>47</v>
      </c>
      <c r="D1012" t="s">
        <v>1584</v>
      </c>
      <c r="E1012">
        <v>0</v>
      </c>
      <c r="F1012" t="s">
        <v>47</v>
      </c>
      <c r="G1012">
        <v>1</v>
      </c>
      <c r="H1012" t="s">
        <v>45</v>
      </c>
      <c r="I1012">
        <v>0</v>
      </c>
      <c r="J1012" t="s">
        <v>47</v>
      </c>
      <c r="K1012">
        <v>0</v>
      </c>
      <c r="L1012" t="s">
        <v>47</v>
      </c>
      <c r="M1012">
        <v>0</v>
      </c>
      <c r="N1012" t="s">
        <v>47</v>
      </c>
      <c r="O1012">
        <v>0</v>
      </c>
      <c r="P1012" t="s">
        <v>47</v>
      </c>
      <c r="Q1012">
        <v>0</v>
      </c>
      <c r="R1012" t="s">
        <v>47</v>
      </c>
      <c r="S1012">
        <v>0</v>
      </c>
      <c r="T1012" t="s">
        <v>47</v>
      </c>
    </row>
    <row r="1013" spans="1:20" x14ac:dyDescent="0.35">
      <c r="A1013" s="1" t="s">
        <v>2252</v>
      </c>
      <c r="B1013" t="s">
        <v>16</v>
      </c>
      <c r="C1013" t="s">
        <v>47</v>
      </c>
      <c r="D1013" t="s">
        <v>1585</v>
      </c>
      <c r="E1013">
        <v>0</v>
      </c>
      <c r="F1013" t="s">
        <v>47</v>
      </c>
      <c r="G1013">
        <v>1</v>
      </c>
      <c r="H1013" t="s">
        <v>45</v>
      </c>
      <c r="I1013">
        <v>0</v>
      </c>
      <c r="J1013" t="s">
        <v>47</v>
      </c>
      <c r="K1013">
        <v>0</v>
      </c>
      <c r="L1013" t="s">
        <v>47</v>
      </c>
      <c r="M1013">
        <v>0</v>
      </c>
      <c r="N1013" t="s">
        <v>47</v>
      </c>
      <c r="O1013">
        <v>0</v>
      </c>
      <c r="P1013" t="s">
        <v>47</v>
      </c>
      <c r="Q1013">
        <v>1</v>
      </c>
      <c r="R1013" t="s">
        <v>45</v>
      </c>
      <c r="S1013">
        <v>0</v>
      </c>
      <c r="T1013" t="s">
        <v>47</v>
      </c>
    </row>
    <row r="1014" spans="1:20" x14ac:dyDescent="0.35">
      <c r="A1014" s="1" t="s">
        <v>2253</v>
      </c>
      <c r="B1014" t="s">
        <v>16</v>
      </c>
      <c r="C1014" t="s">
        <v>47</v>
      </c>
      <c r="D1014" t="s">
        <v>1586</v>
      </c>
      <c r="E1014">
        <v>0</v>
      </c>
      <c r="F1014" t="s">
        <v>47</v>
      </c>
      <c r="G1014">
        <v>1</v>
      </c>
      <c r="H1014" t="s">
        <v>45</v>
      </c>
      <c r="I1014">
        <v>0</v>
      </c>
      <c r="J1014" t="s">
        <v>47</v>
      </c>
      <c r="K1014">
        <v>0</v>
      </c>
      <c r="L1014" t="s">
        <v>47</v>
      </c>
      <c r="M1014">
        <v>0</v>
      </c>
      <c r="N1014" t="s">
        <v>47</v>
      </c>
      <c r="O1014">
        <v>0</v>
      </c>
      <c r="P1014" t="s">
        <v>47</v>
      </c>
      <c r="Q1014">
        <v>1</v>
      </c>
      <c r="R1014" t="s">
        <v>45</v>
      </c>
      <c r="S1014">
        <v>0</v>
      </c>
      <c r="T1014" t="s">
        <v>47</v>
      </c>
    </row>
    <row r="1015" spans="1:20" x14ac:dyDescent="0.35">
      <c r="A1015" s="1" t="s">
        <v>2254</v>
      </c>
      <c r="B1015" t="s">
        <v>14</v>
      </c>
      <c r="C1015" t="s">
        <v>47</v>
      </c>
      <c r="D1015" t="s">
        <v>1587</v>
      </c>
      <c r="E1015">
        <v>0</v>
      </c>
      <c r="F1015" t="s">
        <v>47</v>
      </c>
      <c r="G1015">
        <v>0</v>
      </c>
      <c r="H1015" t="s">
        <v>47</v>
      </c>
      <c r="I1015">
        <v>0</v>
      </c>
      <c r="J1015" t="s">
        <v>47</v>
      </c>
      <c r="K1015">
        <v>0</v>
      </c>
      <c r="L1015" t="s">
        <v>47</v>
      </c>
      <c r="M1015">
        <v>0</v>
      </c>
      <c r="N1015" t="s">
        <v>47</v>
      </c>
      <c r="O1015">
        <v>0</v>
      </c>
      <c r="P1015" t="s">
        <v>47</v>
      </c>
      <c r="Q1015">
        <v>1</v>
      </c>
      <c r="R1015" t="s">
        <v>45</v>
      </c>
      <c r="S1015">
        <v>0</v>
      </c>
      <c r="T1015" t="s">
        <v>47</v>
      </c>
    </row>
    <row r="1016" spans="1:20" x14ac:dyDescent="0.35">
      <c r="A1016" s="1" t="s">
        <v>2255</v>
      </c>
      <c r="B1016" t="s">
        <v>14</v>
      </c>
      <c r="C1016" t="s">
        <v>47</v>
      </c>
      <c r="D1016" t="s">
        <v>1588</v>
      </c>
      <c r="E1016">
        <v>1</v>
      </c>
      <c r="F1016" t="s">
        <v>45</v>
      </c>
      <c r="G1016">
        <v>1</v>
      </c>
      <c r="H1016" t="s">
        <v>45</v>
      </c>
      <c r="I1016">
        <v>0</v>
      </c>
      <c r="J1016" t="s">
        <v>47</v>
      </c>
      <c r="K1016">
        <v>0</v>
      </c>
      <c r="L1016" t="s">
        <v>47</v>
      </c>
      <c r="M1016">
        <v>0</v>
      </c>
      <c r="N1016" t="s">
        <v>47</v>
      </c>
      <c r="O1016">
        <v>0</v>
      </c>
      <c r="P1016" t="s">
        <v>47</v>
      </c>
      <c r="Q1016">
        <v>0</v>
      </c>
      <c r="R1016" t="s">
        <v>47</v>
      </c>
      <c r="S1016">
        <v>0</v>
      </c>
      <c r="T1016" t="s">
        <v>47</v>
      </c>
    </row>
    <row r="1017" spans="1:20" x14ac:dyDescent="0.35">
      <c r="A1017" s="1" t="s">
        <v>2256</v>
      </c>
      <c r="B1017" t="s">
        <v>14</v>
      </c>
      <c r="C1017" t="s">
        <v>47</v>
      </c>
      <c r="D1017" t="s">
        <v>1589</v>
      </c>
      <c r="E1017">
        <v>1</v>
      </c>
      <c r="F1017" t="s">
        <v>45</v>
      </c>
      <c r="G1017">
        <v>0</v>
      </c>
      <c r="H1017" t="s">
        <v>47</v>
      </c>
      <c r="I1017">
        <v>0</v>
      </c>
      <c r="J1017" t="s">
        <v>47</v>
      </c>
      <c r="K1017">
        <v>0</v>
      </c>
      <c r="L1017" t="s">
        <v>47</v>
      </c>
      <c r="M1017">
        <v>0</v>
      </c>
      <c r="N1017" t="s">
        <v>47</v>
      </c>
      <c r="O1017">
        <v>0</v>
      </c>
      <c r="P1017" t="s">
        <v>47</v>
      </c>
      <c r="Q1017">
        <v>1</v>
      </c>
      <c r="R1017" t="s">
        <v>45</v>
      </c>
      <c r="S1017">
        <v>0</v>
      </c>
      <c r="T1017" t="s">
        <v>47</v>
      </c>
    </row>
    <row r="1018" spans="1:20" x14ac:dyDescent="0.35">
      <c r="A1018" s="1" t="s">
        <v>2257</v>
      </c>
      <c r="B1018" t="s">
        <v>16</v>
      </c>
      <c r="C1018" t="s">
        <v>47</v>
      </c>
      <c r="D1018" t="s">
        <v>1590</v>
      </c>
      <c r="E1018">
        <v>0</v>
      </c>
      <c r="F1018" t="s">
        <v>47</v>
      </c>
      <c r="G1018">
        <v>1</v>
      </c>
      <c r="H1018" t="s">
        <v>45</v>
      </c>
      <c r="I1018">
        <v>0</v>
      </c>
      <c r="J1018" t="s">
        <v>47</v>
      </c>
      <c r="K1018">
        <v>0</v>
      </c>
      <c r="L1018" t="s">
        <v>47</v>
      </c>
      <c r="M1018">
        <v>0</v>
      </c>
      <c r="N1018" t="s">
        <v>47</v>
      </c>
      <c r="O1018">
        <v>0</v>
      </c>
      <c r="P1018" t="s">
        <v>47</v>
      </c>
      <c r="Q1018">
        <v>1</v>
      </c>
      <c r="R1018" t="s">
        <v>45</v>
      </c>
      <c r="S1018">
        <v>0</v>
      </c>
      <c r="T1018" t="s">
        <v>47</v>
      </c>
    </row>
    <row r="1019" spans="1:20" x14ac:dyDescent="0.35">
      <c r="A1019" s="1" t="s">
        <v>2258</v>
      </c>
      <c r="B1019" t="s">
        <v>14</v>
      </c>
      <c r="C1019" t="s">
        <v>47</v>
      </c>
      <c r="D1019" t="s">
        <v>1591</v>
      </c>
      <c r="E1019">
        <v>1</v>
      </c>
      <c r="F1019" t="s">
        <v>45</v>
      </c>
      <c r="G1019">
        <v>1</v>
      </c>
      <c r="H1019" t="s">
        <v>45</v>
      </c>
      <c r="I1019">
        <v>0</v>
      </c>
      <c r="J1019" t="s">
        <v>47</v>
      </c>
      <c r="K1019">
        <v>0</v>
      </c>
      <c r="L1019" t="s">
        <v>47</v>
      </c>
      <c r="M1019">
        <v>0</v>
      </c>
      <c r="N1019" t="s">
        <v>47</v>
      </c>
      <c r="O1019">
        <v>0</v>
      </c>
      <c r="P1019" t="s">
        <v>47</v>
      </c>
      <c r="Q1019">
        <v>0</v>
      </c>
      <c r="R1019" t="s">
        <v>47</v>
      </c>
      <c r="S1019">
        <v>0</v>
      </c>
      <c r="T1019" t="s">
        <v>47</v>
      </c>
    </row>
    <row r="1020" spans="1:20" x14ac:dyDescent="0.35">
      <c r="A1020" s="1" t="s">
        <v>2259</v>
      </c>
      <c r="B1020" t="s">
        <v>14</v>
      </c>
      <c r="C1020" t="s">
        <v>47</v>
      </c>
      <c r="D1020" t="s">
        <v>1592</v>
      </c>
      <c r="E1020">
        <v>1</v>
      </c>
      <c r="F1020" t="s">
        <v>45</v>
      </c>
      <c r="G1020">
        <v>1</v>
      </c>
      <c r="H1020" t="s">
        <v>45</v>
      </c>
      <c r="I1020">
        <v>0</v>
      </c>
      <c r="J1020" t="s">
        <v>47</v>
      </c>
      <c r="K1020">
        <v>0</v>
      </c>
      <c r="L1020" t="s">
        <v>47</v>
      </c>
      <c r="M1020">
        <v>0</v>
      </c>
      <c r="N1020" t="s">
        <v>47</v>
      </c>
      <c r="O1020">
        <v>0</v>
      </c>
      <c r="P1020" t="s">
        <v>47</v>
      </c>
      <c r="Q1020">
        <v>0</v>
      </c>
      <c r="R1020" t="s">
        <v>47</v>
      </c>
      <c r="S1020">
        <v>0</v>
      </c>
      <c r="T1020" t="s">
        <v>47</v>
      </c>
    </row>
    <row r="1021" spans="1:20" x14ac:dyDescent="0.35">
      <c r="A1021" s="1" t="s">
        <v>2260</v>
      </c>
      <c r="B1021" t="s">
        <v>16</v>
      </c>
      <c r="C1021" t="s">
        <v>47</v>
      </c>
      <c r="D1021" t="s">
        <v>1593</v>
      </c>
      <c r="E1021">
        <v>0</v>
      </c>
      <c r="F1021" t="s">
        <v>47</v>
      </c>
      <c r="G1021">
        <v>0</v>
      </c>
      <c r="H1021" t="s">
        <v>47</v>
      </c>
      <c r="I1021">
        <v>0</v>
      </c>
      <c r="J1021" t="s">
        <v>47</v>
      </c>
      <c r="K1021">
        <v>0</v>
      </c>
      <c r="L1021" t="s">
        <v>47</v>
      </c>
      <c r="M1021">
        <v>0</v>
      </c>
      <c r="N1021" t="s">
        <v>47</v>
      </c>
      <c r="O1021">
        <v>1</v>
      </c>
      <c r="P1021" t="s">
        <v>48</v>
      </c>
      <c r="Q1021">
        <v>0</v>
      </c>
      <c r="R1021" t="s">
        <v>47</v>
      </c>
      <c r="S1021">
        <v>0</v>
      </c>
      <c r="T1021" t="s">
        <v>47</v>
      </c>
    </row>
    <row r="1022" spans="1:20" x14ac:dyDescent="0.35">
      <c r="A1022" s="1" t="s">
        <v>2261</v>
      </c>
      <c r="B1022" t="s">
        <v>16</v>
      </c>
      <c r="C1022" t="s">
        <v>47</v>
      </c>
      <c r="D1022" t="s">
        <v>1594</v>
      </c>
      <c r="E1022">
        <v>1</v>
      </c>
      <c r="F1022" t="s">
        <v>55</v>
      </c>
      <c r="G1022">
        <v>0</v>
      </c>
      <c r="H1022" t="s">
        <v>47</v>
      </c>
      <c r="I1022">
        <v>0</v>
      </c>
      <c r="J1022" t="s">
        <v>47</v>
      </c>
      <c r="K1022">
        <v>0</v>
      </c>
      <c r="L1022" t="s">
        <v>47</v>
      </c>
      <c r="M1022">
        <v>0</v>
      </c>
      <c r="N1022" t="s">
        <v>47</v>
      </c>
      <c r="O1022">
        <v>0</v>
      </c>
      <c r="P1022" t="s">
        <v>47</v>
      </c>
      <c r="Q1022">
        <v>0</v>
      </c>
      <c r="R1022" t="s">
        <v>47</v>
      </c>
      <c r="S1022">
        <v>0</v>
      </c>
      <c r="T1022" t="s">
        <v>47</v>
      </c>
    </row>
    <row r="1023" spans="1:20" x14ac:dyDescent="0.35">
      <c r="A1023" s="1" t="s">
        <v>2262</v>
      </c>
      <c r="B1023" t="s">
        <v>14</v>
      </c>
      <c r="C1023" t="s">
        <v>47</v>
      </c>
      <c r="D1023" t="s">
        <v>1595</v>
      </c>
      <c r="E1023">
        <v>1</v>
      </c>
      <c r="F1023" t="s">
        <v>45</v>
      </c>
      <c r="G1023">
        <v>0</v>
      </c>
      <c r="H1023" t="s">
        <v>47</v>
      </c>
      <c r="I1023">
        <v>0</v>
      </c>
      <c r="J1023" t="s">
        <v>47</v>
      </c>
      <c r="K1023">
        <v>0</v>
      </c>
      <c r="L1023" t="s">
        <v>47</v>
      </c>
      <c r="M1023">
        <v>0</v>
      </c>
      <c r="N1023" t="s">
        <v>47</v>
      </c>
      <c r="O1023">
        <v>0</v>
      </c>
      <c r="P1023" t="s">
        <v>47</v>
      </c>
      <c r="Q1023">
        <v>0</v>
      </c>
      <c r="R1023" t="s">
        <v>47</v>
      </c>
      <c r="S1023">
        <v>0</v>
      </c>
      <c r="T1023" t="s">
        <v>47</v>
      </c>
    </row>
    <row r="1024" spans="1:20" x14ac:dyDescent="0.35">
      <c r="A1024" s="1" t="s">
        <v>2263</v>
      </c>
      <c r="B1024" t="s">
        <v>16</v>
      </c>
      <c r="C1024" t="s">
        <v>47</v>
      </c>
      <c r="D1024" t="s">
        <v>1596</v>
      </c>
      <c r="E1024">
        <v>1</v>
      </c>
      <c r="F1024" t="s">
        <v>45</v>
      </c>
      <c r="G1024">
        <v>1</v>
      </c>
      <c r="H1024" t="s">
        <v>45</v>
      </c>
      <c r="I1024">
        <v>0</v>
      </c>
      <c r="J1024" t="s">
        <v>47</v>
      </c>
      <c r="K1024">
        <v>0</v>
      </c>
      <c r="L1024" t="s">
        <v>47</v>
      </c>
      <c r="M1024">
        <v>0</v>
      </c>
      <c r="N1024" t="s">
        <v>47</v>
      </c>
      <c r="O1024">
        <v>1</v>
      </c>
      <c r="P1024" t="s">
        <v>45</v>
      </c>
      <c r="Q1024">
        <v>1</v>
      </c>
      <c r="R1024" t="s">
        <v>45</v>
      </c>
      <c r="S1024">
        <v>1</v>
      </c>
      <c r="T1024" t="s">
        <v>45</v>
      </c>
    </row>
    <row r="1025" spans="1:20" x14ac:dyDescent="0.35">
      <c r="A1025" s="1" t="s">
        <v>2264</v>
      </c>
      <c r="B1025" t="s">
        <v>14</v>
      </c>
      <c r="C1025" t="s">
        <v>47</v>
      </c>
      <c r="D1025" t="s">
        <v>1597</v>
      </c>
      <c r="E1025">
        <v>1</v>
      </c>
      <c r="F1025" t="s">
        <v>45</v>
      </c>
      <c r="G1025">
        <v>1</v>
      </c>
      <c r="H1025" t="s">
        <v>45</v>
      </c>
      <c r="I1025">
        <v>0</v>
      </c>
      <c r="J1025" t="s">
        <v>47</v>
      </c>
      <c r="K1025">
        <v>0</v>
      </c>
      <c r="L1025" t="s">
        <v>47</v>
      </c>
      <c r="M1025">
        <v>0</v>
      </c>
      <c r="N1025" t="s">
        <v>47</v>
      </c>
      <c r="O1025">
        <v>0</v>
      </c>
      <c r="P1025" t="s">
        <v>47</v>
      </c>
      <c r="Q1025">
        <v>0</v>
      </c>
      <c r="R1025" t="s">
        <v>47</v>
      </c>
      <c r="S1025">
        <v>0</v>
      </c>
      <c r="T1025" t="s">
        <v>47</v>
      </c>
    </row>
    <row r="1026" spans="1:20" x14ac:dyDescent="0.35">
      <c r="A1026" s="1" t="s">
        <v>2265</v>
      </c>
      <c r="B1026" t="s">
        <v>14</v>
      </c>
      <c r="C1026" t="s">
        <v>47</v>
      </c>
      <c r="D1026" t="s">
        <v>1598</v>
      </c>
      <c r="E1026">
        <v>1</v>
      </c>
      <c r="F1026" t="s">
        <v>45</v>
      </c>
      <c r="G1026">
        <v>0</v>
      </c>
      <c r="H1026" t="s">
        <v>47</v>
      </c>
      <c r="I1026">
        <v>0</v>
      </c>
      <c r="J1026" t="s">
        <v>47</v>
      </c>
      <c r="K1026">
        <v>0</v>
      </c>
      <c r="L1026" t="s">
        <v>47</v>
      </c>
      <c r="M1026">
        <v>0</v>
      </c>
      <c r="N1026" t="s">
        <v>47</v>
      </c>
      <c r="O1026">
        <v>0</v>
      </c>
      <c r="P1026" t="s">
        <v>47</v>
      </c>
      <c r="Q1026">
        <v>0</v>
      </c>
      <c r="R1026" t="s">
        <v>47</v>
      </c>
      <c r="S1026">
        <v>0</v>
      </c>
      <c r="T1026" t="s">
        <v>47</v>
      </c>
    </row>
    <row r="1027" spans="1:20" x14ac:dyDescent="0.35">
      <c r="A1027" s="1" t="s">
        <v>2266</v>
      </c>
      <c r="B1027" t="s">
        <v>14</v>
      </c>
      <c r="C1027" t="s">
        <v>47</v>
      </c>
      <c r="D1027" t="s">
        <v>1599</v>
      </c>
      <c r="E1027">
        <v>1</v>
      </c>
      <c r="F1027" t="s">
        <v>45</v>
      </c>
      <c r="G1027">
        <v>1</v>
      </c>
      <c r="H1027" t="s">
        <v>45</v>
      </c>
      <c r="I1027">
        <v>0</v>
      </c>
      <c r="J1027" t="s">
        <v>47</v>
      </c>
      <c r="K1027">
        <v>0</v>
      </c>
      <c r="L1027" t="s">
        <v>47</v>
      </c>
      <c r="M1027">
        <v>0</v>
      </c>
      <c r="N1027" t="s">
        <v>47</v>
      </c>
      <c r="O1027">
        <v>0</v>
      </c>
      <c r="P1027" t="s">
        <v>47</v>
      </c>
      <c r="Q1027">
        <v>0</v>
      </c>
      <c r="R1027" t="s">
        <v>47</v>
      </c>
      <c r="S1027">
        <v>0</v>
      </c>
      <c r="T1027" t="s">
        <v>47</v>
      </c>
    </row>
    <row r="1028" spans="1:20" x14ac:dyDescent="0.35">
      <c r="A1028" s="1" t="s">
        <v>2267</v>
      </c>
      <c r="B1028" t="s">
        <v>14</v>
      </c>
      <c r="C1028" t="s">
        <v>47</v>
      </c>
      <c r="D1028" t="s">
        <v>1600</v>
      </c>
      <c r="E1028">
        <v>0</v>
      </c>
      <c r="F1028" t="s">
        <v>47</v>
      </c>
      <c r="G1028">
        <v>0</v>
      </c>
      <c r="H1028" t="s">
        <v>47</v>
      </c>
      <c r="I1028">
        <v>0</v>
      </c>
      <c r="J1028" t="s">
        <v>47</v>
      </c>
      <c r="K1028">
        <v>0</v>
      </c>
      <c r="L1028" t="s">
        <v>47</v>
      </c>
      <c r="M1028">
        <v>0</v>
      </c>
      <c r="N1028" t="s">
        <v>47</v>
      </c>
      <c r="O1028">
        <v>0</v>
      </c>
      <c r="P1028" t="s">
        <v>47</v>
      </c>
      <c r="Q1028">
        <v>1</v>
      </c>
      <c r="R1028" t="s">
        <v>45</v>
      </c>
      <c r="S1028">
        <v>0</v>
      </c>
      <c r="T1028" t="s">
        <v>47</v>
      </c>
    </row>
    <row r="1029" spans="1:20" x14ac:dyDescent="0.35">
      <c r="A1029" s="1" t="s">
        <v>2268</v>
      </c>
      <c r="B1029" t="s">
        <v>14</v>
      </c>
      <c r="C1029" t="s">
        <v>47</v>
      </c>
      <c r="D1029" t="s">
        <v>1601</v>
      </c>
      <c r="E1029">
        <v>1</v>
      </c>
      <c r="F1029" t="s">
        <v>45</v>
      </c>
      <c r="G1029">
        <v>1</v>
      </c>
      <c r="H1029" t="s">
        <v>45</v>
      </c>
      <c r="I1029">
        <v>0</v>
      </c>
      <c r="J1029" t="s">
        <v>47</v>
      </c>
      <c r="K1029">
        <v>1</v>
      </c>
      <c r="L1029" t="s">
        <v>45</v>
      </c>
      <c r="M1029">
        <v>0</v>
      </c>
      <c r="N1029" t="s">
        <v>47</v>
      </c>
      <c r="O1029">
        <v>0</v>
      </c>
      <c r="P1029" t="s">
        <v>47</v>
      </c>
      <c r="Q1029">
        <v>0</v>
      </c>
      <c r="R1029" t="s">
        <v>47</v>
      </c>
      <c r="S1029">
        <v>0</v>
      </c>
      <c r="T1029" t="s">
        <v>47</v>
      </c>
    </row>
    <row r="1030" spans="1:20" x14ac:dyDescent="0.35">
      <c r="A1030" s="1" t="s">
        <v>2269</v>
      </c>
      <c r="B1030" t="s">
        <v>14</v>
      </c>
      <c r="C1030" t="s">
        <v>47</v>
      </c>
      <c r="D1030" t="s">
        <v>1602</v>
      </c>
      <c r="E1030">
        <v>0</v>
      </c>
      <c r="F1030" t="s">
        <v>47</v>
      </c>
      <c r="G1030">
        <v>1</v>
      </c>
      <c r="H1030" t="s">
        <v>45</v>
      </c>
      <c r="I1030">
        <v>0</v>
      </c>
      <c r="J1030" t="s">
        <v>47</v>
      </c>
      <c r="K1030">
        <v>0</v>
      </c>
      <c r="L1030" t="s">
        <v>47</v>
      </c>
      <c r="M1030">
        <v>0</v>
      </c>
      <c r="N1030" t="s">
        <v>47</v>
      </c>
      <c r="O1030">
        <v>0</v>
      </c>
      <c r="P1030" t="s">
        <v>47</v>
      </c>
      <c r="Q1030">
        <v>0</v>
      </c>
      <c r="R1030" t="s">
        <v>47</v>
      </c>
      <c r="S1030">
        <v>0</v>
      </c>
      <c r="T1030" t="s">
        <v>47</v>
      </c>
    </row>
    <row r="1031" spans="1:20" x14ac:dyDescent="0.35">
      <c r="A1031" s="1" t="s">
        <v>2270</v>
      </c>
      <c r="B1031" t="s">
        <v>14</v>
      </c>
      <c r="C1031" t="s">
        <v>47</v>
      </c>
      <c r="D1031" t="s">
        <v>1603</v>
      </c>
      <c r="E1031">
        <v>1</v>
      </c>
      <c r="F1031" t="s">
        <v>45</v>
      </c>
      <c r="G1031">
        <v>1</v>
      </c>
      <c r="H1031" t="s">
        <v>45</v>
      </c>
      <c r="I1031">
        <v>0</v>
      </c>
      <c r="J1031" t="s">
        <v>47</v>
      </c>
      <c r="K1031">
        <v>0</v>
      </c>
      <c r="L1031" t="s">
        <v>47</v>
      </c>
      <c r="M1031">
        <v>0</v>
      </c>
      <c r="N1031" t="s">
        <v>47</v>
      </c>
      <c r="O1031">
        <v>0</v>
      </c>
      <c r="P1031" t="s">
        <v>47</v>
      </c>
      <c r="Q1031">
        <v>0</v>
      </c>
      <c r="R1031" t="s">
        <v>47</v>
      </c>
      <c r="S1031">
        <v>0</v>
      </c>
      <c r="T1031" t="s">
        <v>47</v>
      </c>
    </row>
    <row r="1032" spans="1:20" x14ac:dyDescent="0.35">
      <c r="A1032" s="1" t="s">
        <v>2271</v>
      </c>
      <c r="B1032" t="s">
        <v>14</v>
      </c>
      <c r="C1032" t="s">
        <v>47</v>
      </c>
      <c r="D1032" t="s">
        <v>1604</v>
      </c>
      <c r="E1032">
        <v>1</v>
      </c>
      <c r="F1032" t="s">
        <v>45</v>
      </c>
      <c r="G1032">
        <v>1</v>
      </c>
      <c r="H1032" t="s">
        <v>45</v>
      </c>
      <c r="I1032">
        <v>0</v>
      </c>
      <c r="J1032" t="s">
        <v>47</v>
      </c>
      <c r="K1032">
        <v>1</v>
      </c>
      <c r="L1032" t="s">
        <v>45</v>
      </c>
      <c r="M1032">
        <v>0</v>
      </c>
      <c r="N1032" t="s">
        <v>47</v>
      </c>
      <c r="O1032">
        <v>0</v>
      </c>
      <c r="P1032" t="s">
        <v>47</v>
      </c>
      <c r="Q1032">
        <v>0</v>
      </c>
      <c r="R1032" t="s">
        <v>47</v>
      </c>
      <c r="S1032">
        <v>0</v>
      </c>
      <c r="T1032" t="s">
        <v>47</v>
      </c>
    </row>
    <row r="1033" spans="1:20" x14ac:dyDescent="0.35">
      <c r="A1033" s="1" t="s">
        <v>2272</v>
      </c>
      <c r="B1033" t="s">
        <v>14</v>
      </c>
      <c r="C1033" t="s">
        <v>47</v>
      </c>
      <c r="D1033" t="s">
        <v>1605</v>
      </c>
      <c r="E1033">
        <v>1</v>
      </c>
      <c r="F1033" t="s">
        <v>45</v>
      </c>
      <c r="G1033">
        <v>1</v>
      </c>
      <c r="H1033" t="s">
        <v>45</v>
      </c>
      <c r="I1033">
        <v>0</v>
      </c>
      <c r="J1033" t="s">
        <v>47</v>
      </c>
      <c r="K1033">
        <v>0</v>
      </c>
      <c r="L1033" t="s">
        <v>47</v>
      </c>
      <c r="M1033">
        <v>0</v>
      </c>
      <c r="N1033" t="s">
        <v>47</v>
      </c>
      <c r="O1033">
        <v>0</v>
      </c>
      <c r="P1033" t="s">
        <v>47</v>
      </c>
      <c r="Q1033">
        <v>0</v>
      </c>
      <c r="R1033" t="s">
        <v>47</v>
      </c>
      <c r="S1033">
        <v>0</v>
      </c>
      <c r="T1033" t="s">
        <v>47</v>
      </c>
    </row>
    <row r="1034" spans="1:20" x14ac:dyDescent="0.35">
      <c r="A1034" s="1" t="s">
        <v>2273</v>
      </c>
      <c r="B1034" t="s">
        <v>14</v>
      </c>
      <c r="C1034" t="s">
        <v>47</v>
      </c>
      <c r="D1034" t="s">
        <v>1606</v>
      </c>
      <c r="E1034">
        <v>0</v>
      </c>
      <c r="F1034" t="s">
        <v>47</v>
      </c>
      <c r="G1034">
        <v>0</v>
      </c>
      <c r="H1034" t="s">
        <v>47</v>
      </c>
      <c r="I1034">
        <v>0</v>
      </c>
      <c r="J1034" t="s">
        <v>47</v>
      </c>
      <c r="K1034">
        <v>0</v>
      </c>
      <c r="L1034" t="s">
        <v>47</v>
      </c>
      <c r="M1034">
        <v>0</v>
      </c>
      <c r="N1034" t="s">
        <v>47</v>
      </c>
      <c r="O1034">
        <v>0</v>
      </c>
      <c r="P1034" t="s">
        <v>47</v>
      </c>
      <c r="Q1034">
        <v>1</v>
      </c>
      <c r="R1034" t="s">
        <v>45</v>
      </c>
      <c r="S1034">
        <v>0</v>
      </c>
      <c r="T1034" t="s">
        <v>47</v>
      </c>
    </row>
    <row r="1035" spans="1:20" x14ac:dyDescent="0.35">
      <c r="A1035" s="1" t="s">
        <v>2274</v>
      </c>
      <c r="B1035" t="s">
        <v>16</v>
      </c>
      <c r="C1035" t="s">
        <v>47</v>
      </c>
      <c r="D1035" t="s">
        <v>1607</v>
      </c>
      <c r="E1035">
        <v>1</v>
      </c>
      <c r="F1035" t="s">
        <v>45</v>
      </c>
      <c r="G1035">
        <v>1</v>
      </c>
      <c r="H1035" t="s">
        <v>45</v>
      </c>
      <c r="I1035">
        <v>0</v>
      </c>
      <c r="J1035" t="s">
        <v>47</v>
      </c>
      <c r="K1035">
        <v>0</v>
      </c>
      <c r="L1035" t="s">
        <v>47</v>
      </c>
      <c r="M1035">
        <v>0</v>
      </c>
      <c r="N1035" t="s">
        <v>47</v>
      </c>
      <c r="O1035">
        <v>1</v>
      </c>
      <c r="P1035" t="s">
        <v>45</v>
      </c>
      <c r="Q1035">
        <v>0</v>
      </c>
      <c r="R1035" t="s">
        <v>47</v>
      </c>
      <c r="S1035">
        <v>0</v>
      </c>
      <c r="T1035" t="s">
        <v>47</v>
      </c>
    </row>
    <row r="1036" spans="1:20" x14ac:dyDescent="0.35">
      <c r="A1036" s="1" t="s">
        <v>2275</v>
      </c>
      <c r="B1036" t="s">
        <v>14</v>
      </c>
      <c r="C1036" t="s">
        <v>47</v>
      </c>
      <c r="D1036" t="s">
        <v>1608</v>
      </c>
      <c r="E1036">
        <v>0</v>
      </c>
      <c r="F1036" t="s">
        <v>47</v>
      </c>
      <c r="G1036">
        <v>1</v>
      </c>
      <c r="H1036" t="s">
        <v>45</v>
      </c>
      <c r="I1036">
        <v>0</v>
      </c>
      <c r="J1036" t="s">
        <v>47</v>
      </c>
      <c r="K1036">
        <v>0</v>
      </c>
      <c r="L1036" t="s">
        <v>47</v>
      </c>
      <c r="M1036">
        <v>0</v>
      </c>
      <c r="N1036" t="s">
        <v>47</v>
      </c>
      <c r="O1036">
        <v>0</v>
      </c>
      <c r="P1036" t="s">
        <v>47</v>
      </c>
      <c r="Q1036">
        <v>1</v>
      </c>
      <c r="R1036" t="s">
        <v>45</v>
      </c>
      <c r="S1036">
        <v>0</v>
      </c>
      <c r="T1036" t="s">
        <v>47</v>
      </c>
    </row>
    <row r="1037" spans="1:20" x14ac:dyDescent="0.35">
      <c r="A1037" s="1" t="s">
        <v>2276</v>
      </c>
      <c r="B1037" t="s">
        <v>14</v>
      </c>
      <c r="C1037" t="s">
        <v>47</v>
      </c>
      <c r="D1037" t="s">
        <v>1609</v>
      </c>
      <c r="E1037">
        <v>0</v>
      </c>
      <c r="F1037" t="s">
        <v>47</v>
      </c>
      <c r="G1037">
        <v>1</v>
      </c>
      <c r="H1037" t="s">
        <v>45</v>
      </c>
      <c r="I1037">
        <v>0</v>
      </c>
      <c r="J1037" t="s">
        <v>47</v>
      </c>
      <c r="K1037">
        <v>0</v>
      </c>
      <c r="L1037" t="s">
        <v>47</v>
      </c>
      <c r="M1037">
        <v>0</v>
      </c>
      <c r="N1037" t="s">
        <v>47</v>
      </c>
      <c r="O1037">
        <v>0</v>
      </c>
      <c r="P1037" t="s">
        <v>47</v>
      </c>
      <c r="Q1037">
        <v>0</v>
      </c>
      <c r="R1037" t="s">
        <v>47</v>
      </c>
      <c r="S1037">
        <v>0</v>
      </c>
      <c r="T1037" t="s">
        <v>47</v>
      </c>
    </row>
    <row r="1038" spans="1:20" x14ac:dyDescent="0.35">
      <c r="A1038" s="1" t="s">
        <v>2277</v>
      </c>
      <c r="B1038" t="s">
        <v>14</v>
      </c>
      <c r="C1038" t="s">
        <v>47</v>
      </c>
      <c r="D1038" t="s">
        <v>1610</v>
      </c>
      <c r="E1038">
        <v>0</v>
      </c>
      <c r="F1038" t="s">
        <v>47</v>
      </c>
      <c r="G1038">
        <v>0</v>
      </c>
      <c r="H1038" t="s">
        <v>47</v>
      </c>
      <c r="I1038">
        <v>0</v>
      </c>
      <c r="J1038" t="s">
        <v>47</v>
      </c>
      <c r="K1038">
        <v>0</v>
      </c>
      <c r="L1038" t="s">
        <v>47</v>
      </c>
      <c r="M1038">
        <v>0</v>
      </c>
      <c r="N1038" t="s">
        <v>47</v>
      </c>
      <c r="O1038">
        <v>0</v>
      </c>
      <c r="P1038" t="s">
        <v>47</v>
      </c>
      <c r="Q1038">
        <v>1</v>
      </c>
      <c r="R1038" t="s">
        <v>45</v>
      </c>
      <c r="S1038">
        <v>0</v>
      </c>
      <c r="T1038" t="s">
        <v>47</v>
      </c>
    </row>
    <row r="1039" spans="1:20" x14ac:dyDescent="0.35">
      <c r="A1039" s="1" t="s">
        <v>2278</v>
      </c>
      <c r="B1039" t="s">
        <v>16</v>
      </c>
      <c r="C1039" t="s">
        <v>47</v>
      </c>
      <c r="D1039" t="s">
        <v>1611</v>
      </c>
      <c r="E1039">
        <v>0</v>
      </c>
      <c r="F1039" t="s">
        <v>47</v>
      </c>
      <c r="G1039">
        <v>0</v>
      </c>
      <c r="H1039" t="s">
        <v>47</v>
      </c>
      <c r="I1039">
        <v>0</v>
      </c>
      <c r="J1039" t="s">
        <v>47</v>
      </c>
      <c r="K1039">
        <v>0</v>
      </c>
      <c r="L1039" t="s">
        <v>47</v>
      </c>
      <c r="M1039">
        <v>0</v>
      </c>
      <c r="N1039" t="s">
        <v>47</v>
      </c>
      <c r="O1039">
        <v>0</v>
      </c>
      <c r="P1039" t="s">
        <v>47</v>
      </c>
      <c r="Q1039">
        <v>1</v>
      </c>
      <c r="R1039" t="s">
        <v>45</v>
      </c>
      <c r="S1039">
        <v>0</v>
      </c>
      <c r="T1039" t="s">
        <v>47</v>
      </c>
    </row>
    <row r="1040" spans="1:20" x14ac:dyDescent="0.35">
      <c r="A1040" s="1" t="s">
        <v>2279</v>
      </c>
      <c r="B1040" t="s">
        <v>16</v>
      </c>
      <c r="C1040" t="s">
        <v>47</v>
      </c>
      <c r="D1040" t="s">
        <v>1612</v>
      </c>
      <c r="E1040">
        <v>0</v>
      </c>
      <c r="F1040" t="s">
        <v>47</v>
      </c>
      <c r="G1040">
        <v>0</v>
      </c>
      <c r="H1040" t="s">
        <v>47</v>
      </c>
      <c r="I1040">
        <v>0</v>
      </c>
      <c r="J1040" t="s">
        <v>47</v>
      </c>
      <c r="K1040">
        <v>0</v>
      </c>
      <c r="L1040" t="s">
        <v>47</v>
      </c>
      <c r="M1040">
        <v>0</v>
      </c>
      <c r="N1040" t="s">
        <v>47</v>
      </c>
      <c r="O1040">
        <v>0</v>
      </c>
      <c r="P1040" t="s">
        <v>47</v>
      </c>
      <c r="Q1040">
        <v>1</v>
      </c>
      <c r="R1040" t="s">
        <v>45</v>
      </c>
      <c r="S1040">
        <v>0</v>
      </c>
      <c r="T1040" t="s">
        <v>47</v>
      </c>
    </row>
    <row r="1041" spans="1:20" x14ac:dyDescent="0.35">
      <c r="A1041" s="1" t="s">
        <v>2280</v>
      </c>
      <c r="B1041" t="s">
        <v>14</v>
      </c>
      <c r="C1041" t="s">
        <v>47</v>
      </c>
      <c r="D1041" t="s">
        <v>1613</v>
      </c>
      <c r="E1041">
        <v>1</v>
      </c>
      <c r="F1041" t="s">
        <v>45</v>
      </c>
      <c r="G1041">
        <v>0</v>
      </c>
      <c r="H1041" t="s">
        <v>47</v>
      </c>
      <c r="I1041">
        <v>0</v>
      </c>
      <c r="J1041" t="s">
        <v>47</v>
      </c>
      <c r="K1041">
        <v>0</v>
      </c>
      <c r="L1041" t="s">
        <v>47</v>
      </c>
      <c r="M1041">
        <v>0</v>
      </c>
      <c r="N1041" t="s">
        <v>47</v>
      </c>
      <c r="O1041">
        <v>0</v>
      </c>
      <c r="P1041" t="s">
        <v>47</v>
      </c>
      <c r="Q1041">
        <v>0</v>
      </c>
      <c r="R1041" t="s">
        <v>47</v>
      </c>
      <c r="S1041">
        <v>0</v>
      </c>
      <c r="T1041" t="s">
        <v>47</v>
      </c>
    </row>
    <row r="1042" spans="1:20" x14ac:dyDescent="0.35">
      <c r="A1042" s="1" t="s">
        <v>2281</v>
      </c>
      <c r="B1042" t="s">
        <v>14</v>
      </c>
      <c r="C1042" t="s">
        <v>47</v>
      </c>
      <c r="D1042" t="s">
        <v>1614</v>
      </c>
      <c r="E1042">
        <v>1</v>
      </c>
      <c r="F1042" t="s">
        <v>45</v>
      </c>
      <c r="G1042">
        <v>0</v>
      </c>
      <c r="H1042" t="s">
        <v>47</v>
      </c>
      <c r="I1042">
        <v>0</v>
      </c>
      <c r="J1042" t="s">
        <v>47</v>
      </c>
      <c r="K1042">
        <v>0</v>
      </c>
      <c r="L1042" t="s">
        <v>47</v>
      </c>
      <c r="M1042">
        <v>0</v>
      </c>
      <c r="N1042" t="s">
        <v>47</v>
      </c>
      <c r="O1042">
        <v>0</v>
      </c>
      <c r="P1042" t="s">
        <v>47</v>
      </c>
      <c r="Q1042">
        <v>0</v>
      </c>
      <c r="R1042" t="s">
        <v>47</v>
      </c>
      <c r="S1042">
        <v>0</v>
      </c>
      <c r="T1042" t="s">
        <v>47</v>
      </c>
    </row>
    <row r="1043" spans="1:20" x14ac:dyDescent="0.35">
      <c r="A1043" s="1" t="s">
        <v>2282</v>
      </c>
      <c r="B1043" t="s">
        <v>14</v>
      </c>
      <c r="C1043" t="s">
        <v>47</v>
      </c>
      <c r="D1043" t="s">
        <v>1615</v>
      </c>
      <c r="E1043">
        <v>1</v>
      </c>
      <c r="F1043" t="s">
        <v>45</v>
      </c>
      <c r="G1043">
        <v>0</v>
      </c>
      <c r="H1043" t="s">
        <v>47</v>
      </c>
      <c r="I1043">
        <v>0</v>
      </c>
      <c r="J1043" t="s">
        <v>47</v>
      </c>
      <c r="K1043">
        <v>0</v>
      </c>
      <c r="L1043" t="s">
        <v>47</v>
      </c>
      <c r="M1043">
        <v>0</v>
      </c>
      <c r="N1043" t="s">
        <v>47</v>
      </c>
      <c r="O1043">
        <v>0</v>
      </c>
      <c r="P1043" t="s">
        <v>47</v>
      </c>
      <c r="Q1043">
        <v>0</v>
      </c>
      <c r="R1043" t="s">
        <v>47</v>
      </c>
      <c r="S1043">
        <v>0</v>
      </c>
      <c r="T1043" t="s">
        <v>47</v>
      </c>
    </row>
    <row r="1044" spans="1:20" x14ac:dyDescent="0.35">
      <c r="A1044" s="1" t="s">
        <v>2283</v>
      </c>
      <c r="B1044" t="s">
        <v>14</v>
      </c>
      <c r="C1044" t="s">
        <v>47</v>
      </c>
      <c r="D1044" t="s">
        <v>1616</v>
      </c>
      <c r="E1044">
        <v>1</v>
      </c>
      <c r="F1044" t="s">
        <v>45</v>
      </c>
      <c r="G1044">
        <v>1</v>
      </c>
      <c r="H1044" t="s">
        <v>45</v>
      </c>
      <c r="I1044">
        <v>0</v>
      </c>
      <c r="J1044" t="s">
        <v>47</v>
      </c>
      <c r="K1044">
        <v>0</v>
      </c>
      <c r="L1044" t="s">
        <v>47</v>
      </c>
      <c r="M1044">
        <v>0</v>
      </c>
      <c r="N1044" t="s">
        <v>47</v>
      </c>
      <c r="O1044">
        <v>0</v>
      </c>
      <c r="P1044" t="s">
        <v>47</v>
      </c>
      <c r="Q1044">
        <v>0</v>
      </c>
      <c r="R1044" t="s">
        <v>47</v>
      </c>
      <c r="S1044">
        <v>0</v>
      </c>
      <c r="T1044" t="s">
        <v>47</v>
      </c>
    </row>
    <row r="1045" spans="1:20" x14ac:dyDescent="0.35">
      <c r="A1045" s="1" t="s">
        <v>2284</v>
      </c>
      <c r="B1045" t="s">
        <v>14</v>
      </c>
      <c r="C1045" t="s">
        <v>47</v>
      </c>
      <c r="D1045" t="s">
        <v>1617</v>
      </c>
      <c r="E1045">
        <v>1</v>
      </c>
      <c r="F1045" t="s">
        <v>45</v>
      </c>
      <c r="G1045">
        <v>0</v>
      </c>
      <c r="H1045" t="s">
        <v>47</v>
      </c>
      <c r="I1045">
        <v>0</v>
      </c>
      <c r="J1045" t="s">
        <v>47</v>
      </c>
      <c r="K1045">
        <v>0</v>
      </c>
      <c r="L1045" t="s">
        <v>47</v>
      </c>
      <c r="M1045">
        <v>0</v>
      </c>
      <c r="N1045" t="s">
        <v>47</v>
      </c>
      <c r="O1045">
        <v>0</v>
      </c>
      <c r="P1045" t="s">
        <v>47</v>
      </c>
      <c r="Q1045">
        <v>0</v>
      </c>
      <c r="R1045" t="s">
        <v>47</v>
      </c>
      <c r="S1045">
        <v>0</v>
      </c>
      <c r="T1045" t="s">
        <v>47</v>
      </c>
    </row>
    <row r="1046" spans="1:20" x14ac:dyDescent="0.35">
      <c r="A1046" s="1" t="s">
        <v>2285</v>
      </c>
      <c r="B1046" t="s">
        <v>16</v>
      </c>
      <c r="C1046" t="s">
        <v>47</v>
      </c>
      <c r="D1046" t="s">
        <v>1618</v>
      </c>
      <c r="E1046">
        <v>1</v>
      </c>
      <c r="F1046" t="s">
        <v>45</v>
      </c>
      <c r="G1046">
        <v>1</v>
      </c>
      <c r="H1046" t="s">
        <v>45</v>
      </c>
      <c r="I1046">
        <v>0</v>
      </c>
      <c r="J1046" t="s">
        <v>47</v>
      </c>
      <c r="K1046">
        <v>0</v>
      </c>
      <c r="L1046" t="s">
        <v>47</v>
      </c>
      <c r="M1046">
        <v>0</v>
      </c>
      <c r="N1046" t="s">
        <v>47</v>
      </c>
      <c r="O1046">
        <v>0</v>
      </c>
      <c r="P1046" t="s">
        <v>47</v>
      </c>
      <c r="Q1046">
        <v>0</v>
      </c>
      <c r="R1046" t="s">
        <v>47</v>
      </c>
      <c r="S1046">
        <v>0</v>
      </c>
      <c r="T1046" t="s">
        <v>47</v>
      </c>
    </row>
    <row r="1047" spans="1:20" x14ac:dyDescent="0.35">
      <c r="A1047" s="1" t="s">
        <v>2286</v>
      </c>
      <c r="B1047" t="s">
        <v>14</v>
      </c>
      <c r="C1047" t="s">
        <v>47</v>
      </c>
      <c r="D1047" t="s">
        <v>1619</v>
      </c>
      <c r="E1047">
        <v>1</v>
      </c>
      <c r="F1047" t="s">
        <v>45</v>
      </c>
      <c r="G1047">
        <v>1</v>
      </c>
      <c r="H1047" t="s">
        <v>45</v>
      </c>
      <c r="I1047">
        <v>0</v>
      </c>
      <c r="J1047" t="s">
        <v>47</v>
      </c>
      <c r="K1047">
        <v>0</v>
      </c>
      <c r="L1047" t="s">
        <v>47</v>
      </c>
      <c r="M1047">
        <v>0</v>
      </c>
      <c r="N1047" t="s">
        <v>47</v>
      </c>
      <c r="O1047">
        <v>0</v>
      </c>
      <c r="P1047" t="s">
        <v>47</v>
      </c>
      <c r="Q1047">
        <v>0</v>
      </c>
      <c r="R1047" t="s">
        <v>47</v>
      </c>
      <c r="S1047">
        <v>0</v>
      </c>
      <c r="T1047" t="s">
        <v>47</v>
      </c>
    </row>
    <row r="1048" spans="1:20" x14ac:dyDescent="0.35">
      <c r="A1048" s="1" t="s">
        <v>2287</v>
      </c>
      <c r="B1048" t="s">
        <v>16</v>
      </c>
      <c r="C1048" t="s">
        <v>47</v>
      </c>
      <c r="D1048" t="s">
        <v>1620</v>
      </c>
      <c r="E1048">
        <v>0</v>
      </c>
      <c r="F1048" t="s">
        <v>47</v>
      </c>
      <c r="G1048">
        <v>1</v>
      </c>
      <c r="H1048" t="s">
        <v>45</v>
      </c>
      <c r="I1048">
        <v>0</v>
      </c>
      <c r="J1048" t="s">
        <v>47</v>
      </c>
      <c r="K1048">
        <v>0</v>
      </c>
      <c r="L1048" t="s">
        <v>47</v>
      </c>
      <c r="M1048">
        <v>0</v>
      </c>
      <c r="N1048" t="s">
        <v>47</v>
      </c>
      <c r="O1048">
        <v>0</v>
      </c>
      <c r="P1048" t="s">
        <v>47</v>
      </c>
      <c r="Q1048">
        <v>0</v>
      </c>
      <c r="R1048" t="s">
        <v>47</v>
      </c>
      <c r="S1048">
        <v>0</v>
      </c>
      <c r="T1048" t="s">
        <v>47</v>
      </c>
    </row>
    <row r="1049" spans="1:20" x14ac:dyDescent="0.35">
      <c r="A1049" s="1" t="s">
        <v>2288</v>
      </c>
      <c r="B1049" t="s">
        <v>16</v>
      </c>
      <c r="C1049" t="s">
        <v>47</v>
      </c>
      <c r="D1049" t="s">
        <v>1621</v>
      </c>
      <c r="E1049">
        <v>0</v>
      </c>
      <c r="F1049" t="s">
        <v>47</v>
      </c>
      <c r="G1049">
        <v>1</v>
      </c>
      <c r="H1049" t="s">
        <v>45</v>
      </c>
      <c r="I1049">
        <v>0</v>
      </c>
      <c r="J1049" t="s">
        <v>47</v>
      </c>
      <c r="K1049">
        <v>0</v>
      </c>
      <c r="L1049" t="s">
        <v>47</v>
      </c>
      <c r="M1049">
        <v>0</v>
      </c>
      <c r="N1049" t="s">
        <v>47</v>
      </c>
      <c r="O1049">
        <v>0</v>
      </c>
      <c r="P1049" t="s">
        <v>47</v>
      </c>
      <c r="Q1049">
        <v>0</v>
      </c>
      <c r="R1049" t="s">
        <v>47</v>
      </c>
      <c r="S1049">
        <v>0</v>
      </c>
      <c r="T1049" t="s">
        <v>47</v>
      </c>
    </row>
    <row r="1050" spans="1:20" x14ac:dyDescent="0.35">
      <c r="A1050" s="1" t="s">
        <v>2289</v>
      </c>
      <c r="B1050" t="s">
        <v>16</v>
      </c>
      <c r="C1050" t="s">
        <v>47</v>
      </c>
      <c r="D1050" t="s">
        <v>1622</v>
      </c>
      <c r="E1050">
        <v>1</v>
      </c>
      <c r="F1050" t="s">
        <v>45</v>
      </c>
      <c r="G1050">
        <v>0</v>
      </c>
      <c r="H1050" t="s">
        <v>47</v>
      </c>
      <c r="I1050">
        <v>0</v>
      </c>
      <c r="J1050" t="s">
        <v>47</v>
      </c>
      <c r="K1050">
        <v>0</v>
      </c>
      <c r="L1050" t="s">
        <v>47</v>
      </c>
      <c r="M1050">
        <v>0</v>
      </c>
      <c r="N1050" t="s">
        <v>47</v>
      </c>
      <c r="O1050">
        <v>0</v>
      </c>
      <c r="P1050" t="s">
        <v>47</v>
      </c>
      <c r="Q1050">
        <v>0</v>
      </c>
      <c r="R1050" t="s">
        <v>47</v>
      </c>
      <c r="S1050">
        <v>0</v>
      </c>
      <c r="T1050" t="s">
        <v>47</v>
      </c>
    </row>
    <row r="1051" spans="1:20" x14ac:dyDescent="0.35">
      <c r="A1051" s="1" t="s">
        <v>2290</v>
      </c>
      <c r="B1051" t="s">
        <v>14</v>
      </c>
      <c r="C1051" t="s">
        <v>47</v>
      </c>
      <c r="D1051" t="s">
        <v>1623</v>
      </c>
      <c r="E1051">
        <v>0</v>
      </c>
      <c r="F1051" t="s">
        <v>47</v>
      </c>
      <c r="G1051">
        <v>1</v>
      </c>
      <c r="H1051" t="s">
        <v>45</v>
      </c>
      <c r="I1051">
        <v>0</v>
      </c>
      <c r="J1051" t="s">
        <v>47</v>
      </c>
      <c r="K1051">
        <v>0</v>
      </c>
      <c r="L1051" t="s">
        <v>47</v>
      </c>
      <c r="M1051">
        <v>0</v>
      </c>
      <c r="N1051" t="s">
        <v>47</v>
      </c>
      <c r="O1051">
        <v>0</v>
      </c>
      <c r="P1051" t="s">
        <v>47</v>
      </c>
      <c r="Q1051">
        <v>0</v>
      </c>
      <c r="R1051" t="s">
        <v>47</v>
      </c>
      <c r="S1051">
        <v>0</v>
      </c>
      <c r="T1051" t="s">
        <v>47</v>
      </c>
    </row>
    <row r="1052" spans="1:20" x14ac:dyDescent="0.35">
      <c r="A1052" s="1" t="s">
        <v>2291</v>
      </c>
      <c r="B1052" t="s">
        <v>14</v>
      </c>
      <c r="C1052" t="s">
        <v>47</v>
      </c>
      <c r="D1052" t="s">
        <v>1624</v>
      </c>
      <c r="E1052">
        <v>0</v>
      </c>
      <c r="F1052" t="s">
        <v>47</v>
      </c>
      <c r="G1052">
        <v>1</v>
      </c>
      <c r="H1052" t="s">
        <v>45</v>
      </c>
      <c r="I1052">
        <v>0</v>
      </c>
      <c r="J1052" t="s">
        <v>47</v>
      </c>
      <c r="K1052">
        <v>0</v>
      </c>
      <c r="L1052" t="s">
        <v>47</v>
      </c>
      <c r="M1052">
        <v>0</v>
      </c>
      <c r="N1052" t="s">
        <v>47</v>
      </c>
      <c r="O1052">
        <v>0</v>
      </c>
      <c r="P1052" t="s">
        <v>47</v>
      </c>
      <c r="Q1052">
        <v>0</v>
      </c>
      <c r="R1052" t="s">
        <v>47</v>
      </c>
      <c r="S1052">
        <v>0</v>
      </c>
      <c r="T1052" t="s">
        <v>47</v>
      </c>
    </row>
    <row r="1053" spans="1:20" x14ac:dyDescent="0.35">
      <c r="A1053" s="1" t="s">
        <v>2292</v>
      </c>
      <c r="B1053" t="s">
        <v>14</v>
      </c>
      <c r="C1053" t="s">
        <v>47</v>
      </c>
      <c r="D1053" t="s">
        <v>1625</v>
      </c>
      <c r="E1053">
        <v>1</v>
      </c>
      <c r="F1053" t="s">
        <v>45</v>
      </c>
      <c r="G1053">
        <v>0</v>
      </c>
      <c r="H1053" t="s">
        <v>47</v>
      </c>
      <c r="I1053">
        <v>0</v>
      </c>
      <c r="J1053" t="s">
        <v>47</v>
      </c>
      <c r="K1053">
        <v>0</v>
      </c>
      <c r="L1053" t="s">
        <v>47</v>
      </c>
      <c r="M1053">
        <v>0</v>
      </c>
      <c r="N1053" t="s">
        <v>47</v>
      </c>
      <c r="O1053">
        <v>0</v>
      </c>
      <c r="P1053" t="s">
        <v>47</v>
      </c>
      <c r="Q1053">
        <v>0</v>
      </c>
      <c r="R1053" t="s">
        <v>47</v>
      </c>
      <c r="S1053">
        <v>0</v>
      </c>
      <c r="T1053" t="s">
        <v>47</v>
      </c>
    </row>
    <row r="1054" spans="1:20" x14ac:dyDescent="0.35">
      <c r="A1054" s="1" t="s">
        <v>2293</v>
      </c>
      <c r="B1054" t="s">
        <v>14</v>
      </c>
      <c r="C1054" t="s">
        <v>47</v>
      </c>
      <c r="D1054" t="s">
        <v>1626</v>
      </c>
      <c r="E1054">
        <v>0</v>
      </c>
      <c r="F1054" t="s">
        <v>47</v>
      </c>
      <c r="G1054">
        <v>1</v>
      </c>
      <c r="H1054" t="s">
        <v>45</v>
      </c>
      <c r="I1054">
        <v>0</v>
      </c>
      <c r="J1054" t="s">
        <v>47</v>
      </c>
      <c r="K1054">
        <v>0</v>
      </c>
      <c r="L1054" t="s">
        <v>47</v>
      </c>
      <c r="M1054">
        <v>0</v>
      </c>
      <c r="N1054" t="s">
        <v>47</v>
      </c>
      <c r="O1054">
        <v>0</v>
      </c>
      <c r="P1054" t="s">
        <v>47</v>
      </c>
      <c r="Q1054">
        <v>0</v>
      </c>
      <c r="R1054" t="s">
        <v>47</v>
      </c>
      <c r="S1054">
        <v>0</v>
      </c>
      <c r="T1054" t="s">
        <v>47</v>
      </c>
    </row>
    <row r="1055" spans="1:20" x14ac:dyDescent="0.35">
      <c r="A1055" s="1" t="s">
        <v>2294</v>
      </c>
      <c r="B1055" t="s">
        <v>14</v>
      </c>
      <c r="C1055" t="s">
        <v>47</v>
      </c>
      <c r="D1055" t="s">
        <v>1627</v>
      </c>
      <c r="E1055">
        <v>1</v>
      </c>
      <c r="F1055" t="s">
        <v>45</v>
      </c>
      <c r="G1055">
        <v>1</v>
      </c>
      <c r="H1055" t="s">
        <v>45</v>
      </c>
      <c r="I1055">
        <v>0</v>
      </c>
      <c r="J1055" t="s">
        <v>47</v>
      </c>
      <c r="K1055">
        <v>0</v>
      </c>
      <c r="L1055" t="s">
        <v>47</v>
      </c>
      <c r="M1055">
        <v>0</v>
      </c>
      <c r="N1055" t="s">
        <v>47</v>
      </c>
      <c r="O1055">
        <v>0</v>
      </c>
      <c r="P1055" t="s">
        <v>47</v>
      </c>
      <c r="Q1055">
        <v>1</v>
      </c>
      <c r="R1055" t="s">
        <v>45</v>
      </c>
      <c r="S1055">
        <v>0</v>
      </c>
      <c r="T1055" t="s">
        <v>47</v>
      </c>
    </row>
    <row r="1056" spans="1:20" x14ac:dyDescent="0.35">
      <c r="A1056" s="1" t="s">
        <v>2295</v>
      </c>
      <c r="B1056" t="s">
        <v>16</v>
      </c>
      <c r="C1056" t="s">
        <v>47</v>
      </c>
      <c r="D1056" t="s">
        <v>1628</v>
      </c>
      <c r="E1056">
        <v>1</v>
      </c>
      <c r="F1056" t="s">
        <v>45</v>
      </c>
      <c r="G1056">
        <v>1</v>
      </c>
      <c r="H1056" t="s">
        <v>45</v>
      </c>
      <c r="I1056">
        <v>0</v>
      </c>
      <c r="J1056" t="s">
        <v>47</v>
      </c>
      <c r="K1056">
        <v>0</v>
      </c>
      <c r="L1056" t="s">
        <v>47</v>
      </c>
      <c r="M1056">
        <v>0</v>
      </c>
      <c r="N1056" t="s">
        <v>47</v>
      </c>
      <c r="O1056">
        <v>0</v>
      </c>
      <c r="P1056" t="s">
        <v>47</v>
      </c>
      <c r="Q1056">
        <v>1</v>
      </c>
      <c r="R1056" t="s">
        <v>45</v>
      </c>
      <c r="S1056">
        <v>0</v>
      </c>
      <c r="T1056" t="s">
        <v>47</v>
      </c>
    </row>
    <row r="1057" spans="1:20" x14ac:dyDescent="0.35">
      <c r="A1057" s="1" t="s">
        <v>2296</v>
      </c>
      <c r="B1057" t="s">
        <v>16</v>
      </c>
      <c r="C1057" t="s">
        <v>47</v>
      </c>
      <c r="D1057" t="s">
        <v>1629</v>
      </c>
      <c r="E1057">
        <v>1</v>
      </c>
      <c r="F1057" t="s">
        <v>45</v>
      </c>
      <c r="G1057">
        <v>1</v>
      </c>
      <c r="H1057" t="s">
        <v>45</v>
      </c>
      <c r="I1057">
        <v>0</v>
      </c>
      <c r="J1057" t="s">
        <v>47</v>
      </c>
      <c r="K1057">
        <v>0</v>
      </c>
      <c r="L1057" t="s">
        <v>47</v>
      </c>
      <c r="M1057">
        <v>0</v>
      </c>
      <c r="N1057" t="s">
        <v>47</v>
      </c>
      <c r="O1057">
        <v>0</v>
      </c>
      <c r="P1057" t="s">
        <v>47</v>
      </c>
      <c r="Q1057">
        <v>0</v>
      </c>
      <c r="R1057" t="s">
        <v>47</v>
      </c>
      <c r="S1057">
        <v>0</v>
      </c>
      <c r="T1057" t="s">
        <v>47</v>
      </c>
    </row>
    <row r="1058" spans="1:20" x14ac:dyDescent="0.35">
      <c r="A1058" s="1" t="s">
        <v>2297</v>
      </c>
      <c r="B1058" t="s">
        <v>16</v>
      </c>
      <c r="C1058" t="s">
        <v>47</v>
      </c>
      <c r="D1058" t="s">
        <v>1630</v>
      </c>
      <c r="E1058">
        <v>1</v>
      </c>
      <c r="F1058" t="s">
        <v>45</v>
      </c>
      <c r="G1058">
        <v>1</v>
      </c>
      <c r="H1058" t="s">
        <v>45</v>
      </c>
      <c r="I1058">
        <v>0</v>
      </c>
      <c r="J1058" t="s">
        <v>47</v>
      </c>
      <c r="K1058">
        <v>0</v>
      </c>
      <c r="L1058" t="s">
        <v>47</v>
      </c>
      <c r="M1058">
        <v>0</v>
      </c>
      <c r="N1058" t="s">
        <v>47</v>
      </c>
      <c r="O1058">
        <v>0</v>
      </c>
      <c r="P1058" t="s">
        <v>47</v>
      </c>
      <c r="Q1058">
        <v>1</v>
      </c>
      <c r="R1058" t="s">
        <v>45</v>
      </c>
      <c r="S1058">
        <v>0</v>
      </c>
      <c r="T1058" t="s">
        <v>47</v>
      </c>
    </row>
    <row r="1059" spans="1:20" x14ac:dyDescent="0.35">
      <c r="A1059" s="1" t="s">
        <v>2298</v>
      </c>
      <c r="B1059" t="s">
        <v>16</v>
      </c>
      <c r="C1059" t="s">
        <v>47</v>
      </c>
      <c r="D1059" t="s">
        <v>1631</v>
      </c>
      <c r="E1059">
        <v>1</v>
      </c>
      <c r="F1059" t="s">
        <v>45</v>
      </c>
      <c r="G1059">
        <v>1</v>
      </c>
      <c r="H1059" t="s">
        <v>45</v>
      </c>
      <c r="I1059">
        <v>0</v>
      </c>
      <c r="J1059" t="s">
        <v>47</v>
      </c>
      <c r="K1059">
        <v>0</v>
      </c>
      <c r="L1059" t="s">
        <v>47</v>
      </c>
      <c r="M1059">
        <v>0</v>
      </c>
      <c r="N1059" t="s">
        <v>47</v>
      </c>
      <c r="O1059">
        <v>0</v>
      </c>
      <c r="P1059" t="s">
        <v>47</v>
      </c>
      <c r="Q1059">
        <v>1</v>
      </c>
      <c r="R1059" t="s">
        <v>45</v>
      </c>
      <c r="S1059">
        <v>0</v>
      </c>
      <c r="T1059" t="s">
        <v>47</v>
      </c>
    </row>
    <row r="1060" spans="1:20" x14ac:dyDescent="0.35">
      <c r="A1060" s="1" t="s">
        <v>2299</v>
      </c>
      <c r="B1060" t="s">
        <v>14</v>
      </c>
      <c r="C1060" t="s">
        <v>47</v>
      </c>
      <c r="D1060" t="s">
        <v>1632</v>
      </c>
      <c r="E1060">
        <v>0</v>
      </c>
      <c r="F1060" t="s">
        <v>47</v>
      </c>
      <c r="G1060">
        <v>1</v>
      </c>
      <c r="H1060" t="s">
        <v>45</v>
      </c>
      <c r="I1060">
        <v>0</v>
      </c>
      <c r="J1060" t="s">
        <v>47</v>
      </c>
      <c r="K1060">
        <v>0</v>
      </c>
      <c r="L1060" t="s">
        <v>47</v>
      </c>
      <c r="M1060">
        <v>0</v>
      </c>
      <c r="N1060" t="s">
        <v>47</v>
      </c>
      <c r="O1060">
        <v>0</v>
      </c>
      <c r="P1060" t="s">
        <v>47</v>
      </c>
      <c r="Q1060">
        <v>0</v>
      </c>
      <c r="R1060" t="s">
        <v>47</v>
      </c>
      <c r="S1060">
        <v>0</v>
      </c>
      <c r="T1060" t="s">
        <v>47</v>
      </c>
    </row>
    <row r="1061" spans="1:20" x14ac:dyDescent="0.35">
      <c r="A1061" s="1" t="s">
        <v>2300</v>
      </c>
      <c r="B1061" t="s">
        <v>14</v>
      </c>
      <c r="C1061" t="s">
        <v>47</v>
      </c>
      <c r="D1061" t="s">
        <v>1633</v>
      </c>
      <c r="E1061">
        <v>1</v>
      </c>
      <c r="F1061" t="s">
        <v>45</v>
      </c>
      <c r="G1061">
        <v>1</v>
      </c>
      <c r="H1061" t="s">
        <v>45</v>
      </c>
      <c r="I1061">
        <v>0</v>
      </c>
      <c r="J1061" t="s">
        <v>47</v>
      </c>
      <c r="K1061">
        <v>0</v>
      </c>
      <c r="L1061" t="s">
        <v>47</v>
      </c>
      <c r="M1061">
        <v>0</v>
      </c>
      <c r="N1061" t="s">
        <v>47</v>
      </c>
      <c r="O1061">
        <v>0</v>
      </c>
      <c r="P1061" t="s">
        <v>47</v>
      </c>
      <c r="Q1061">
        <v>0</v>
      </c>
      <c r="R1061" t="s">
        <v>47</v>
      </c>
      <c r="S1061">
        <v>0</v>
      </c>
      <c r="T1061" t="s">
        <v>47</v>
      </c>
    </row>
    <row r="1062" spans="1:20" x14ac:dyDescent="0.35">
      <c r="A1062" s="1" t="s">
        <v>2301</v>
      </c>
      <c r="B1062" t="s">
        <v>14</v>
      </c>
      <c r="C1062" t="s">
        <v>47</v>
      </c>
      <c r="D1062" t="s">
        <v>1634</v>
      </c>
      <c r="E1062">
        <v>1</v>
      </c>
      <c r="F1062" t="s">
        <v>45</v>
      </c>
      <c r="G1062">
        <v>0</v>
      </c>
      <c r="H1062" t="s">
        <v>47</v>
      </c>
      <c r="I1062">
        <v>0</v>
      </c>
      <c r="J1062" t="s">
        <v>47</v>
      </c>
      <c r="K1062">
        <v>0</v>
      </c>
      <c r="L1062" t="s">
        <v>47</v>
      </c>
      <c r="M1062">
        <v>0</v>
      </c>
      <c r="N1062" t="s">
        <v>47</v>
      </c>
      <c r="O1062">
        <v>0</v>
      </c>
      <c r="P1062" t="s">
        <v>47</v>
      </c>
      <c r="Q1062">
        <v>0</v>
      </c>
      <c r="R1062" t="s">
        <v>47</v>
      </c>
      <c r="S1062">
        <v>0</v>
      </c>
      <c r="T1062" t="s">
        <v>47</v>
      </c>
    </row>
    <row r="1063" spans="1:20" x14ac:dyDescent="0.35">
      <c r="A1063" s="1" t="s">
        <v>2302</v>
      </c>
      <c r="B1063" t="s">
        <v>14</v>
      </c>
      <c r="C1063" t="s">
        <v>47</v>
      </c>
      <c r="D1063" t="s">
        <v>1635</v>
      </c>
      <c r="E1063">
        <v>0</v>
      </c>
      <c r="F1063" t="s">
        <v>47</v>
      </c>
      <c r="G1063">
        <v>1</v>
      </c>
      <c r="H1063" t="s">
        <v>45</v>
      </c>
      <c r="I1063">
        <v>0</v>
      </c>
      <c r="J1063" t="s">
        <v>47</v>
      </c>
      <c r="K1063">
        <v>0</v>
      </c>
      <c r="L1063" t="s">
        <v>47</v>
      </c>
      <c r="M1063">
        <v>0</v>
      </c>
      <c r="N1063" t="s">
        <v>47</v>
      </c>
      <c r="O1063">
        <v>0</v>
      </c>
      <c r="P1063" t="s">
        <v>47</v>
      </c>
      <c r="Q1063">
        <v>0</v>
      </c>
      <c r="R1063" t="s">
        <v>47</v>
      </c>
      <c r="S1063">
        <v>0</v>
      </c>
      <c r="T1063" t="s">
        <v>47</v>
      </c>
    </row>
    <row r="1064" spans="1:20" x14ac:dyDescent="0.35">
      <c r="A1064" s="1" t="s">
        <v>2303</v>
      </c>
      <c r="B1064" t="s">
        <v>14</v>
      </c>
      <c r="C1064" t="s">
        <v>47</v>
      </c>
      <c r="D1064" t="s">
        <v>1636</v>
      </c>
      <c r="E1064">
        <v>0</v>
      </c>
      <c r="F1064" t="s">
        <v>47</v>
      </c>
      <c r="G1064">
        <v>1</v>
      </c>
      <c r="H1064" t="s">
        <v>45</v>
      </c>
      <c r="I1064">
        <v>0</v>
      </c>
      <c r="J1064" t="s">
        <v>47</v>
      </c>
      <c r="K1064">
        <v>0</v>
      </c>
      <c r="L1064" t="s">
        <v>47</v>
      </c>
      <c r="M1064">
        <v>0</v>
      </c>
      <c r="N1064" t="s">
        <v>47</v>
      </c>
      <c r="O1064">
        <v>0</v>
      </c>
      <c r="P1064" t="s">
        <v>47</v>
      </c>
      <c r="Q1064">
        <v>0</v>
      </c>
      <c r="R1064" t="s">
        <v>47</v>
      </c>
      <c r="S1064">
        <v>0</v>
      </c>
      <c r="T1064" t="s">
        <v>47</v>
      </c>
    </row>
    <row r="1065" spans="1:20" x14ac:dyDescent="0.35">
      <c r="A1065" s="1" t="s">
        <v>2304</v>
      </c>
      <c r="B1065" t="s">
        <v>16</v>
      </c>
      <c r="C1065" t="s">
        <v>47</v>
      </c>
      <c r="D1065" t="s">
        <v>1637</v>
      </c>
      <c r="E1065">
        <v>0</v>
      </c>
      <c r="F1065" t="s">
        <v>47</v>
      </c>
      <c r="G1065">
        <v>1</v>
      </c>
      <c r="H1065" t="s">
        <v>45</v>
      </c>
      <c r="I1065">
        <v>0</v>
      </c>
      <c r="J1065" t="s">
        <v>47</v>
      </c>
      <c r="K1065">
        <v>0</v>
      </c>
      <c r="L1065" t="s">
        <v>47</v>
      </c>
      <c r="M1065">
        <v>0</v>
      </c>
      <c r="N1065" t="s">
        <v>47</v>
      </c>
      <c r="O1065">
        <v>0</v>
      </c>
      <c r="P1065" t="s">
        <v>47</v>
      </c>
      <c r="Q1065">
        <v>1</v>
      </c>
      <c r="R1065" t="s">
        <v>45</v>
      </c>
      <c r="S1065">
        <v>0</v>
      </c>
      <c r="T1065" t="s">
        <v>47</v>
      </c>
    </row>
    <row r="1066" spans="1:20" x14ac:dyDescent="0.35">
      <c r="A1066" s="1" t="s">
        <v>2305</v>
      </c>
      <c r="B1066" t="s">
        <v>16</v>
      </c>
      <c r="C1066" t="s">
        <v>47</v>
      </c>
      <c r="D1066" t="s">
        <v>1638</v>
      </c>
      <c r="E1066">
        <v>1</v>
      </c>
      <c r="F1066" t="s">
        <v>45</v>
      </c>
      <c r="G1066">
        <v>1</v>
      </c>
      <c r="H1066" t="s">
        <v>45</v>
      </c>
      <c r="I1066">
        <v>0</v>
      </c>
      <c r="J1066" t="s">
        <v>47</v>
      </c>
      <c r="K1066">
        <v>0</v>
      </c>
      <c r="L1066" t="s">
        <v>47</v>
      </c>
      <c r="M1066">
        <v>0</v>
      </c>
      <c r="N1066" t="s">
        <v>47</v>
      </c>
      <c r="O1066">
        <v>0</v>
      </c>
      <c r="P1066" t="s">
        <v>47</v>
      </c>
      <c r="Q1066">
        <v>1</v>
      </c>
      <c r="R1066" t="s">
        <v>45</v>
      </c>
      <c r="S1066">
        <v>0</v>
      </c>
      <c r="T1066" t="s">
        <v>47</v>
      </c>
    </row>
    <row r="1067" spans="1:20" x14ac:dyDescent="0.35">
      <c r="A1067" s="1" t="s">
        <v>2306</v>
      </c>
      <c r="B1067" t="s">
        <v>16</v>
      </c>
      <c r="C1067" t="s">
        <v>47</v>
      </c>
      <c r="D1067" t="s">
        <v>1639</v>
      </c>
      <c r="E1067">
        <v>1</v>
      </c>
      <c r="F1067" t="s">
        <v>45</v>
      </c>
      <c r="G1067">
        <v>1</v>
      </c>
      <c r="H1067" t="s">
        <v>45</v>
      </c>
      <c r="I1067">
        <v>0</v>
      </c>
      <c r="J1067" t="s">
        <v>47</v>
      </c>
      <c r="K1067">
        <v>0</v>
      </c>
      <c r="L1067" t="s">
        <v>47</v>
      </c>
      <c r="M1067">
        <v>0</v>
      </c>
      <c r="N1067" t="s">
        <v>47</v>
      </c>
      <c r="O1067">
        <v>0</v>
      </c>
      <c r="P1067" t="s">
        <v>47</v>
      </c>
      <c r="Q1067">
        <v>0</v>
      </c>
      <c r="R1067" t="s">
        <v>47</v>
      </c>
      <c r="S1067">
        <v>0</v>
      </c>
      <c r="T1067" t="s">
        <v>47</v>
      </c>
    </row>
    <row r="1068" spans="1:20" x14ac:dyDescent="0.35">
      <c r="A1068" s="1" t="s">
        <v>2307</v>
      </c>
      <c r="B1068" t="s">
        <v>16</v>
      </c>
      <c r="C1068" t="s">
        <v>47</v>
      </c>
      <c r="D1068" t="s">
        <v>1640</v>
      </c>
      <c r="E1068">
        <v>0</v>
      </c>
      <c r="F1068" t="s">
        <v>47</v>
      </c>
      <c r="G1068">
        <v>1</v>
      </c>
      <c r="H1068" t="s">
        <v>45</v>
      </c>
      <c r="I1068">
        <v>0</v>
      </c>
      <c r="J1068" t="s">
        <v>47</v>
      </c>
      <c r="K1068">
        <v>0</v>
      </c>
      <c r="L1068" t="s">
        <v>47</v>
      </c>
      <c r="M1068">
        <v>0</v>
      </c>
      <c r="N1068" t="s">
        <v>47</v>
      </c>
      <c r="O1068">
        <v>0</v>
      </c>
      <c r="P1068" t="s">
        <v>47</v>
      </c>
      <c r="Q1068">
        <v>0</v>
      </c>
      <c r="R1068" t="s">
        <v>47</v>
      </c>
      <c r="S1068">
        <v>0</v>
      </c>
      <c r="T1068" t="s">
        <v>47</v>
      </c>
    </row>
    <row r="1069" spans="1:20" x14ac:dyDescent="0.35">
      <c r="A1069" s="1" t="s">
        <v>2308</v>
      </c>
      <c r="B1069" t="s">
        <v>16</v>
      </c>
      <c r="C1069" t="s">
        <v>47</v>
      </c>
      <c r="D1069" t="s">
        <v>1641</v>
      </c>
      <c r="E1069">
        <v>0</v>
      </c>
      <c r="F1069" t="s">
        <v>47</v>
      </c>
      <c r="G1069">
        <v>1</v>
      </c>
      <c r="H1069" t="s">
        <v>45</v>
      </c>
      <c r="I1069">
        <v>0</v>
      </c>
      <c r="J1069" t="s">
        <v>47</v>
      </c>
      <c r="K1069">
        <v>0</v>
      </c>
      <c r="L1069" t="s">
        <v>47</v>
      </c>
      <c r="M1069">
        <v>0</v>
      </c>
      <c r="N1069" t="s">
        <v>47</v>
      </c>
      <c r="O1069">
        <v>0</v>
      </c>
      <c r="P1069" t="s">
        <v>47</v>
      </c>
      <c r="Q1069">
        <v>0</v>
      </c>
      <c r="R1069" t="s">
        <v>47</v>
      </c>
      <c r="S1069">
        <v>0</v>
      </c>
      <c r="T1069" t="s">
        <v>47</v>
      </c>
    </row>
    <row r="1070" spans="1:20" x14ac:dyDescent="0.35">
      <c r="A1070" s="1" t="s">
        <v>2309</v>
      </c>
      <c r="B1070" t="s">
        <v>14</v>
      </c>
      <c r="C1070" t="s">
        <v>47</v>
      </c>
      <c r="D1070" t="s">
        <v>1642</v>
      </c>
      <c r="E1070">
        <v>1</v>
      </c>
      <c r="F1070" t="s">
        <v>45</v>
      </c>
      <c r="G1070">
        <v>0</v>
      </c>
      <c r="H1070" t="s">
        <v>47</v>
      </c>
      <c r="I1070">
        <v>0</v>
      </c>
      <c r="J1070" t="s">
        <v>47</v>
      </c>
      <c r="K1070">
        <v>0</v>
      </c>
      <c r="L1070" t="s">
        <v>47</v>
      </c>
      <c r="M1070">
        <v>0</v>
      </c>
      <c r="N1070" t="s">
        <v>47</v>
      </c>
      <c r="O1070">
        <v>0</v>
      </c>
      <c r="P1070" t="s">
        <v>47</v>
      </c>
      <c r="Q1070">
        <v>0</v>
      </c>
      <c r="R1070" t="s">
        <v>47</v>
      </c>
      <c r="S1070">
        <v>0</v>
      </c>
      <c r="T1070" t="s">
        <v>47</v>
      </c>
    </row>
    <row r="1071" spans="1:20" x14ac:dyDescent="0.35">
      <c r="A1071" s="1" t="s">
        <v>2310</v>
      </c>
      <c r="B1071" t="s">
        <v>14</v>
      </c>
      <c r="C1071" t="s">
        <v>47</v>
      </c>
      <c r="D1071" t="s">
        <v>1643</v>
      </c>
      <c r="E1071">
        <v>1</v>
      </c>
      <c r="F1071" t="s">
        <v>45</v>
      </c>
      <c r="G1071">
        <v>0</v>
      </c>
      <c r="H1071" t="s">
        <v>47</v>
      </c>
      <c r="I1071">
        <v>0</v>
      </c>
      <c r="J1071" t="s">
        <v>47</v>
      </c>
      <c r="K1071">
        <v>0</v>
      </c>
      <c r="L1071" t="s">
        <v>47</v>
      </c>
      <c r="M1071">
        <v>0</v>
      </c>
      <c r="N1071" t="s">
        <v>47</v>
      </c>
      <c r="O1071">
        <v>0</v>
      </c>
      <c r="P1071" t="s">
        <v>47</v>
      </c>
      <c r="Q1071">
        <v>0</v>
      </c>
      <c r="R1071" t="s">
        <v>47</v>
      </c>
      <c r="S1071">
        <v>0</v>
      </c>
      <c r="T1071" t="s">
        <v>47</v>
      </c>
    </row>
    <row r="1072" spans="1:20" x14ac:dyDescent="0.35">
      <c r="A1072" s="1" t="s">
        <v>2311</v>
      </c>
      <c r="B1072" t="s">
        <v>16</v>
      </c>
      <c r="C1072" t="s">
        <v>47</v>
      </c>
      <c r="D1072" t="s">
        <v>1644</v>
      </c>
      <c r="E1072">
        <v>0</v>
      </c>
      <c r="F1072" t="s">
        <v>47</v>
      </c>
      <c r="G1072">
        <v>1</v>
      </c>
      <c r="H1072" t="s">
        <v>45</v>
      </c>
      <c r="I1072">
        <v>0</v>
      </c>
      <c r="J1072" t="s">
        <v>47</v>
      </c>
      <c r="K1072">
        <v>0</v>
      </c>
      <c r="L1072" t="s">
        <v>47</v>
      </c>
      <c r="M1072">
        <v>0</v>
      </c>
      <c r="N1072" t="s">
        <v>47</v>
      </c>
      <c r="O1072">
        <v>0</v>
      </c>
      <c r="P1072" t="s">
        <v>47</v>
      </c>
      <c r="Q1072">
        <v>0</v>
      </c>
      <c r="R1072" t="s">
        <v>47</v>
      </c>
      <c r="S1072">
        <v>0</v>
      </c>
      <c r="T1072" t="s">
        <v>47</v>
      </c>
    </row>
    <row r="1073" spans="1:20" x14ac:dyDescent="0.35">
      <c r="A1073" s="1" t="s">
        <v>2312</v>
      </c>
      <c r="B1073" t="s">
        <v>16</v>
      </c>
      <c r="C1073" t="s">
        <v>47</v>
      </c>
      <c r="D1073" t="s">
        <v>1645</v>
      </c>
      <c r="E1073">
        <v>1</v>
      </c>
      <c r="F1073" t="s">
        <v>45</v>
      </c>
      <c r="G1073">
        <v>0</v>
      </c>
      <c r="H1073" t="s">
        <v>47</v>
      </c>
      <c r="I1073">
        <v>0</v>
      </c>
      <c r="J1073" t="s">
        <v>47</v>
      </c>
      <c r="K1073">
        <v>0</v>
      </c>
      <c r="L1073" t="s">
        <v>47</v>
      </c>
      <c r="M1073">
        <v>0</v>
      </c>
      <c r="N1073" t="s">
        <v>47</v>
      </c>
      <c r="O1073">
        <v>0</v>
      </c>
      <c r="P1073" t="s">
        <v>47</v>
      </c>
      <c r="Q1073">
        <v>0</v>
      </c>
      <c r="R1073" t="s">
        <v>47</v>
      </c>
      <c r="S1073">
        <v>0</v>
      </c>
      <c r="T1073" t="s">
        <v>47</v>
      </c>
    </row>
    <row r="1074" spans="1:20" x14ac:dyDescent="0.35">
      <c r="A1074" s="1" t="s">
        <v>2313</v>
      </c>
      <c r="B1074" t="s">
        <v>14</v>
      </c>
      <c r="C1074" t="s">
        <v>47</v>
      </c>
      <c r="D1074" t="s">
        <v>1646</v>
      </c>
      <c r="E1074">
        <v>1</v>
      </c>
      <c r="F1074" t="s">
        <v>45</v>
      </c>
      <c r="G1074">
        <v>1</v>
      </c>
      <c r="H1074" t="s">
        <v>45</v>
      </c>
      <c r="I1074">
        <v>0</v>
      </c>
      <c r="J1074" t="s">
        <v>47</v>
      </c>
      <c r="K1074">
        <v>0</v>
      </c>
      <c r="L1074" t="s">
        <v>47</v>
      </c>
      <c r="M1074">
        <v>0</v>
      </c>
      <c r="N1074" t="s">
        <v>47</v>
      </c>
      <c r="O1074">
        <v>0</v>
      </c>
      <c r="P1074" t="s">
        <v>47</v>
      </c>
      <c r="Q1074">
        <v>0</v>
      </c>
      <c r="R1074" t="s">
        <v>47</v>
      </c>
      <c r="S1074">
        <v>0</v>
      </c>
      <c r="T1074" t="s">
        <v>47</v>
      </c>
    </row>
    <row r="1075" spans="1:20" x14ac:dyDescent="0.35">
      <c r="A1075" s="1" t="s">
        <v>2314</v>
      </c>
      <c r="B1075" t="s">
        <v>16</v>
      </c>
      <c r="C1075" t="s">
        <v>47</v>
      </c>
      <c r="D1075" t="s">
        <v>1647</v>
      </c>
      <c r="E1075">
        <v>0</v>
      </c>
      <c r="F1075" t="s">
        <v>47</v>
      </c>
      <c r="G1075">
        <v>1</v>
      </c>
      <c r="H1075" t="s">
        <v>45</v>
      </c>
      <c r="I1075">
        <v>0</v>
      </c>
      <c r="J1075" t="s">
        <v>47</v>
      </c>
      <c r="K1075">
        <v>0</v>
      </c>
      <c r="L1075" t="s">
        <v>47</v>
      </c>
      <c r="M1075">
        <v>0</v>
      </c>
      <c r="N1075" t="s">
        <v>47</v>
      </c>
      <c r="O1075">
        <v>0</v>
      </c>
      <c r="P1075" t="s">
        <v>47</v>
      </c>
      <c r="Q1075">
        <v>0</v>
      </c>
      <c r="R1075" t="s">
        <v>47</v>
      </c>
      <c r="S1075">
        <v>0</v>
      </c>
      <c r="T1075" t="s">
        <v>47</v>
      </c>
    </row>
    <row r="1076" spans="1:20" x14ac:dyDescent="0.35">
      <c r="A1076" s="1" t="s">
        <v>2315</v>
      </c>
      <c r="B1076" t="s">
        <v>16</v>
      </c>
      <c r="C1076" t="s">
        <v>47</v>
      </c>
      <c r="D1076" t="s">
        <v>1648</v>
      </c>
      <c r="E1076">
        <v>1</v>
      </c>
      <c r="F1076" t="s">
        <v>45</v>
      </c>
      <c r="G1076">
        <v>1</v>
      </c>
      <c r="H1076" t="s">
        <v>45</v>
      </c>
      <c r="I1076">
        <v>0</v>
      </c>
      <c r="J1076" t="s">
        <v>47</v>
      </c>
      <c r="K1076">
        <v>0</v>
      </c>
      <c r="L1076" t="s">
        <v>47</v>
      </c>
      <c r="M1076">
        <v>0</v>
      </c>
      <c r="N1076" t="s">
        <v>47</v>
      </c>
      <c r="O1076">
        <v>1</v>
      </c>
      <c r="P1076" t="s">
        <v>45</v>
      </c>
      <c r="Q1076">
        <v>0</v>
      </c>
      <c r="R1076" t="s">
        <v>47</v>
      </c>
      <c r="S1076">
        <v>0</v>
      </c>
      <c r="T1076" t="s">
        <v>47</v>
      </c>
    </row>
    <row r="1077" spans="1:20" x14ac:dyDescent="0.35">
      <c r="A1077" s="1" t="s">
        <v>2316</v>
      </c>
      <c r="B1077" t="s">
        <v>14</v>
      </c>
      <c r="C1077" t="s">
        <v>47</v>
      </c>
      <c r="D1077" t="s">
        <v>1649</v>
      </c>
      <c r="E1077">
        <v>1</v>
      </c>
      <c r="F1077" t="s">
        <v>45</v>
      </c>
      <c r="G1077">
        <v>1</v>
      </c>
      <c r="H1077" t="s">
        <v>45</v>
      </c>
      <c r="I1077">
        <v>0</v>
      </c>
      <c r="J1077" t="s">
        <v>47</v>
      </c>
      <c r="K1077">
        <v>0</v>
      </c>
      <c r="L1077" t="s">
        <v>47</v>
      </c>
      <c r="M1077">
        <v>0</v>
      </c>
      <c r="N1077" t="s">
        <v>47</v>
      </c>
      <c r="O1077">
        <v>0</v>
      </c>
      <c r="P1077" t="s">
        <v>47</v>
      </c>
      <c r="Q1077">
        <v>0</v>
      </c>
      <c r="R1077" t="s">
        <v>47</v>
      </c>
      <c r="S1077">
        <v>0</v>
      </c>
      <c r="T1077" t="s">
        <v>47</v>
      </c>
    </row>
    <row r="1078" spans="1:20" x14ac:dyDescent="0.35">
      <c r="A1078" s="1" t="s">
        <v>2317</v>
      </c>
      <c r="B1078" t="s">
        <v>14</v>
      </c>
      <c r="C1078" t="s">
        <v>47</v>
      </c>
      <c r="D1078" t="s">
        <v>1650</v>
      </c>
      <c r="E1078">
        <v>1</v>
      </c>
      <c r="F1078" t="s">
        <v>45</v>
      </c>
      <c r="G1078">
        <v>1</v>
      </c>
      <c r="H1078" t="s">
        <v>45</v>
      </c>
      <c r="I1078">
        <v>0</v>
      </c>
      <c r="J1078" t="s">
        <v>47</v>
      </c>
      <c r="K1078">
        <v>0</v>
      </c>
      <c r="L1078" t="s">
        <v>47</v>
      </c>
      <c r="M1078">
        <v>0</v>
      </c>
      <c r="N1078" t="s">
        <v>47</v>
      </c>
      <c r="O1078">
        <v>0</v>
      </c>
      <c r="P1078" t="s">
        <v>47</v>
      </c>
      <c r="Q1078">
        <v>0</v>
      </c>
      <c r="R1078" t="s">
        <v>47</v>
      </c>
      <c r="S1078">
        <v>0</v>
      </c>
      <c r="T1078" t="s">
        <v>47</v>
      </c>
    </row>
    <row r="1079" spans="1:20" x14ac:dyDescent="0.35">
      <c r="A1079" s="1" t="s">
        <v>2318</v>
      </c>
      <c r="B1079" t="s">
        <v>14</v>
      </c>
      <c r="C1079" t="s">
        <v>47</v>
      </c>
      <c r="D1079" t="s">
        <v>1651</v>
      </c>
      <c r="E1079">
        <v>1</v>
      </c>
      <c r="F1079" t="s">
        <v>45</v>
      </c>
      <c r="G1079">
        <v>1</v>
      </c>
      <c r="H1079" t="s">
        <v>45</v>
      </c>
      <c r="I1079">
        <v>0</v>
      </c>
      <c r="J1079" t="s">
        <v>47</v>
      </c>
      <c r="K1079">
        <v>0</v>
      </c>
      <c r="L1079" t="s">
        <v>47</v>
      </c>
      <c r="M1079">
        <v>0</v>
      </c>
      <c r="N1079" t="s">
        <v>47</v>
      </c>
      <c r="O1079">
        <v>1</v>
      </c>
      <c r="P1079" t="s">
        <v>45</v>
      </c>
      <c r="Q1079">
        <v>0</v>
      </c>
      <c r="R1079" t="s">
        <v>47</v>
      </c>
      <c r="S1079">
        <v>0</v>
      </c>
      <c r="T1079" t="s">
        <v>47</v>
      </c>
    </row>
    <row r="1080" spans="1:20" x14ac:dyDescent="0.35">
      <c r="A1080" s="1" t="s">
        <v>2319</v>
      </c>
      <c r="B1080" t="s">
        <v>16</v>
      </c>
      <c r="C1080" t="s">
        <v>47</v>
      </c>
      <c r="D1080" t="s">
        <v>1652</v>
      </c>
      <c r="E1080">
        <v>0</v>
      </c>
      <c r="F1080" t="s">
        <v>47</v>
      </c>
      <c r="G1080">
        <v>1</v>
      </c>
      <c r="H1080" t="s">
        <v>45</v>
      </c>
      <c r="I1080">
        <v>0</v>
      </c>
      <c r="J1080" t="s">
        <v>47</v>
      </c>
      <c r="K1080">
        <v>0</v>
      </c>
      <c r="L1080" t="s">
        <v>47</v>
      </c>
      <c r="M1080">
        <v>0</v>
      </c>
      <c r="N1080" t="s">
        <v>47</v>
      </c>
      <c r="O1080">
        <v>0</v>
      </c>
      <c r="P1080" t="s">
        <v>47</v>
      </c>
      <c r="Q1080">
        <v>0</v>
      </c>
      <c r="R1080" t="s">
        <v>47</v>
      </c>
      <c r="S1080">
        <v>0</v>
      </c>
      <c r="T1080" t="s">
        <v>47</v>
      </c>
    </row>
    <row r="1081" spans="1:20" x14ac:dyDescent="0.35">
      <c r="A1081" s="1" t="s">
        <v>2320</v>
      </c>
      <c r="B1081" t="s">
        <v>14</v>
      </c>
      <c r="C1081" t="s">
        <v>47</v>
      </c>
      <c r="D1081" t="s">
        <v>1653</v>
      </c>
      <c r="E1081">
        <v>1</v>
      </c>
      <c r="F1081" t="s">
        <v>45</v>
      </c>
      <c r="G1081">
        <v>0</v>
      </c>
      <c r="H1081" t="s">
        <v>47</v>
      </c>
      <c r="I1081">
        <v>0</v>
      </c>
      <c r="J1081" t="s">
        <v>47</v>
      </c>
      <c r="K1081">
        <v>0</v>
      </c>
      <c r="L1081" t="s">
        <v>47</v>
      </c>
      <c r="M1081">
        <v>0</v>
      </c>
      <c r="N1081" t="s">
        <v>47</v>
      </c>
      <c r="O1081">
        <v>0</v>
      </c>
      <c r="P1081" t="s">
        <v>47</v>
      </c>
      <c r="Q1081">
        <v>0</v>
      </c>
      <c r="R1081" t="s">
        <v>47</v>
      </c>
      <c r="S1081">
        <v>0</v>
      </c>
      <c r="T1081" t="s">
        <v>47</v>
      </c>
    </row>
    <row r="1082" spans="1:20" x14ac:dyDescent="0.35">
      <c r="A1082" s="1" t="s">
        <v>2321</v>
      </c>
      <c r="B1082" t="s">
        <v>14</v>
      </c>
      <c r="C1082" t="s">
        <v>47</v>
      </c>
      <c r="D1082" t="s">
        <v>1654</v>
      </c>
      <c r="E1082">
        <v>1</v>
      </c>
      <c r="F1082" t="s">
        <v>45</v>
      </c>
      <c r="G1082">
        <v>1</v>
      </c>
      <c r="H1082" t="s">
        <v>45</v>
      </c>
      <c r="I1082">
        <v>0</v>
      </c>
      <c r="J1082" t="s">
        <v>47</v>
      </c>
      <c r="K1082">
        <v>0</v>
      </c>
      <c r="L1082" t="s">
        <v>47</v>
      </c>
      <c r="M1082">
        <v>0</v>
      </c>
      <c r="N1082" t="s">
        <v>47</v>
      </c>
      <c r="O1082">
        <v>0</v>
      </c>
      <c r="P1082" t="s">
        <v>47</v>
      </c>
      <c r="Q1082">
        <v>0</v>
      </c>
      <c r="R1082" t="s">
        <v>47</v>
      </c>
      <c r="S1082">
        <v>0</v>
      </c>
      <c r="T1082" t="s">
        <v>47</v>
      </c>
    </row>
    <row r="1083" spans="1:20" x14ac:dyDescent="0.35">
      <c r="A1083" s="1" t="s">
        <v>2322</v>
      </c>
      <c r="B1083" t="s">
        <v>16</v>
      </c>
      <c r="C1083" t="s">
        <v>47</v>
      </c>
      <c r="D1083" t="s">
        <v>1656</v>
      </c>
      <c r="E1083">
        <v>1</v>
      </c>
      <c r="F1083" t="s">
        <v>45</v>
      </c>
      <c r="G1083">
        <v>1</v>
      </c>
      <c r="H1083" t="s">
        <v>45</v>
      </c>
      <c r="I1083">
        <v>0</v>
      </c>
      <c r="J1083" t="s">
        <v>47</v>
      </c>
      <c r="K1083">
        <v>0</v>
      </c>
      <c r="L1083" t="s">
        <v>47</v>
      </c>
      <c r="M1083">
        <v>0</v>
      </c>
      <c r="N1083" t="s">
        <v>47</v>
      </c>
      <c r="O1083">
        <v>1</v>
      </c>
      <c r="P1083" t="s">
        <v>45</v>
      </c>
      <c r="Q1083">
        <v>0</v>
      </c>
      <c r="R1083" t="s">
        <v>47</v>
      </c>
      <c r="S1083">
        <v>0</v>
      </c>
      <c r="T1083" t="s">
        <v>47</v>
      </c>
    </row>
    <row r="1084" spans="1:20" x14ac:dyDescent="0.35">
      <c r="A1084" s="1" t="s">
        <v>2323</v>
      </c>
      <c r="B1084" t="s">
        <v>14</v>
      </c>
      <c r="C1084" t="s">
        <v>47</v>
      </c>
      <c r="D1084" t="s">
        <v>1657</v>
      </c>
      <c r="E1084">
        <v>1</v>
      </c>
      <c r="F1084" t="s">
        <v>45</v>
      </c>
      <c r="G1084">
        <v>1</v>
      </c>
      <c r="H1084" t="s">
        <v>45</v>
      </c>
      <c r="I1084">
        <v>0</v>
      </c>
      <c r="J1084" t="s">
        <v>47</v>
      </c>
      <c r="K1084">
        <v>0</v>
      </c>
      <c r="L1084" t="s">
        <v>47</v>
      </c>
      <c r="M1084">
        <v>0</v>
      </c>
      <c r="N1084" t="s">
        <v>47</v>
      </c>
      <c r="O1084">
        <v>0</v>
      </c>
      <c r="P1084" t="s">
        <v>47</v>
      </c>
      <c r="Q1084">
        <v>0</v>
      </c>
      <c r="R1084" t="s">
        <v>47</v>
      </c>
      <c r="S1084">
        <v>0</v>
      </c>
      <c r="T1084" t="s">
        <v>47</v>
      </c>
    </row>
    <row r="1085" spans="1:20" x14ac:dyDescent="0.35">
      <c r="A1085" s="1" t="s">
        <v>2324</v>
      </c>
      <c r="B1085" t="s">
        <v>14</v>
      </c>
      <c r="C1085" t="s">
        <v>47</v>
      </c>
      <c r="D1085" t="s">
        <v>1658</v>
      </c>
      <c r="E1085">
        <v>1</v>
      </c>
      <c r="F1085" t="s">
        <v>45</v>
      </c>
      <c r="G1085">
        <v>1</v>
      </c>
      <c r="H1085" t="s">
        <v>45</v>
      </c>
      <c r="I1085">
        <v>0</v>
      </c>
      <c r="J1085" t="s">
        <v>47</v>
      </c>
      <c r="K1085">
        <v>0</v>
      </c>
      <c r="L1085" t="s">
        <v>47</v>
      </c>
      <c r="M1085">
        <v>0</v>
      </c>
      <c r="N1085" t="s">
        <v>47</v>
      </c>
      <c r="O1085">
        <v>0</v>
      </c>
      <c r="P1085" t="s">
        <v>47</v>
      </c>
      <c r="Q1085">
        <v>0</v>
      </c>
      <c r="R1085" t="s">
        <v>47</v>
      </c>
      <c r="S1085">
        <v>0</v>
      </c>
      <c r="T1085" t="s">
        <v>47</v>
      </c>
    </row>
    <row r="1086" spans="1:20" x14ac:dyDescent="0.35">
      <c r="A1086" s="1" t="s">
        <v>2325</v>
      </c>
      <c r="B1086" t="s">
        <v>14</v>
      </c>
      <c r="C1086" t="s">
        <v>47</v>
      </c>
      <c r="D1086" t="s">
        <v>1659</v>
      </c>
      <c r="E1086">
        <v>1</v>
      </c>
      <c r="F1086" t="s">
        <v>45</v>
      </c>
      <c r="G1086">
        <v>1</v>
      </c>
      <c r="H1086" t="s">
        <v>45</v>
      </c>
      <c r="I1086">
        <v>0</v>
      </c>
      <c r="J1086" t="s">
        <v>47</v>
      </c>
      <c r="K1086">
        <v>0</v>
      </c>
      <c r="L1086" t="s">
        <v>47</v>
      </c>
      <c r="M1086">
        <v>0</v>
      </c>
      <c r="N1086" t="s">
        <v>47</v>
      </c>
      <c r="O1086">
        <v>0</v>
      </c>
      <c r="P1086" t="s">
        <v>47</v>
      </c>
      <c r="Q1086">
        <v>0</v>
      </c>
      <c r="R1086" t="s">
        <v>47</v>
      </c>
      <c r="S1086">
        <v>0</v>
      </c>
      <c r="T1086" t="s">
        <v>47</v>
      </c>
    </row>
    <row r="1087" spans="1:20" x14ac:dyDescent="0.35">
      <c r="A1087" s="1" t="s">
        <v>2326</v>
      </c>
      <c r="B1087" t="s">
        <v>14</v>
      </c>
      <c r="C1087" t="s">
        <v>47</v>
      </c>
      <c r="D1087" t="s">
        <v>1660</v>
      </c>
      <c r="E1087">
        <v>0</v>
      </c>
      <c r="F1087" t="s">
        <v>47</v>
      </c>
      <c r="G1087">
        <v>1</v>
      </c>
      <c r="H1087" t="s">
        <v>45</v>
      </c>
      <c r="I1087">
        <v>0</v>
      </c>
      <c r="J1087" t="s">
        <v>47</v>
      </c>
      <c r="K1087">
        <v>0</v>
      </c>
      <c r="L1087" t="s">
        <v>47</v>
      </c>
      <c r="M1087">
        <v>0</v>
      </c>
      <c r="N1087" t="s">
        <v>47</v>
      </c>
      <c r="O1087">
        <v>0</v>
      </c>
      <c r="P1087" t="s">
        <v>47</v>
      </c>
      <c r="Q1087">
        <v>0</v>
      </c>
      <c r="R1087" t="s">
        <v>47</v>
      </c>
      <c r="S1087">
        <v>0</v>
      </c>
      <c r="T1087" t="s">
        <v>47</v>
      </c>
    </row>
    <row r="1088" spans="1:20" x14ac:dyDescent="0.35">
      <c r="A1088" s="1" t="s">
        <v>2327</v>
      </c>
      <c r="B1088" t="s">
        <v>14</v>
      </c>
      <c r="C1088" t="s">
        <v>47</v>
      </c>
      <c r="D1088" t="s">
        <v>1661</v>
      </c>
      <c r="E1088">
        <v>1</v>
      </c>
      <c r="F1088" t="s">
        <v>45</v>
      </c>
      <c r="G1088">
        <v>1</v>
      </c>
      <c r="H1088" t="s">
        <v>45</v>
      </c>
      <c r="I1088">
        <v>0</v>
      </c>
      <c r="J1088" t="s">
        <v>47</v>
      </c>
      <c r="K1088">
        <v>0</v>
      </c>
      <c r="L1088" t="s">
        <v>47</v>
      </c>
      <c r="M1088">
        <v>0</v>
      </c>
      <c r="N1088" t="s">
        <v>47</v>
      </c>
      <c r="O1088">
        <v>0</v>
      </c>
      <c r="P1088" t="s">
        <v>47</v>
      </c>
      <c r="Q1088">
        <v>0</v>
      </c>
      <c r="R1088" t="s">
        <v>47</v>
      </c>
      <c r="S1088">
        <v>0</v>
      </c>
      <c r="T1088" t="s">
        <v>47</v>
      </c>
    </row>
    <row r="1089" spans="1:20" x14ac:dyDescent="0.35">
      <c r="A1089" s="1" t="s">
        <v>2328</v>
      </c>
      <c r="B1089" t="s">
        <v>14</v>
      </c>
      <c r="C1089" t="s">
        <v>47</v>
      </c>
      <c r="D1089" t="s">
        <v>1662</v>
      </c>
      <c r="E1089">
        <v>1</v>
      </c>
      <c r="F1089" t="s">
        <v>45</v>
      </c>
      <c r="G1089">
        <v>1</v>
      </c>
      <c r="H1089" t="s">
        <v>45</v>
      </c>
      <c r="I1089">
        <v>0</v>
      </c>
      <c r="J1089" t="s">
        <v>47</v>
      </c>
      <c r="K1089">
        <v>0</v>
      </c>
      <c r="L1089" t="s">
        <v>47</v>
      </c>
      <c r="M1089">
        <v>0</v>
      </c>
      <c r="N1089" t="s">
        <v>47</v>
      </c>
      <c r="O1089">
        <v>1</v>
      </c>
      <c r="P1089" t="s">
        <v>45</v>
      </c>
      <c r="Q1089">
        <v>0</v>
      </c>
      <c r="R1089" t="s">
        <v>47</v>
      </c>
      <c r="S1089">
        <v>0</v>
      </c>
      <c r="T1089" t="s">
        <v>47</v>
      </c>
    </row>
    <row r="1090" spans="1:20" x14ac:dyDescent="0.35">
      <c r="A1090" s="1" t="s">
        <v>2329</v>
      </c>
      <c r="B1090" t="s">
        <v>14</v>
      </c>
      <c r="C1090" t="s">
        <v>47</v>
      </c>
      <c r="D1090" t="s">
        <v>1663</v>
      </c>
      <c r="E1090">
        <v>1</v>
      </c>
      <c r="F1090" t="s">
        <v>45</v>
      </c>
      <c r="G1090">
        <v>1</v>
      </c>
      <c r="H1090" t="s">
        <v>45</v>
      </c>
      <c r="I1090">
        <v>0</v>
      </c>
      <c r="J1090" t="s">
        <v>47</v>
      </c>
      <c r="K1090">
        <v>0</v>
      </c>
      <c r="L1090" t="s">
        <v>47</v>
      </c>
      <c r="M1090">
        <v>0</v>
      </c>
      <c r="N1090" t="s">
        <v>47</v>
      </c>
      <c r="O1090">
        <v>0</v>
      </c>
      <c r="P1090" t="s">
        <v>47</v>
      </c>
      <c r="Q1090">
        <v>0</v>
      </c>
      <c r="R1090" t="s">
        <v>47</v>
      </c>
      <c r="S1090">
        <v>0</v>
      </c>
      <c r="T1090" t="s">
        <v>47</v>
      </c>
    </row>
    <row r="1091" spans="1:20" x14ac:dyDescent="0.35">
      <c r="A1091" s="1" t="s">
        <v>2330</v>
      </c>
      <c r="B1091" t="s">
        <v>14</v>
      </c>
      <c r="C1091" t="s">
        <v>47</v>
      </c>
      <c r="D1091" t="s">
        <v>1664</v>
      </c>
      <c r="E1091">
        <v>0</v>
      </c>
      <c r="F1091" t="s">
        <v>47</v>
      </c>
      <c r="G1091">
        <v>1</v>
      </c>
      <c r="H1091" t="s">
        <v>45</v>
      </c>
      <c r="I1091">
        <v>0</v>
      </c>
      <c r="J1091" t="s">
        <v>47</v>
      </c>
      <c r="K1091">
        <v>0</v>
      </c>
      <c r="L1091" t="s">
        <v>47</v>
      </c>
      <c r="M1091">
        <v>0</v>
      </c>
      <c r="N1091" t="s">
        <v>47</v>
      </c>
      <c r="O1091">
        <v>0</v>
      </c>
      <c r="P1091" t="s">
        <v>47</v>
      </c>
      <c r="Q1091">
        <v>0</v>
      </c>
      <c r="R1091" t="s">
        <v>47</v>
      </c>
      <c r="S1091">
        <v>0</v>
      </c>
      <c r="T1091" t="s">
        <v>47</v>
      </c>
    </row>
    <row r="1092" spans="1:20" x14ac:dyDescent="0.35">
      <c r="A1092" s="1" t="s">
        <v>2331</v>
      </c>
      <c r="B1092" t="s">
        <v>14</v>
      </c>
      <c r="C1092" t="s">
        <v>47</v>
      </c>
      <c r="D1092" t="s">
        <v>1665</v>
      </c>
      <c r="E1092">
        <v>0</v>
      </c>
      <c r="F1092" t="s">
        <v>47</v>
      </c>
      <c r="G1092">
        <v>1</v>
      </c>
      <c r="H1092" t="s">
        <v>45</v>
      </c>
      <c r="I1092">
        <v>0</v>
      </c>
      <c r="J1092" t="s">
        <v>47</v>
      </c>
      <c r="K1092">
        <v>0</v>
      </c>
      <c r="L1092" t="s">
        <v>47</v>
      </c>
      <c r="M1092">
        <v>0</v>
      </c>
      <c r="N1092" t="s">
        <v>47</v>
      </c>
      <c r="O1092">
        <v>0</v>
      </c>
      <c r="P1092" t="s">
        <v>47</v>
      </c>
      <c r="Q1092">
        <v>0</v>
      </c>
      <c r="R1092" t="s">
        <v>47</v>
      </c>
      <c r="S1092">
        <v>0</v>
      </c>
      <c r="T1092" t="s">
        <v>47</v>
      </c>
    </row>
    <row r="1093" spans="1:20" x14ac:dyDescent="0.35">
      <c r="A1093" s="1" t="s">
        <v>2332</v>
      </c>
      <c r="B1093" t="s">
        <v>14</v>
      </c>
      <c r="C1093" t="s">
        <v>47</v>
      </c>
      <c r="D1093" t="s">
        <v>1666</v>
      </c>
      <c r="E1093">
        <v>0</v>
      </c>
      <c r="F1093" t="s">
        <v>47</v>
      </c>
      <c r="G1093">
        <v>1</v>
      </c>
      <c r="H1093" t="s">
        <v>45</v>
      </c>
      <c r="I1093">
        <v>0</v>
      </c>
      <c r="J1093" t="s">
        <v>47</v>
      </c>
      <c r="K1093">
        <v>0</v>
      </c>
      <c r="L1093" t="s">
        <v>47</v>
      </c>
      <c r="M1093">
        <v>0</v>
      </c>
      <c r="N1093" t="s">
        <v>47</v>
      </c>
      <c r="O1093">
        <v>0</v>
      </c>
      <c r="P1093" t="s">
        <v>47</v>
      </c>
      <c r="Q1093">
        <v>0</v>
      </c>
      <c r="R1093" t="s">
        <v>47</v>
      </c>
      <c r="S1093">
        <v>0</v>
      </c>
      <c r="T1093" t="s">
        <v>47</v>
      </c>
    </row>
    <row r="1094" spans="1:20" x14ac:dyDescent="0.35">
      <c r="A1094" s="1" t="s">
        <v>2333</v>
      </c>
      <c r="B1094" t="s">
        <v>14</v>
      </c>
      <c r="C1094" t="s">
        <v>47</v>
      </c>
      <c r="D1094" t="s">
        <v>1655</v>
      </c>
      <c r="E1094">
        <v>0</v>
      </c>
      <c r="F1094" t="s">
        <v>47</v>
      </c>
      <c r="G1094">
        <v>1</v>
      </c>
      <c r="H1094" t="s">
        <v>45</v>
      </c>
      <c r="I1094">
        <v>0</v>
      </c>
      <c r="J1094" t="s">
        <v>47</v>
      </c>
      <c r="K1094">
        <v>0</v>
      </c>
      <c r="L1094" t="s">
        <v>47</v>
      </c>
      <c r="M1094">
        <v>0</v>
      </c>
      <c r="N1094" t="s">
        <v>47</v>
      </c>
      <c r="O1094">
        <v>0</v>
      </c>
      <c r="P1094" t="s">
        <v>47</v>
      </c>
      <c r="Q1094">
        <v>0</v>
      </c>
      <c r="R1094" t="s">
        <v>47</v>
      </c>
      <c r="S1094">
        <v>0</v>
      </c>
      <c r="T1094" t="s">
        <v>47</v>
      </c>
    </row>
    <row r="1095" spans="1:20" x14ac:dyDescent="0.35">
      <c r="A1095" s="1" t="s">
        <v>2334</v>
      </c>
      <c r="B1095" t="s">
        <v>16</v>
      </c>
      <c r="C1095" t="s">
        <v>47</v>
      </c>
      <c r="D1095" t="s">
        <v>1667</v>
      </c>
      <c r="E1095">
        <v>0</v>
      </c>
      <c r="F1095" t="s">
        <v>47</v>
      </c>
      <c r="G1095">
        <v>1</v>
      </c>
      <c r="H1095" t="s">
        <v>45</v>
      </c>
      <c r="I1095">
        <v>0</v>
      </c>
      <c r="J1095" t="s">
        <v>47</v>
      </c>
      <c r="K1095">
        <v>0</v>
      </c>
      <c r="L1095" t="s">
        <v>47</v>
      </c>
      <c r="M1095">
        <v>0</v>
      </c>
      <c r="N1095" t="s">
        <v>47</v>
      </c>
      <c r="O1095">
        <v>0</v>
      </c>
      <c r="P1095" t="s">
        <v>47</v>
      </c>
      <c r="Q1095">
        <v>0</v>
      </c>
      <c r="R1095" t="s">
        <v>47</v>
      </c>
      <c r="S1095">
        <v>0</v>
      </c>
      <c r="T1095" t="s">
        <v>47</v>
      </c>
    </row>
    <row r="1096" spans="1:20" x14ac:dyDescent="0.35">
      <c r="A1096" s="1" t="s">
        <v>2335</v>
      </c>
      <c r="B1096" t="s">
        <v>14</v>
      </c>
      <c r="C1096" t="s">
        <v>47</v>
      </c>
      <c r="D1096" t="s">
        <v>1668</v>
      </c>
      <c r="E1096">
        <v>0</v>
      </c>
      <c r="F1096" t="s">
        <v>47</v>
      </c>
      <c r="G1096">
        <v>1</v>
      </c>
      <c r="H1096" t="s">
        <v>45</v>
      </c>
      <c r="I1096">
        <v>0</v>
      </c>
      <c r="J1096" t="s">
        <v>47</v>
      </c>
      <c r="K1096">
        <v>0</v>
      </c>
      <c r="L1096" t="s">
        <v>47</v>
      </c>
      <c r="M1096">
        <v>0</v>
      </c>
      <c r="N1096" t="s">
        <v>47</v>
      </c>
      <c r="O1096">
        <v>0</v>
      </c>
      <c r="P1096" t="s">
        <v>47</v>
      </c>
      <c r="Q1096">
        <v>1</v>
      </c>
      <c r="R1096" t="s">
        <v>45</v>
      </c>
      <c r="S1096">
        <v>0</v>
      </c>
      <c r="T1096" t="s">
        <v>47</v>
      </c>
    </row>
    <row r="1097" spans="1:20" x14ac:dyDescent="0.35">
      <c r="A1097" s="1" t="s">
        <v>2336</v>
      </c>
      <c r="B1097" t="s">
        <v>14</v>
      </c>
      <c r="C1097" t="s">
        <v>47</v>
      </c>
      <c r="D1097" t="s">
        <v>1669</v>
      </c>
      <c r="E1097">
        <v>0</v>
      </c>
      <c r="F1097" t="s">
        <v>47</v>
      </c>
      <c r="G1097">
        <v>1</v>
      </c>
      <c r="H1097" t="s">
        <v>45</v>
      </c>
      <c r="I1097">
        <v>0</v>
      </c>
      <c r="J1097" t="s">
        <v>47</v>
      </c>
      <c r="K1097">
        <v>0</v>
      </c>
      <c r="L1097" t="s">
        <v>47</v>
      </c>
      <c r="M1097">
        <v>0</v>
      </c>
      <c r="N1097" t="s">
        <v>47</v>
      </c>
      <c r="O1097">
        <v>0</v>
      </c>
      <c r="P1097" t="s">
        <v>47</v>
      </c>
      <c r="Q1097">
        <v>1</v>
      </c>
      <c r="R1097" t="s">
        <v>45</v>
      </c>
      <c r="S1097">
        <v>0</v>
      </c>
      <c r="T1097" t="s">
        <v>47</v>
      </c>
    </row>
    <row r="1098" spans="1:20" x14ac:dyDescent="0.35">
      <c r="A1098" s="1" t="s">
        <v>2337</v>
      </c>
      <c r="B1098" t="s">
        <v>14</v>
      </c>
      <c r="C1098" t="s">
        <v>47</v>
      </c>
      <c r="D1098" t="s">
        <v>1671</v>
      </c>
      <c r="E1098">
        <v>0</v>
      </c>
      <c r="F1098" t="s">
        <v>47</v>
      </c>
      <c r="G1098">
        <v>1</v>
      </c>
      <c r="H1098" t="s">
        <v>45</v>
      </c>
      <c r="I1098">
        <v>0</v>
      </c>
      <c r="J1098" t="s">
        <v>47</v>
      </c>
      <c r="K1098">
        <v>0</v>
      </c>
      <c r="L1098" t="s">
        <v>47</v>
      </c>
      <c r="M1098">
        <v>0</v>
      </c>
      <c r="N1098" t="s">
        <v>47</v>
      </c>
      <c r="O1098">
        <v>0</v>
      </c>
      <c r="P1098" t="s">
        <v>47</v>
      </c>
      <c r="Q1098">
        <v>0</v>
      </c>
      <c r="R1098" t="s">
        <v>47</v>
      </c>
      <c r="S1098">
        <v>0</v>
      </c>
      <c r="T1098" t="s">
        <v>47</v>
      </c>
    </row>
    <row r="1099" spans="1:20" x14ac:dyDescent="0.35">
      <c r="A1099" s="1" t="s">
        <v>2338</v>
      </c>
      <c r="B1099" t="s">
        <v>16</v>
      </c>
      <c r="C1099" t="s">
        <v>47</v>
      </c>
      <c r="D1099" t="s">
        <v>1672</v>
      </c>
      <c r="E1099">
        <v>0</v>
      </c>
      <c r="F1099" t="s">
        <v>47</v>
      </c>
      <c r="G1099">
        <v>1</v>
      </c>
      <c r="H1099" t="s">
        <v>45</v>
      </c>
      <c r="I1099">
        <v>0</v>
      </c>
      <c r="J1099" t="s">
        <v>47</v>
      </c>
      <c r="K1099">
        <v>0</v>
      </c>
      <c r="L1099" t="s">
        <v>47</v>
      </c>
      <c r="M1099">
        <v>0</v>
      </c>
      <c r="N1099" t="s">
        <v>47</v>
      </c>
      <c r="O1099">
        <v>0</v>
      </c>
      <c r="P1099" t="s">
        <v>47</v>
      </c>
      <c r="Q1099">
        <v>0</v>
      </c>
      <c r="R1099" t="s">
        <v>47</v>
      </c>
      <c r="S1099">
        <v>0</v>
      </c>
      <c r="T1099" t="s">
        <v>47</v>
      </c>
    </row>
    <row r="1100" spans="1:20" x14ac:dyDescent="0.35">
      <c r="A1100" s="1" t="s">
        <v>2339</v>
      </c>
      <c r="B1100" t="s">
        <v>14</v>
      </c>
      <c r="C1100" t="s">
        <v>47</v>
      </c>
      <c r="D1100" t="s">
        <v>1673</v>
      </c>
      <c r="E1100">
        <v>1</v>
      </c>
      <c r="F1100" t="s">
        <v>45</v>
      </c>
      <c r="G1100">
        <v>1</v>
      </c>
      <c r="H1100" t="s">
        <v>45</v>
      </c>
      <c r="I1100">
        <v>0</v>
      </c>
      <c r="J1100" t="s">
        <v>47</v>
      </c>
      <c r="K1100">
        <v>0</v>
      </c>
      <c r="L1100" t="s">
        <v>47</v>
      </c>
      <c r="M1100">
        <v>0</v>
      </c>
      <c r="N1100" t="s">
        <v>47</v>
      </c>
      <c r="O1100">
        <v>0</v>
      </c>
      <c r="P1100" t="s">
        <v>47</v>
      </c>
      <c r="Q1100">
        <v>0</v>
      </c>
      <c r="R1100" t="s">
        <v>47</v>
      </c>
      <c r="S1100">
        <v>0</v>
      </c>
      <c r="T1100" t="s">
        <v>47</v>
      </c>
    </row>
    <row r="1101" spans="1:20" x14ac:dyDescent="0.35">
      <c r="A1101" s="1" t="s">
        <v>2340</v>
      </c>
      <c r="B1101" t="s">
        <v>16</v>
      </c>
      <c r="C1101" t="s">
        <v>47</v>
      </c>
      <c r="D1101" t="s">
        <v>1674</v>
      </c>
      <c r="E1101">
        <v>0</v>
      </c>
      <c r="F1101" t="s">
        <v>47</v>
      </c>
      <c r="G1101">
        <v>1</v>
      </c>
      <c r="H1101" t="s">
        <v>45</v>
      </c>
      <c r="I1101">
        <v>0</v>
      </c>
      <c r="J1101" t="s">
        <v>47</v>
      </c>
      <c r="K1101">
        <v>0</v>
      </c>
      <c r="L1101" t="s">
        <v>47</v>
      </c>
      <c r="M1101">
        <v>0</v>
      </c>
      <c r="N1101" t="s">
        <v>47</v>
      </c>
      <c r="O1101">
        <v>0</v>
      </c>
      <c r="P1101" t="s">
        <v>47</v>
      </c>
      <c r="Q1101">
        <v>0</v>
      </c>
      <c r="R1101" t="s">
        <v>47</v>
      </c>
      <c r="S1101">
        <v>0</v>
      </c>
      <c r="T1101" t="s">
        <v>47</v>
      </c>
    </row>
    <row r="1102" spans="1:20" x14ac:dyDescent="0.35">
      <c r="A1102" s="1" t="s">
        <v>2341</v>
      </c>
      <c r="B1102" t="s">
        <v>14</v>
      </c>
      <c r="C1102" t="s">
        <v>47</v>
      </c>
      <c r="D1102" t="s">
        <v>1675</v>
      </c>
      <c r="E1102">
        <v>1</v>
      </c>
      <c r="F1102" t="s">
        <v>45</v>
      </c>
      <c r="G1102">
        <v>1</v>
      </c>
      <c r="H1102" t="s">
        <v>45</v>
      </c>
      <c r="I1102">
        <v>0</v>
      </c>
      <c r="J1102" t="s">
        <v>47</v>
      </c>
      <c r="K1102">
        <v>0</v>
      </c>
      <c r="L1102" t="s">
        <v>47</v>
      </c>
      <c r="M1102">
        <v>0</v>
      </c>
      <c r="N1102" t="s">
        <v>47</v>
      </c>
      <c r="O1102">
        <v>0</v>
      </c>
      <c r="P1102" t="s">
        <v>47</v>
      </c>
      <c r="Q1102">
        <v>0</v>
      </c>
      <c r="R1102" t="s">
        <v>47</v>
      </c>
      <c r="S1102">
        <v>0</v>
      </c>
      <c r="T1102" t="s">
        <v>47</v>
      </c>
    </row>
    <row r="1103" spans="1:20" x14ac:dyDescent="0.35">
      <c r="A1103" s="1" t="s">
        <v>2342</v>
      </c>
      <c r="B1103" t="s">
        <v>16</v>
      </c>
      <c r="C1103" t="s">
        <v>47</v>
      </c>
      <c r="D1103" t="s">
        <v>1676</v>
      </c>
      <c r="E1103">
        <v>1</v>
      </c>
      <c r="F1103" t="s">
        <v>45</v>
      </c>
      <c r="G1103">
        <v>1</v>
      </c>
      <c r="H1103" t="s">
        <v>45</v>
      </c>
      <c r="I1103">
        <v>0</v>
      </c>
      <c r="J1103" t="s">
        <v>47</v>
      </c>
      <c r="K1103">
        <v>0</v>
      </c>
      <c r="L1103" t="s">
        <v>47</v>
      </c>
      <c r="M1103">
        <v>0</v>
      </c>
      <c r="N1103" t="s">
        <v>47</v>
      </c>
      <c r="O1103">
        <v>0</v>
      </c>
      <c r="P1103" t="s">
        <v>47</v>
      </c>
      <c r="Q1103">
        <v>0</v>
      </c>
      <c r="R1103" t="s">
        <v>47</v>
      </c>
      <c r="S1103">
        <v>0</v>
      </c>
      <c r="T1103" t="s">
        <v>47</v>
      </c>
    </row>
    <row r="1104" spans="1:20" x14ac:dyDescent="0.35">
      <c r="A1104" s="1" t="s">
        <v>2343</v>
      </c>
      <c r="B1104" t="s">
        <v>16</v>
      </c>
      <c r="C1104" t="s">
        <v>47</v>
      </c>
      <c r="D1104" t="s">
        <v>1677</v>
      </c>
      <c r="E1104">
        <v>0</v>
      </c>
      <c r="F1104" t="s">
        <v>47</v>
      </c>
      <c r="G1104">
        <v>1</v>
      </c>
      <c r="H1104" t="s">
        <v>45</v>
      </c>
      <c r="I1104">
        <v>0</v>
      </c>
      <c r="J1104" t="s">
        <v>47</v>
      </c>
      <c r="K1104">
        <v>0</v>
      </c>
      <c r="L1104" t="s">
        <v>47</v>
      </c>
      <c r="M1104">
        <v>0</v>
      </c>
      <c r="N1104" t="s">
        <v>47</v>
      </c>
      <c r="O1104">
        <v>0</v>
      </c>
      <c r="P1104" t="s">
        <v>47</v>
      </c>
      <c r="Q1104">
        <v>0</v>
      </c>
      <c r="R1104" t="s">
        <v>47</v>
      </c>
      <c r="S1104">
        <v>0</v>
      </c>
      <c r="T1104" t="s">
        <v>47</v>
      </c>
    </row>
    <row r="1105" spans="1:20" x14ac:dyDescent="0.35">
      <c r="A1105" s="1" t="s">
        <v>2344</v>
      </c>
      <c r="B1105" t="s">
        <v>16</v>
      </c>
      <c r="C1105" t="s">
        <v>47</v>
      </c>
      <c r="D1105" t="s">
        <v>1678</v>
      </c>
      <c r="E1105">
        <v>0</v>
      </c>
      <c r="F1105" t="s">
        <v>47</v>
      </c>
      <c r="G1105">
        <v>1</v>
      </c>
      <c r="H1105" t="s">
        <v>45</v>
      </c>
      <c r="I1105">
        <v>0</v>
      </c>
      <c r="J1105" t="s">
        <v>47</v>
      </c>
      <c r="K1105">
        <v>0</v>
      </c>
      <c r="L1105" t="s">
        <v>47</v>
      </c>
      <c r="M1105">
        <v>0</v>
      </c>
      <c r="N1105" t="s">
        <v>47</v>
      </c>
      <c r="O1105">
        <v>0</v>
      </c>
      <c r="P1105" t="s">
        <v>47</v>
      </c>
      <c r="Q1105">
        <v>0</v>
      </c>
      <c r="R1105" t="s">
        <v>47</v>
      </c>
      <c r="S1105">
        <v>0</v>
      </c>
      <c r="T1105" t="s">
        <v>47</v>
      </c>
    </row>
    <row r="1106" spans="1:20" x14ac:dyDescent="0.35">
      <c r="A1106" s="1" t="s">
        <v>2345</v>
      </c>
      <c r="B1106" t="s">
        <v>14</v>
      </c>
      <c r="C1106" t="s">
        <v>47</v>
      </c>
      <c r="D1106" t="s">
        <v>1679</v>
      </c>
      <c r="E1106">
        <v>1</v>
      </c>
      <c r="F1106" t="s">
        <v>45</v>
      </c>
      <c r="G1106">
        <v>1</v>
      </c>
      <c r="H1106" t="s">
        <v>45</v>
      </c>
      <c r="I1106">
        <v>0</v>
      </c>
      <c r="J1106" t="s">
        <v>47</v>
      </c>
      <c r="K1106">
        <v>0</v>
      </c>
      <c r="L1106" t="s">
        <v>47</v>
      </c>
      <c r="M1106">
        <v>0</v>
      </c>
      <c r="N1106" t="s">
        <v>47</v>
      </c>
      <c r="O1106">
        <v>0</v>
      </c>
      <c r="P1106" t="s">
        <v>47</v>
      </c>
      <c r="Q1106">
        <v>0</v>
      </c>
      <c r="R1106" t="s">
        <v>47</v>
      </c>
      <c r="S1106">
        <v>0</v>
      </c>
      <c r="T1106" t="s">
        <v>47</v>
      </c>
    </row>
    <row r="1107" spans="1:20" x14ac:dyDescent="0.35">
      <c r="A1107" s="1" t="s">
        <v>2346</v>
      </c>
      <c r="B1107" t="s">
        <v>14</v>
      </c>
      <c r="C1107" t="s">
        <v>47</v>
      </c>
      <c r="D1107" t="s">
        <v>1643</v>
      </c>
      <c r="E1107">
        <v>1</v>
      </c>
      <c r="F1107" t="s">
        <v>45</v>
      </c>
      <c r="G1107">
        <v>0</v>
      </c>
      <c r="H1107" t="s">
        <v>47</v>
      </c>
      <c r="I1107">
        <v>0</v>
      </c>
      <c r="J1107" t="s">
        <v>47</v>
      </c>
      <c r="K1107">
        <v>0</v>
      </c>
      <c r="L1107" t="s">
        <v>47</v>
      </c>
      <c r="M1107">
        <v>0</v>
      </c>
      <c r="N1107" t="s">
        <v>47</v>
      </c>
      <c r="O1107">
        <v>0</v>
      </c>
      <c r="P1107" t="s">
        <v>47</v>
      </c>
      <c r="Q1107">
        <v>0</v>
      </c>
      <c r="R1107" t="s">
        <v>47</v>
      </c>
      <c r="S1107">
        <v>0</v>
      </c>
      <c r="T1107" t="s">
        <v>47</v>
      </c>
    </row>
    <row r="1108" spans="1:20" x14ac:dyDescent="0.35">
      <c r="A1108" s="1" t="s">
        <v>2347</v>
      </c>
      <c r="B1108" t="s">
        <v>14</v>
      </c>
      <c r="C1108" t="s">
        <v>47</v>
      </c>
      <c r="D1108" t="s">
        <v>1635</v>
      </c>
      <c r="E1108">
        <v>0</v>
      </c>
      <c r="F1108" t="s">
        <v>47</v>
      </c>
      <c r="G1108">
        <v>1</v>
      </c>
      <c r="H1108" t="s">
        <v>45</v>
      </c>
      <c r="I1108">
        <v>0</v>
      </c>
      <c r="J1108" t="s">
        <v>47</v>
      </c>
      <c r="K1108">
        <v>0</v>
      </c>
      <c r="L1108" t="s">
        <v>47</v>
      </c>
      <c r="M1108">
        <v>0</v>
      </c>
      <c r="N1108" t="s">
        <v>47</v>
      </c>
      <c r="O1108">
        <v>0</v>
      </c>
      <c r="P1108" t="s">
        <v>47</v>
      </c>
      <c r="Q1108">
        <v>0</v>
      </c>
      <c r="R1108" t="s">
        <v>47</v>
      </c>
      <c r="S1108">
        <v>0</v>
      </c>
      <c r="T1108" t="s">
        <v>47</v>
      </c>
    </row>
    <row r="1109" spans="1:20" x14ac:dyDescent="0.35">
      <c r="A1109" s="1" t="s">
        <v>2348</v>
      </c>
      <c r="B1109" t="s">
        <v>16</v>
      </c>
      <c r="C1109" t="s">
        <v>47</v>
      </c>
      <c r="D1109" t="s">
        <v>1680</v>
      </c>
      <c r="E1109">
        <v>1</v>
      </c>
      <c r="F1109" t="s">
        <v>45</v>
      </c>
      <c r="G1109">
        <v>1</v>
      </c>
      <c r="H1109" t="s">
        <v>45</v>
      </c>
      <c r="I1109">
        <v>0</v>
      </c>
      <c r="J1109" t="s">
        <v>47</v>
      </c>
      <c r="K1109">
        <v>0</v>
      </c>
      <c r="L1109" t="s">
        <v>47</v>
      </c>
      <c r="M1109">
        <v>0</v>
      </c>
      <c r="N1109" t="s">
        <v>47</v>
      </c>
      <c r="O1109">
        <v>0</v>
      </c>
      <c r="P1109" t="s">
        <v>47</v>
      </c>
      <c r="Q1109">
        <v>0</v>
      </c>
      <c r="R1109" t="s">
        <v>47</v>
      </c>
      <c r="S1109">
        <v>0</v>
      </c>
      <c r="T1109" t="s">
        <v>47</v>
      </c>
    </row>
    <row r="1110" spans="1:20" x14ac:dyDescent="0.35">
      <c r="A1110" s="1" t="s">
        <v>2349</v>
      </c>
      <c r="B1110" t="s">
        <v>14</v>
      </c>
      <c r="C1110" t="s">
        <v>47</v>
      </c>
      <c r="D1110" t="s">
        <v>1681</v>
      </c>
      <c r="E1110">
        <v>1</v>
      </c>
      <c r="F1110" t="s">
        <v>45</v>
      </c>
      <c r="G1110">
        <v>1</v>
      </c>
      <c r="H1110" t="s">
        <v>45</v>
      </c>
      <c r="I1110">
        <v>0</v>
      </c>
      <c r="J1110" t="s">
        <v>47</v>
      </c>
      <c r="K1110">
        <v>0</v>
      </c>
      <c r="L1110" t="s">
        <v>47</v>
      </c>
      <c r="M1110">
        <v>0</v>
      </c>
      <c r="N1110" t="s">
        <v>47</v>
      </c>
      <c r="O1110">
        <v>0</v>
      </c>
      <c r="P1110" t="s">
        <v>47</v>
      </c>
      <c r="Q1110">
        <v>1</v>
      </c>
      <c r="R1110" t="s">
        <v>45</v>
      </c>
      <c r="S1110">
        <v>0</v>
      </c>
      <c r="T1110" t="s">
        <v>47</v>
      </c>
    </row>
    <row r="1111" spans="1:20" x14ac:dyDescent="0.35">
      <c r="A1111" s="1" t="s">
        <v>2350</v>
      </c>
      <c r="B1111" t="s">
        <v>14</v>
      </c>
      <c r="C1111" t="s">
        <v>47</v>
      </c>
      <c r="D1111" t="s">
        <v>1670</v>
      </c>
      <c r="E1111">
        <v>0</v>
      </c>
      <c r="F1111" t="s">
        <v>47</v>
      </c>
      <c r="G1111">
        <v>0</v>
      </c>
      <c r="H1111" t="s">
        <v>47</v>
      </c>
      <c r="I1111">
        <v>0</v>
      </c>
      <c r="J1111" t="s">
        <v>47</v>
      </c>
      <c r="K1111">
        <v>0</v>
      </c>
      <c r="L1111" t="s">
        <v>47</v>
      </c>
      <c r="M1111">
        <v>0</v>
      </c>
      <c r="N1111" t="s">
        <v>47</v>
      </c>
      <c r="O1111">
        <v>0</v>
      </c>
      <c r="P1111" t="s">
        <v>47</v>
      </c>
      <c r="Q1111">
        <v>1</v>
      </c>
      <c r="R1111" t="s">
        <v>45</v>
      </c>
      <c r="S1111">
        <v>0</v>
      </c>
      <c r="T1111" t="s">
        <v>47</v>
      </c>
    </row>
    <row r="1112" spans="1:20" x14ac:dyDescent="0.35">
      <c r="A1112" s="1" t="s">
        <v>2351</v>
      </c>
      <c r="B1112" t="s">
        <v>14</v>
      </c>
      <c r="C1112" t="s">
        <v>47</v>
      </c>
      <c r="D1112" t="s">
        <v>1682</v>
      </c>
      <c r="E1112">
        <v>0</v>
      </c>
      <c r="F1112" t="s">
        <v>47</v>
      </c>
      <c r="G1112">
        <v>1</v>
      </c>
      <c r="H1112" t="s">
        <v>45</v>
      </c>
      <c r="I1112">
        <v>0</v>
      </c>
      <c r="J1112" t="s">
        <v>47</v>
      </c>
      <c r="K1112">
        <v>0</v>
      </c>
      <c r="L1112" t="s">
        <v>47</v>
      </c>
      <c r="M1112">
        <v>0</v>
      </c>
      <c r="N1112" t="s">
        <v>47</v>
      </c>
      <c r="O1112">
        <v>0</v>
      </c>
      <c r="P1112" t="s">
        <v>47</v>
      </c>
      <c r="Q1112">
        <v>0</v>
      </c>
      <c r="R1112" t="s">
        <v>47</v>
      </c>
      <c r="S1112">
        <v>0</v>
      </c>
      <c r="T1112" t="s">
        <v>47</v>
      </c>
    </row>
    <row r="1113" spans="1:20" x14ac:dyDescent="0.35">
      <c r="A1113" s="1" t="s">
        <v>2352</v>
      </c>
      <c r="B1113" t="s">
        <v>14</v>
      </c>
      <c r="C1113" t="s">
        <v>47</v>
      </c>
      <c r="D1113" t="s">
        <v>1683</v>
      </c>
      <c r="E1113">
        <v>1</v>
      </c>
      <c r="F1113" t="s">
        <v>45</v>
      </c>
      <c r="G1113">
        <v>1</v>
      </c>
      <c r="H1113" t="s">
        <v>45</v>
      </c>
      <c r="I1113">
        <v>0</v>
      </c>
      <c r="J1113" t="s">
        <v>47</v>
      </c>
      <c r="K1113">
        <v>0</v>
      </c>
      <c r="L1113" t="s">
        <v>47</v>
      </c>
      <c r="M1113">
        <v>0</v>
      </c>
      <c r="N1113" t="s">
        <v>47</v>
      </c>
      <c r="O1113">
        <v>0</v>
      </c>
      <c r="P1113" t="s">
        <v>47</v>
      </c>
      <c r="Q1113">
        <v>0</v>
      </c>
      <c r="R1113" t="s">
        <v>47</v>
      </c>
      <c r="S1113">
        <v>0</v>
      </c>
      <c r="T1113" t="s">
        <v>47</v>
      </c>
    </row>
    <row r="1114" spans="1:20" x14ac:dyDescent="0.35">
      <c r="A1114" s="1" t="s">
        <v>2353</v>
      </c>
      <c r="B1114" t="s">
        <v>14</v>
      </c>
      <c r="C1114" t="s">
        <v>47</v>
      </c>
      <c r="D1114" t="s">
        <v>1684</v>
      </c>
      <c r="E1114">
        <v>1</v>
      </c>
      <c r="F1114" t="s">
        <v>45</v>
      </c>
      <c r="G1114">
        <v>1</v>
      </c>
      <c r="H1114" t="s">
        <v>45</v>
      </c>
      <c r="I1114">
        <v>0</v>
      </c>
      <c r="J1114" t="s">
        <v>47</v>
      </c>
      <c r="K1114">
        <v>0</v>
      </c>
      <c r="L1114" t="s">
        <v>47</v>
      </c>
      <c r="M1114">
        <v>0</v>
      </c>
      <c r="N1114" t="s">
        <v>47</v>
      </c>
      <c r="O1114">
        <v>0</v>
      </c>
      <c r="P1114" t="s">
        <v>47</v>
      </c>
      <c r="Q1114">
        <v>0</v>
      </c>
      <c r="R1114" t="s">
        <v>47</v>
      </c>
      <c r="S1114">
        <v>0</v>
      </c>
      <c r="T1114" t="s">
        <v>47</v>
      </c>
    </row>
    <row r="1115" spans="1:20" x14ac:dyDescent="0.35">
      <c r="A1115" s="1" t="s">
        <v>2354</v>
      </c>
      <c r="B1115" t="s">
        <v>14</v>
      </c>
      <c r="C1115" t="s">
        <v>47</v>
      </c>
      <c r="D1115" t="s">
        <v>1685</v>
      </c>
      <c r="E1115">
        <v>0</v>
      </c>
      <c r="F1115" t="s">
        <v>47</v>
      </c>
      <c r="G1115">
        <v>1</v>
      </c>
      <c r="H1115" t="s">
        <v>45</v>
      </c>
      <c r="I1115">
        <v>0</v>
      </c>
      <c r="J1115" t="s">
        <v>47</v>
      </c>
      <c r="K1115">
        <v>0</v>
      </c>
      <c r="L1115" t="s">
        <v>47</v>
      </c>
      <c r="M1115">
        <v>0</v>
      </c>
      <c r="N1115" t="s">
        <v>47</v>
      </c>
      <c r="O1115">
        <v>0</v>
      </c>
      <c r="P1115" t="s">
        <v>47</v>
      </c>
      <c r="Q1115">
        <v>0</v>
      </c>
      <c r="R1115" t="s">
        <v>47</v>
      </c>
      <c r="S1115">
        <v>0</v>
      </c>
      <c r="T1115" t="s">
        <v>47</v>
      </c>
    </row>
    <row r="1116" spans="1:20" x14ac:dyDescent="0.35">
      <c r="A1116" s="1" t="s">
        <v>2355</v>
      </c>
      <c r="B1116" t="s">
        <v>14</v>
      </c>
      <c r="C1116" t="s">
        <v>47</v>
      </c>
      <c r="D1116" t="s">
        <v>1686</v>
      </c>
      <c r="E1116">
        <v>1</v>
      </c>
      <c r="F1116" t="s">
        <v>45</v>
      </c>
      <c r="G1116">
        <v>0</v>
      </c>
      <c r="H1116" t="s">
        <v>47</v>
      </c>
      <c r="I1116">
        <v>0</v>
      </c>
      <c r="J1116" t="s">
        <v>47</v>
      </c>
      <c r="K1116">
        <v>0</v>
      </c>
      <c r="L1116" t="s">
        <v>47</v>
      </c>
      <c r="M1116">
        <v>0</v>
      </c>
      <c r="N1116" t="s">
        <v>47</v>
      </c>
      <c r="O1116">
        <v>0</v>
      </c>
      <c r="P1116" t="s">
        <v>47</v>
      </c>
      <c r="Q1116">
        <v>0</v>
      </c>
      <c r="R1116" t="s">
        <v>47</v>
      </c>
      <c r="S1116">
        <v>0</v>
      </c>
      <c r="T1116" t="s">
        <v>47</v>
      </c>
    </row>
    <row r="1117" spans="1:20" x14ac:dyDescent="0.35">
      <c r="A1117" s="1" t="s">
        <v>2356</v>
      </c>
      <c r="B1117" t="s">
        <v>14</v>
      </c>
      <c r="C1117" t="s">
        <v>47</v>
      </c>
      <c r="D1117" t="s">
        <v>1687</v>
      </c>
      <c r="E1117">
        <v>0</v>
      </c>
      <c r="F1117" t="s">
        <v>47</v>
      </c>
      <c r="G1117">
        <v>1</v>
      </c>
      <c r="H1117" t="s">
        <v>45</v>
      </c>
      <c r="I1117">
        <v>0</v>
      </c>
      <c r="J1117" t="s">
        <v>47</v>
      </c>
      <c r="K1117">
        <v>0</v>
      </c>
      <c r="L1117" t="s">
        <v>47</v>
      </c>
      <c r="M1117">
        <v>0</v>
      </c>
      <c r="N1117" t="s">
        <v>47</v>
      </c>
      <c r="O1117">
        <v>0</v>
      </c>
      <c r="P1117" t="s">
        <v>47</v>
      </c>
      <c r="Q1117">
        <v>0</v>
      </c>
      <c r="R1117" t="s">
        <v>47</v>
      </c>
      <c r="S1117">
        <v>0</v>
      </c>
      <c r="T1117" t="s">
        <v>47</v>
      </c>
    </row>
    <row r="1118" spans="1:20" x14ac:dyDescent="0.35">
      <c r="A1118" s="1" t="s">
        <v>2357</v>
      </c>
      <c r="B1118" t="s">
        <v>14</v>
      </c>
      <c r="C1118" t="s">
        <v>47</v>
      </c>
      <c r="D1118" t="s">
        <v>1688</v>
      </c>
      <c r="E1118">
        <v>0</v>
      </c>
      <c r="F1118" t="s">
        <v>47</v>
      </c>
      <c r="G1118">
        <v>1</v>
      </c>
      <c r="H1118" t="s">
        <v>45</v>
      </c>
      <c r="I1118">
        <v>0</v>
      </c>
      <c r="J1118" t="s">
        <v>47</v>
      </c>
      <c r="K1118">
        <v>0</v>
      </c>
      <c r="L1118" t="s">
        <v>47</v>
      </c>
      <c r="M1118">
        <v>0</v>
      </c>
      <c r="N1118" t="s">
        <v>47</v>
      </c>
      <c r="O1118">
        <v>0</v>
      </c>
      <c r="P1118" t="s">
        <v>47</v>
      </c>
      <c r="Q1118">
        <v>0</v>
      </c>
      <c r="R1118" t="s">
        <v>47</v>
      </c>
      <c r="S1118">
        <v>0</v>
      </c>
      <c r="T1118" t="s">
        <v>47</v>
      </c>
    </row>
    <row r="1119" spans="1:20" x14ac:dyDescent="0.35">
      <c r="A1119" s="1" t="s">
        <v>2358</v>
      </c>
      <c r="B1119" t="s">
        <v>14</v>
      </c>
      <c r="C1119" t="s">
        <v>47</v>
      </c>
      <c r="D1119" t="s">
        <v>1689</v>
      </c>
      <c r="E1119">
        <v>0</v>
      </c>
      <c r="F1119" t="s">
        <v>47</v>
      </c>
      <c r="G1119">
        <v>1</v>
      </c>
      <c r="H1119" t="s">
        <v>45</v>
      </c>
      <c r="I1119">
        <v>0</v>
      </c>
      <c r="J1119" t="s">
        <v>47</v>
      </c>
      <c r="K1119">
        <v>0</v>
      </c>
      <c r="L1119" t="s">
        <v>47</v>
      </c>
      <c r="M1119">
        <v>0</v>
      </c>
      <c r="N1119" t="s">
        <v>47</v>
      </c>
      <c r="O1119">
        <v>0</v>
      </c>
      <c r="P1119" t="s">
        <v>47</v>
      </c>
      <c r="Q1119">
        <v>0</v>
      </c>
      <c r="R1119" t="s">
        <v>47</v>
      </c>
      <c r="S1119">
        <v>0</v>
      </c>
      <c r="T1119" t="s">
        <v>47</v>
      </c>
    </row>
    <row r="1120" spans="1:20" x14ac:dyDescent="0.35">
      <c r="A1120" s="1" t="s">
        <v>2359</v>
      </c>
      <c r="B1120" t="s">
        <v>14</v>
      </c>
      <c r="C1120" t="s">
        <v>47</v>
      </c>
      <c r="D1120" t="s">
        <v>1690</v>
      </c>
      <c r="E1120">
        <v>1</v>
      </c>
      <c r="F1120" t="s">
        <v>45</v>
      </c>
      <c r="G1120">
        <v>1</v>
      </c>
      <c r="H1120" t="s">
        <v>45</v>
      </c>
      <c r="I1120">
        <v>0</v>
      </c>
      <c r="J1120" t="s">
        <v>47</v>
      </c>
      <c r="K1120">
        <v>0</v>
      </c>
      <c r="L1120" t="s">
        <v>47</v>
      </c>
      <c r="M1120">
        <v>0</v>
      </c>
      <c r="N1120" t="s">
        <v>47</v>
      </c>
      <c r="O1120">
        <v>0</v>
      </c>
      <c r="P1120" t="s">
        <v>47</v>
      </c>
      <c r="Q1120">
        <v>0</v>
      </c>
      <c r="R1120" t="s">
        <v>47</v>
      </c>
      <c r="S1120">
        <v>0</v>
      </c>
      <c r="T1120" t="s">
        <v>47</v>
      </c>
    </row>
    <row r="1121" spans="1:20" x14ac:dyDescent="0.35">
      <c r="A1121" s="1" t="s">
        <v>2360</v>
      </c>
      <c r="B1121" t="s">
        <v>14</v>
      </c>
      <c r="C1121" t="s">
        <v>47</v>
      </c>
      <c r="D1121" t="s">
        <v>1691</v>
      </c>
      <c r="E1121">
        <v>0</v>
      </c>
      <c r="F1121" t="s">
        <v>47</v>
      </c>
      <c r="G1121">
        <v>1</v>
      </c>
      <c r="H1121" t="s">
        <v>45</v>
      </c>
      <c r="I1121">
        <v>0</v>
      </c>
      <c r="J1121" t="s">
        <v>47</v>
      </c>
      <c r="K1121">
        <v>0</v>
      </c>
      <c r="L1121" t="s">
        <v>47</v>
      </c>
      <c r="M1121">
        <v>0</v>
      </c>
      <c r="N1121" t="s">
        <v>47</v>
      </c>
      <c r="O1121">
        <v>0</v>
      </c>
      <c r="P1121" t="s">
        <v>47</v>
      </c>
      <c r="Q1121">
        <v>0</v>
      </c>
      <c r="R1121" t="s">
        <v>47</v>
      </c>
      <c r="S1121">
        <v>0</v>
      </c>
      <c r="T1121" t="s">
        <v>47</v>
      </c>
    </row>
    <row r="1122" spans="1:20" x14ac:dyDescent="0.35">
      <c r="A1122" s="1" t="s">
        <v>2361</v>
      </c>
      <c r="B1122" t="s">
        <v>14</v>
      </c>
      <c r="C1122" t="s">
        <v>47</v>
      </c>
      <c r="D1122" t="s">
        <v>1692</v>
      </c>
      <c r="E1122">
        <v>0</v>
      </c>
      <c r="F1122" t="s">
        <v>47</v>
      </c>
      <c r="G1122">
        <v>1</v>
      </c>
      <c r="H1122" t="s">
        <v>45</v>
      </c>
      <c r="I1122">
        <v>0</v>
      </c>
      <c r="J1122" t="s">
        <v>47</v>
      </c>
      <c r="K1122">
        <v>0</v>
      </c>
      <c r="L1122" t="s">
        <v>47</v>
      </c>
      <c r="M1122">
        <v>0</v>
      </c>
      <c r="N1122" t="s">
        <v>47</v>
      </c>
      <c r="O1122">
        <v>0</v>
      </c>
      <c r="P1122" t="s">
        <v>47</v>
      </c>
      <c r="Q1122">
        <v>0</v>
      </c>
      <c r="R1122" t="s">
        <v>47</v>
      </c>
      <c r="S1122">
        <v>0</v>
      </c>
      <c r="T1122" t="s">
        <v>47</v>
      </c>
    </row>
    <row r="1123" spans="1:20" x14ac:dyDescent="0.35">
      <c r="A1123" s="1" t="s">
        <v>2362</v>
      </c>
      <c r="B1123" t="s">
        <v>14</v>
      </c>
      <c r="C1123" t="s">
        <v>47</v>
      </c>
      <c r="D1123" t="s">
        <v>1693</v>
      </c>
      <c r="E1123">
        <v>1</v>
      </c>
      <c r="F1123" t="s">
        <v>45</v>
      </c>
      <c r="G1123">
        <v>1</v>
      </c>
      <c r="H1123" t="s">
        <v>45</v>
      </c>
      <c r="I1123">
        <v>0</v>
      </c>
      <c r="J1123" t="s">
        <v>47</v>
      </c>
      <c r="K1123">
        <v>0</v>
      </c>
      <c r="L1123" t="s">
        <v>47</v>
      </c>
      <c r="M1123">
        <v>0</v>
      </c>
      <c r="N1123" t="s">
        <v>47</v>
      </c>
      <c r="O1123">
        <v>0</v>
      </c>
      <c r="P1123" t="s">
        <v>47</v>
      </c>
      <c r="Q1123">
        <v>0</v>
      </c>
      <c r="R1123" t="s">
        <v>47</v>
      </c>
      <c r="S1123">
        <v>0</v>
      </c>
      <c r="T1123" t="s">
        <v>47</v>
      </c>
    </row>
    <row r="1124" spans="1:20" x14ac:dyDescent="0.35">
      <c r="A1124" s="1" t="s">
        <v>2363</v>
      </c>
      <c r="B1124" t="s">
        <v>14</v>
      </c>
      <c r="C1124" t="s">
        <v>47</v>
      </c>
      <c r="D1124" t="s">
        <v>1694</v>
      </c>
      <c r="E1124">
        <v>0</v>
      </c>
      <c r="F1124" t="s">
        <v>47</v>
      </c>
      <c r="G1124">
        <v>1</v>
      </c>
      <c r="H1124" t="s">
        <v>45</v>
      </c>
      <c r="I1124">
        <v>0</v>
      </c>
      <c r="J1124" t="s">
        <v>47</v>
      </c>
      <c r="K1124">
        <v>0</v>
      </c>
      <c r="L1124" t="s">
        <v>47</v>
      </c>
      <c r="M1124">
        <v>0</v>
      </c>
      <c r="N1124" t="s">
        <v>47</v>
      </c>
      <c r="O1124">
        <v>0</v>
      </c>
      <c r="P1124" t="s">
        <v>47</v>
      </c>
      <c r="Q1124">
        <v>0</v>
      </c>
      <c r="R1124" t="s">
        <v>47</v>
      </c>
      <c r="S1124">
        <v>0</v>
      </c>
      <c r="T1124" t="s">
        <v>47</v>
      </c>
    </row>
    <row r="1125" spans="1:20" x14ac:dyDescent="0.35">
      <c r="A1125" s="1" t="s">
        <v>2364</v>
      </c>
      <c r="B1125" t="s">
        <v>14</v>
      </c>
      <c r="C1125" t="s">
        <v>47</v>
      </c>
      <c r="D1125" t="s">
        <v>1695</v>
      </c>
      <c r="E1125">
        <v>1</v>
      </c>
      <c r="F1125" t="s">
        <v>45</v>
      </c>
      <c r="G1125">
        <v>1</v>
      </c>
      <c r="H1125" t="s">
        <v>45</v>
      </c>
      <c r="I1125">
        <v>0</v>
      </c>
      <c r="J1125" t="s">
        <v>47</v>
      </c>
      <c r="K1125">
        <v>0</v>
      </c>
      <c r="L1125" t="s">
        <v>47</v>
      </c>
      <c r="M1125">
        <v>0</v>
      </c>
      <c r="N1125" t="s">
        <v>47</v>
      </c>
      <c r="O1125">
        <v>0</v>
      </c>
      <c r="P1125" t="s">
        <v>47</v>
      </c>
      <c r="Q1125">
        <v>0</v>
      </c>
      <c r="R1125" t="s">
        <v>47</v>
      </c>
      <c r="S1125">
        <v>0</v>
      </c>
      <c r="T1125" t="s">
        <v>47</v>
      </c>
    </row>
    <row r="1126" spans="1:20" x14ac:dyDescent="0.35">
      <c r="A1126" s="1" t="s">
        <v>2365</v>
      </c>
      <c r="B1126" t="s">
        <v>14</v>
      </c>
      <c r="C1126" t="s">
        <v>47</v>
      </c>
      <c r="D1126" t="s">
        <v>1696</v>
      </c>
      <c r="E1126">
        <v>0</v>
      </c>
      <c r="F1126" t="s">
        <v>47</v>
      </c>
      <c r="G1126">
        <v>1</v>
      </c>
      <c r="H1126" t="s">
        <v>45</v>
      </c>
      <c r="I1126">
        <v>0</v>
      </c>
      <c r="J1126" t="s">
        <v>47</v>
      </c>
      <c r="K1126">
        <v>0</v>
      </c>
      <c r="L1126" t="s">
        <v>47</v>
      </c>
      <c r="M1126">
        <v>0</v>
      </c>
      <c r="N1126" t="s">
        <v>47</v>
      </c>
      <c r="O1126">
        <v>0</v>
      </c>
      <c r="P1126" t="s">
        <v>47</v>
      </c>
      <c r="Q1126">
        <v>0</v>
      </c>
      <c r="R1126" t="s">
        <v>47</v>
      </c>
      <c r="S1126">
        <v>0</v>
      </c>
      <c r="T1126" t="s">
        <v>47</v>
      </c>
    </row>
    <row r="1127" spans="1:20" x14ac:dyDescent="0.35">
      <c r="A1127" s="1" t="s">
        <v>2366</v>
      </c>
      <c r="B1127" t="s">
        <v>14</v>
      </c>
      <c r="C1127" t="s">
        <v>47</v>
      </c>
      <c r="D1127" t="s">
        <v>1697</v>
      </c>
      <c r="E1127">
        <v>0</v>
      </c>
      <c r="F1127" t="s">
        <v>47</v>
      </c>
      <c r="G1127">
        <v>1</v>
      </c>
      <c r="H1127" t="s">
        <v>45</v>
      </c>
      <c r="I1127">
        <v>0</v>
      </c>
      <c r="J1127" t="s">
        <v>47</v>
      </c>
      <c r="K1127">
        <v>0</v>
      </c>
      <c r="L1127" t="s">
        <v>47</v>
      </c>
      <c r="M1127">
        <v>0</v>
      </c>
      <c r="N1127" t="s">
        <v>47</v>
      </c>
      <c r="O1127">
        <v>0</v>
      </c>
      <c r="P1127" t="s">
        <v>47</v>
      </c>
      <c r="Q1127">
        <v>0</v>
      </c>
      <c r="R1127" t="s">
        <v>47</v>
      </c>
      <c r="S1127">
        <v>0</v>
      </c>
      <c r="T1127" t="s">
        <v>47</v>
      </c>
    </row>
    <row r="1128" spans="1:20" x14ac:dyDescent="0.35">
      <c r="A1128" s="1" t="s">
        <v>2367</v>
      </c>
      <c r="B1128" t="s">
        <v>14</v>
      </c>
      <c r="C1128" t="s">
        <v>47</v>
      </c>
      <c r="D1128" t="s">
        <v>1698</v>
      </c>
      <c r="E1128">
        <v>1</v>
      </c>
      <c r="F1128" t="s">
        <v>45</v>
      </c>
      <c r="G1128">
        <v>1</v>
      </c>
      <c r="H1128" t="s">
        <v>45</v>
      </c>
      <c r="I1128">
        <v>0</v>
      </c>
      <c r="J1128" t="s">
        <v>47</v>
      </c>
      <c r="K1128">
        <v>0</v>
      </c>
      <c r="L1128" t="s">
        <v>47</v>
      </c>
      <c r="M1128">
        <v>0</v>
      </c>
      <c r="N1128" t="s">
        <v>47</v>
      </c>
      <c r="O1128">
        <v>0</v>
      </c>
      <c r="P1128" t="s">
        <v>47</v>
      </c>
      <c r="Q1128">
        <v>0</v>
      </c>
      <c r="R1128" t="s">
        <v>47</v>
      </c>
      <c r="S1128">
        <v>0</v>
      </c>
      <c r="T1128" t="s">
        <v>47</v>
      </c>
    </row>
    <row r="1129" spans="1:20" x14ac:dyDescent="0.35">
      <c r="A1129" s="1" t="s">
        <v>2368</v>
      </c>
      <c r="B1129" t="s">
        <v>14</v>
      </c>
      <c r="C1129" t="s">
        <v>47</v>
      </c>
      <c r="D1129" t="s">
        <v>1699</v>
      </c>
      <c r="E1129">
        <v>0</v>
      </c>
      <c r="F1129" t="s">
        <v>47</v>
      </c>
      <c r="G1129">
        <v>1</v>
      </c>
      <c r="H1129" t="s">
        <v>45</v>
      </c>
      <c r="I1129">
        <v>0</v>
      </c>
      <c r="J1129" t="s">
        <v>47</v>
      </c>
      <c r="K1129">
        <v>0</v>
      </c>
      <c r="L1129" t="s">
        <v>47</v>
      </c>
      <c r="M1129">
        <v>0</v>
      </c>
      <c r="N1129" t="s">
        <v>47</v>
      </c>
      <c r="O1129">
        <v>0</v>
      </c>
      <c r="P1129" t="s">
        <v>47</v>
      </c>
      <c r="Q1129">
        <v>0</v>
      </c>
      <c r="R1129" t="s">
        <v>47</v>
      </c>
      <c r="S1129">
        <v>0</v>
      </c>
      <c r="T1129" t="s">
        <v>47</v>
      </c>
    </row>
    <row r="1130" spans="1:20" x14ac:dyDescent="0.35">
      <c r="A1130" s="1" t="s">
        <v>2369</v>
      </c>
      <c r="B1130" t="s">
        <v>14</v>
      </c>
      <c r="C1130" t="s">
        <v>47</v>
      </c>
      <c r="D1130" t="s">
        <v>1700</v>
      </c>
      <c r="E1130">
        <v>0</v>
      </c>
      <c r="F1130" t="s">
        <v>47</v>
      </c>
      <c r="G1130">
        <v>1</v>
      </c>
      <c r="H1130" t="s">
        <v>45</v>
      </c>
      <c r="I1130">
        <v>0</v>
      </c>
      <c r="J1130" t="s">
        <v>47</v>
      </c>
      <c r="K1130">
        <v>0</v>
      </c>
      <c r="L1130" t="s">
        <v>47</v>
      </c>
      <c r="M1130">
        <v>0</v>
      </c>
      <c r="N1130" t="s">
        <v>47</v>
      </c>
      <c r="O1130">
        <v>0</v>
      </c>
      <c r="P1130" t="s">
        <v>47</v>
      </c>
      <c r="Q1130">
        <v>0</v>
      </c>
      <c r="R1130" t="s">
        <v>47</v>
      </c>
      <c r="S1130">
        <v>0</v>
      </c>
      <c r="T1130" t="s">
        <v>47</v>
      </c>
    </row>
    <row r="1131" spans="1:20" x14ac:dyDescent="0.35">
      <c r="A1131" s="1" t="s">
        <v>2370</v>
      </c>
      <c r="B1131" t="s">
        <v>14</v>
      </c>
      <c r="C1131" t="s">
        <v>47</v>
      </c>
      <c r="D1131" t="s">
        <v>1701</v>
      </c>
      <c r="E1131">
        <v>1</v>
      </c>
      <c r="F1131" t="s">
        <v>45</v>
      </c>
      <c r="G1131">
        <v>1</v>
      </c>
      <c r="H1131" t="s">
        <v>45</v>
      </c>
      <c r="I1131">
        <v>0</v>
      </c>
      <c r="J1131" t="s">
        <v>47</v>
      </c>
      <c r="K1131">
        <v>0</v>
      </c>
      <c r="L1131" t="s">
        <v>47</v>
      </c>
      <c r="M1131">
        <v>0</v>
      </c>
      <c r="N1131" t="s">
        <v>47</v>
      </c>
      <c r="O1131">
        <v>0</v>
      </c>
      <c r="P1131" t="s">
        <v>47</v>
      </c>
      <c r="Q1131">
        <v>0</v>
      </c>
      <c r="R1131" t="s">
        <v>47</v>
      </c>
      <c r="S1131">
        <v>0</v>
      </c>
      <c r="T1131" t="s">
        <v>47</v>
      </c>
    </row>
    <row r="1132" spans="1:20" x14ac:dyDescent="0.35">
      <c r="A1132" s="1" t="s">
        <v>2371</v>
      </c>
      <c r="B1132" t="s">
        <v>14</v>
      </c>
      <c r="C1132" t="s">
        <v>47</v>
      </c>
      <c r="D1132" t="s">
        <v>1702</v>
      </c>
      <c r="E1132">
        <v>0</v>
      </c>
      <c r="F1132" t="s">
        <v>47</v>
      </c>
      <c r="G1132">
        <v>1</v>
      </c>
      <c r="H1132" t="s">
        <v>45</v>
      </c>
      <c r="I1132">
        <v>0</v>
      </c>
      <c r="J1132" t="s">
        <v>47</v>
      </c>
      <c r="K1132">
        <v>0</v>
      </c>
      <c r="L1132" t="s">
        <v>47</v>
      </c>
      <c r="M1132">
        <v>0</v>
      </c>
      <c r="N1132" t="s">
        <v>47</v>
      </c>
      <c r="O1132">
        <v>0</v>
      </c>
      <c r="P1132" t="s">
        <v>47</v>
      </c>
      <c r="Q1132">
        <v>0</v>
      </c>
      <c r="R1132" t="s">
        <v>47</v>
      </c>
      <c r="S1132">
        <v>0</v>
      </c>
      <c r="T1132" t="s">
        <v>47</v>
      </c>
    </row>
    <row r="1133" spans="1:20" x14ac:dyDescent="0.35">
      <c r="A1133" s="1" t="s">
        <v>2372</v>
      </c>
      <c r="B1133" t="s">
        <v>14</v>
      </c>
      <c r="C1133" t="s">
        <v>47</v>
      </c>
      <c r="D1133" t="s">
        <v>1703</v>
      </c>
      <c r="E1133">
        <v>1</v>
      </c>
      <c r="F1133" t="s">
        <v>45</v>
      </c>
      <c r="G1133">
        <v>1</v>
      </c>
      <c r="H1133" t="s">
        <v>45</v>
      </c>
      <c r="I1133">
        <v>0</v>
      </c>
      <c r="J1133" t="s">
        <v>47</v>
      </c>
      <c r="K1133">
        <v>0</v>
      </c>
      <c r="L1133" t="s">
        <v>47</v>
      </c>
      <c r="M1133">
        <v>0</v>
      </c>
      <c r="N1133" t="s">
        <v>47</v>
      </c>
      <c r="O1133">
        <v>1</v>
      </c>
      <c r="P1133" t="s">
        <v>45</v>
      </c>
      <c r="Q1133">
        <v>0</v>
      </c>
      <c r="R1133" t="s">
        <v>47</v>
      </c>
      <c r="S1133">
        <v>0</v>
      </c>
      <c r="T1133" t="s">
        <v>47</v>
      </c>
    </row>
    <row r="1134" spans="1:20" x14ac:dyDescent="0.35">
      <c r="A1134" s="1" t="s">
        <v>2373</v>
      </c>
      <c r="B1134" t="s">
        <v>14</v>
      </c>
      <c r="C1134" t="s">
        <v>47</v>
      </c>
      <c r="D1134" t="s">
        <v>1704</v>
      </c>
      <c r="E1134">
        <v>1</v>
      </c>
      <c r="F1134" t="s">
        <v>45</v>
      </c>
      <c r="G1134">
        <v>1</v>
      </c>
      <c r="H1134" t="s">
        <v>45</v>
      </c>
      <c r="I1134">
        <v>0</v>
      </c>
      <c r="J1134" t="s">
        <v>47</v>
      </c>
      <c r="K1134">
        <v>0</v>
      </c>
      <c r="L1134" t="s">
        <v>47</v>
      </c>
      <c r="M1134">
        <v>0</v>
      </c>
      <c r="N1134" t="s">
        <v>47</v>
      </c>
      <c r="O1134">
        <v>1</v>
      </c>
      <c r="P1134" t="s">
        <v>45</v>
      </c>
      <c r="Q1134">
        <v>0</v>
      </c>
      <c r="R1134" t="s">
        <v>47</v>
      </c>
      <c r="S1134">
        <v>0</v>
      </c>
      <c r="T1134" t="s">
        <v>47</v>
      </c>
    </row>
    <row r="1135" spans="1:20" x14ac:dyDescent="0.35">
      <c r="A1135" s="1" t="s">
        <v>2374</v>
      </c>
      <c r="B1135" t="s">
        <v>12</v>
      </c>
      <c r="C1135" t="s">
        <v>47</v>
      </c>
      <c r="D1135" t="s">
        <v>1705</v>
      </c>
      <c r="E1135">
        <v>1</v>
      </c>
      <c r="F1135" t="s">
        <v>48</v>
      </c>
      <c r="G1135">
        <v>1</v>
      </c>
      <c r="H1135" t="s">
        <v>48</v>
      </c>
      <c r="I1135">
        <v>0</v>
      </c>
      <c r="J1135" t="s">
        <v>47</v>
      </c>
      <c r="K1135">
        <v>0</v>
      </c>
      <c r="L1135" t="s">
        <v>47</v>
      </c>
      <c r="M1135">
        <v>0</v>
      </c>
      <c r="N1135" t="s">
        <v>47</v>
      </c>
      <c r="O1135">
        <v>0</v>
      </c>
      <c r="P1135" t="s">
        <v>47</v>
      </c>
      <c r="Q1135">
        <v>0</v>
      </c>
      <c r="R1135" t="s">
        <v>47</v>
      </c>
      <c r="S1135">
        <v>0</v>
      </c>
      <c r="T1135" t="s">
        <v>47</v>
      </c>
    </row>
    <row r="1136" spans="1:20" x14ac:dyDescent="0.35">
      <c r="A1136" s="1" t="s">
        <v>2375</v>
      </c>
      <c r="B1136" t="s">
        <v>12</v>
      </c>
      <c r="C1136" t="s">
        <v>47</v>
      </c>
      <c r="D1136" t="s">
        <v>1706</v>
      </c>
      <c r="E1136">
        <v>1</v>
      </c>
      <c r="F1136" t="s">
        <v>48</v>
      </c>
      <c r="G1136">
        <v>1</v>
      </c>
      <c r="H1136" t="s">
        <v>48</v>
      </c>
      <c r="I1136">
        <v>0</v>
      </c>
      <c r="J1136" t="s">
        <v>47</v>
      </c>
      <c r="K1136">
        <v>0</v>
      </c>
      <c r="L1136" t="s">
        <v>47</v>
      </c>
      <c r="M1136">
        <v>0</v>
      </c>
      <c r="N1136" t="s">
        <v>47</v>
      </c>
      <c r="O1136">
        <v>0</v>
      </c>
      <c r="P1136" t="s">
        <v>47</v>
      </c>
      <c r="Q1136">
        <v>0</v>
      </c>
      <c r="R1136" t="s">
        <v>47</v>
      </c>
      <c r="S1136">
        <v>0</v>
      </c>
      <c r="T1136" t="s">
        <v>47</v>
      </c>
    </row>
    <row r="1137" spans="1:20" x14ac:dyDescent="0.35">
      <c r="A1137" s="1" t="s">
        <v>2376</v>
      </c>
      <c r="B1137" t="s">
        <v>12</v>
      </c>
      <c r="C1137" t="s">
        <v>47</v>
      </c>
      <c r="D1137" t="s">
        <v>1707</v>
      </c>
      <c r="E1137">
        <v>0</v>
      </c>
      <c r="F1137" t="s">
        <v>47</v>
      </c>
      <c r="G1137">
        <v>1</v>
      </c>
      <c r="H1137" t="s">
        <v>48</v>
      </c>
      <c r="I1137">
        <v>0</v>
      </c>
      <c r="J1137" t="s">
        <v>47</v>
      </c>
      <c r="K1137">
        <v>0</v>
      </c>
      <c r="L1137" t="s">
        <v>47</v>
      </c>
      <c r="M1137">
        <v>1</v>
      </c>
      <c r="N1137" t="s">
        <v>48</v>
      </c>
      <c r="O1137">
        <v>0</v>
      </c>
      <c r="P1137" t="s">
        <v>47</v>
      </c>
      <c r="Q1137">
        <v>1</v>
      </c>
      <c r="R1137" t="s">
        <v>55</v>
      </c>
      <c r="S1137">
        <v>0</v>
      </c>
      <c r="T1137" t="s">
        <v>47</v>
      </c>
    </row>
    <row r="1138" spans="1:20" x14ac:dyDescent="0.35">
      <c r="A1138" s="1" t="s">
        <v>2377</v>
      </c>
      <c r="B1138" t="s">
        <v>12</v>
      </c>
      <c r="C1138" t="s">
        <v>47</v>
      </c>
      <c r="D1138" t="s">
        <v>1708</v>
      </c>
      <c r="E1138">
        <v>1</v>
      </c>
      <c r="F1138" t="s">
        <v>48</v>
      </c>
      <c r="G1138">
        <v>0</v>
      </c>
      <c r="H1138" t="s">
        <v>47</v>
      </c>
      <c r="I1138">
        <v>0</v>
      </c>
      <c r="J1138" t="s">
        <v>47</v>
      </c>
      <c r="K1138">
        <v>0</v>
      </c>
      <c r="L1138" t="s">
        <v>47</v>
      </c>
      <c r="M1138">
        <v>1</v>
      </c>
      <c r="N1138" t="s">
        <v>48</v>
      </c>
      <c r="O1138">
        <v>0</v>
      </c>
      <c r="P1138" t="s">
        <v>47</v>
      </c>
      <c r="Q1138">
        <v>0</v>
      </c>
      <c r="R1138" t="s">
        <v>47</v>
      </c>
      <c r="S1138">
        <v>0</v>
      </c>
      <c r="T1138" t="s">
        <v>47</v>
      </c>
    </row>
    <row r="1139" spans="1:20" x14ac:dyDescent="0.35">
      <c r="A1139" s="1" t="s">
        <v>2378</v>
      </c>
      <c r="B1139" t="s">
        <v>12</v>
      </c>
      <c r="C1139" t="s">
        <v>47</v>
      </c>
      <c r="D1139" t="s">
        <v>1709</v>
      </c>
      <c r="E1139">
        <v>1</v>
      </c>
      <c r="F1139" t="s">
        <v>45</v>
      </c>
      <c r="G1139">
        <v>1</v>
      </c>
      <c r="H1139" t="s">
        <v>48</v>
      </c>
      <c r="I1139">
        <v>1</v>
      </c>
      <c r="J1139" t="s">
        <v>48</v>
      </c>
      <c r="K1139">
        <v>0</v>
      </c>
      <c r="L1139" t="s">
        <v>47</v>
      </c>
      <c r="M1139">
        <v>0</v>
      </c>
      <c r="N1139" t="s">
        <v>47</v>
      </c>
      <c r="O1139">
        <v>1</v>
      </c>
      <c r="P1139" t="s">
        <v>48</v>
      </c>
      <c r="Q1139">
        <v>0</v>
      </c>
      <c r="R1139" t="s">
        <v>47</v>
      </c>
      <c r="S1139">
        <v>0</v>
      </c>
      <c r="T1139" t="s">
        <v>47</v>
      </c>
    </row>
    <row r="1140" spans="1:20" x14ac:dyDescent="0.35">
      <c r="A1140" s="1" t="s">
        <v>2379</v>
      </c>
      <c r="B1140" t="s">
        <v>12</v>
      </c>
      <c r="C1140" t="s">
        <v>47</v>
      </c>
      <c r="D1140" t="s">
        <v>1710</v>
      </c>
      <c r="E1140">
        <v>0</v>
      </c>
      <c r="F1140" t="s">
        <v>47</v>
      </c>
      <c r="G1140">
        <v>1</v>
      </c>
      <c r="H1140" t="s">
        <v>48</v>
      </c>
      <c r="I1140">
        <v>1</v>
      </c>
      <c r="J1140" t="s">
        <v>48</v>
      </c>
      <c r="K1140">
        <v>0</v>
      </c>
      <c r="L1140" t="s">
        <v>47</v>
      </c>
      <c r="M1140">
        <v>1</v>
      </c>
      <c r="N1140" t="s">
        <v>48</v>
      </c>
      <c r="O1140">
        <v>0</v>
      </c>
      <c r="P1140" t="s">
        <v>47</v>
      </c>
      <c r="Q1140">
        <v>0</v>
      </c>
      <c r="R1140" t="s">
        <v>47</v>
      </c>
      <c r="S1140">
        <v>0</v>
      </c>
      <c r="T1140" t="s">
        <v>47</v>
      </c>
    </row>
    <row r="1141" spans="1:20" x14ac:dyDescent="0.35">
      <c r="A1141" s="1" t="s">
        <v>2380</v>
      </c>
      <c r="B1141" t="s">
        <v>12</v>
      </c>
      <c r="C1141" t="s">
        <v>47</v>
      </c>
      <c r="D1141" t="s">
        <v>1711</v>
      </c>
      <c r="E1141">
        <v>1</v>
      </c>
      <c r="F1141" t="s">
        <v>48</v>
      </c>
      <c r="G1141">
        <v>0</v>
      </c>
      <c r="H1141" t="s">
        <v>47</v>
      </c>
      <c r="I1141">
        <v>0</v>
      </c>
      <c r="J1141" t="s">
        <v>47</v>
      </c>
      <c r="K1141">
        <v>0</v>
      </c>
      <c r="L1141" t="s">
        <v>47</v>
      </c>
      <c r="M1141">
        <v>0</v>
      </c>
      <c r="N1141" t="s">
        <v>47</v>
      </c>
      <c r="O1141">
        <v>0</v>
      </c>
      <c r="P1141" t="s">
        <v>47</v>
      </c>
      <c r="Q1141">
        <v>0</v>
      </c>
      <c r="R1141" t="s">
        <v>47</v>
      </c>
      <c r="S1141">
        <v>0</v>
      </c>
      <c r="T1141" t="s">
        <v>47</v>
      </c>
    </row>
    <row r="1142" spans="1:20" x14ac:dyDescent="0.35">
      <c r="A1142" s="1" t="s">
        <v>2381</v>
      </c>
      <c r="B1142" t="s">
        <v>12</v>
      </c>
      <c r="C1142" t="s">
        <v>47</v>
      </c>
      <c r="D1142" t="s">
        <v>1712</v>
      </c>
      <c r="E1142">
        <v>1</v>
      </c>
      <c r="F1142" t="s">
        <v>55</v>
      </c>
      <c r="G1142">
        <v>1</v>
      </c>
      <c r="H1142" t="s">
        <v>48</v>
      </c>
      <c r="I1142">
        <v>1</v>
      </c>
      <c r="J1142" t="s">
        <v>48</v>
      </c>
      <c r="K1142">
        <v>0</v>
      </c>
      <c r="L1142" t="s">
        <v>47</v>
      </c>
      <c r="M1142">
        <v>0</v>
      </c>
      <c r="N1142" t="s">
        <v>47</v>
      </c>
      <c r="O1142">
        <v>1</v>
      </c>
      <c r="P1142" t="s">
        <v>48</v>
      </c>
      <c r="Q1142">
        <v>1</v>
      </c>
      <c r="R1142" t="s">
        <v>45</v>
      </c>
      <c r="S1142">
        <v>1</v>
      </c>
      <c r="T1142" t="s">
        <v>45</v>
      </c>
    </row>
    <row r="1143" spans="1:20" x14ac:dyDescent="0.35">
      <c r="A1143" s="1" t="s">
        <v>2382</v>
      </c>
      <c r="B1143" t="s">
        <v>12</v>
      </c>
      <c r="C1143" t="s">
        <v>47</v>
      </c>
      <c r="D1143" t="s">
        <v>1713</v>
      </c>
      <c r="E1143">
        <v>0</v>
      </c>
      <c r="F1143" t="s">
        <v>47</v>
      </c>
      <c r="G1143">
        <v>0</v>
      </c>
      <c r="H1143" t="s">
        <v>47</v>
      </c>
      <c r="I1143">
        <v>0</v>
      </c>
      <c r="J1143" t="s">
        <v>47</v>
      </c>
      <c r="K1143">
        <v>0</v>
      </c>
      <c r="L1143" t="s">
        <v>47</v>
      </c>
      <c r="M1143">
        <v>0</v>
      </c>
      <c r="N1143" t="s">
        <v>47</v>
      </c>
      <c r="O1143">
        <v>1</v>
      </c>
      <c r="P1143" t="s">
        <v>48</v>
      </c>
      <c r="Q1143">
        <v>1</v>
      </c>
      <c r="R1143" t="s">
        <v>48</v>
      </c>
      <c r="S1143">
        <v>0</v>
      </c>
      <c r="T1143" t="s">
        <v>47</v>
      </c>
    </row>
    <row r="1144" spans="1:20" x14ac:dyDescent="0.35">
      <c r="A1144" s="1" t="s">
        <v>2383</v>
      </c>
      <c r="B1144" t="s">
        <v>12</v>
      </c>
      <c r="C1144" t="s">
        <v>47</v>
      </c>
      <c r="D1144" t="s">
        <v>1714</v>
      </c>
      <c r="E1144">
        <v>0</v>
      </c>
      <c r="F1144" t="s">
        <v>47</v>
      </c>
      <c r="G1144">
        <v>1</v>
      </c>
      <c r="H1144" t="s">
        <v>48</v>
      </c>
      <c r="I1144">
        <v>0</v>
      </c>
      <c r="J1144" t="s">
        <v>47</v>
      </c>
      <c r="K1144">
        <v>0</v>
      </c>
      <c r="L1144" t="s">
        <v>47</v>
      </c>
      <c r="M1144">
        <v>0</v>
      </c>
      <c r="N1144" t="s">
        <v>47</v>
      </c>
      <c r="O1144">
        <v>0</v>
      </c>
      <c r="P1144" t="s">
        <v>47</v>
      </c>
      <c r="Q1144">
        <v>0</v>
      </c>
      <c r="R1144" t="s">
        <v>47</v>
      </c>
      <c r="S1144">
        <v>0</v>
      </c>
      <c r="T1144" t="s">
        <v>47</v>
      </c>
    </row>
    <row r="1145" spans="1:20" x14ac:dyDescent="0.35">
      <c r="A1145" s="1" t="s">
        <v>2384</v>
      </c>
      <c r="B1145" t="s">
        <v>12</v>
      </c>
      <c r="C1145" t="s">
        <v>47</v>
      </c>
      <c r="D1145" t="s">
        <v>1715</v>
      </c>
      <c r="E1145">
        <v>0</v>
      </c>
      <c r="F1145" t="s">
        <v>47</v>
      </c>
      <c r="G1145">
        <v>1</v>
      </c>
      <c r="H1145" t="s">
        <v>48</v>
      </c>
      <c r="I1145">
        <v>0</v>
      </c>
      <c r="J1145" t="s">
        <v>47</v>
      </c>
      <c r="K1145">
        <v>0</v>
      </c>
      <c r="L1145" t="s">
        <v>47</v>
      </c>
      <c r="M1145">
        <v>0</v>
      </c>
      <c r="N1145" t="s">
        <v>47</v>
      </c>
      <c r="O1145">
        <v>0</v>
      </c>
      <c r="P1145" t="s">
        <v>47</v>
      </c>
      <c r="Q1145">
        <v>1</v>
      </c>
      <c r="R1145" t="s">
        <v>48</v>
      </c>
      <c r="S1145">
        <v>0</v>
      </c>
      <c r="T1145" t="s">
        <v>47</v>
      </c>
    </row>
    <row r="1146" spans="1:20" x14ac:dyDescent="0.35">
      <c r="A1146" s="1" t="s">
        <v>2385</v>
      </c>
      <c r="B1146" t="s">
        <v>12</v>
      </c>
      <c r="C1146" t="s">
        <v>47</v>
      </c>
      <c r="D1146" t="s">
        <v>1716</v>
      </c>
      <c r="E1146">
        <v>0</v>
      </c>
      <c r="F1146" t="s">
        <v>47</v>
      </c>
      <c r="G1146">
        <v>0</v>
      </c>
      <c r="H1146" t="s">
        <v>47</v>
      </c>
      <c r="I1146">
        <v>0</v>
      </c>
      <c r="J1146" t="s">
        <v>47</v>
      </c>
      <c r="K1146">
        <v>0</v>
      </c>
      <c r="L1146" t="s">
        <v>47</v>
      </c>
      <c r="M1146">
        <v>1</v>
      </c>
      <c r="N1146" t="s">
        <v>48</v>
      </c>
      <c r="O1146">
        <v>0</v>
      </c>
      <c r="P1146" t="s">
        <v>47</v>
      </c>
      <c r="Q1146">
        <v>1</v>
      </c>
      <c r="R1146" t="s">
        <v>48</v>
      </c>
      <c r="S1146">
        <v>0</v>
      </c>
      <c r="T1146" t="s">
        <v>47</v>
      </c>
    </row>
    <row r="1147" spans="1:20" x14ac:dyDescent="0.35">
      <c r="A1147" s="1" t="s">
        <v>2386</v>
      </c>
      <c r="B1147" t="s">
        <v>12</v>
      </c>
      <c r="C1147" t="s">
        <v>47</v>
      </c>
      <c r="D1147" t="s">
        <v>1717</v>
      </c>
      <c r="E1147">
        <v>1</v>
      </c>
      <c r="F1147" t="s">
        <v>48</v>
      </c>
      <c r="G1147">
        <v>1</v>
      </c>
      <c r="H1147" t="s">
        <v>48</v>
      </c>
      <c r="I1147">
        <v>0</v>
      </c>
      <c r="J1147" t="s">
        <v>47</v>
      </c>
      <c r="K1147">
        <v>1</v>
      </c>
      <c r="L1147" t="s">
        <v>48</v>
      </c>
      <c r="M1147">
        <v>1</v>
      </c>
      <c r="N1147" t="s">
        <v>48</v>
      </c>
      <c r="O1147">
        <v>1</v>
      </c>
      <c r="P1147" t="s">
        <v>48</v>
      </c>
      <c r="Q1147">
        <v>0</v>
      </c>
      <c r="R1147" t="s">
        <v>47</v>
      </c>
      <c r="S1147">
        <v>0</v>
      </c>
      <c r="T1147" t="s">
        <v>47</v>
      </c>
    </row>
    <row r="1148" spans="1:20" x14ac:dyDescent="0.35">
      <c r="A1148" s="1" t="s">
        <v>2387</v>
      </c>
      <c r="B1148" t="s">
        <v>12</v>
      </c>
      <c r="C1148" t="s">
        <v>47</v>
      </c>
      <c r="D1148" t="s">
        <v>1718</v>
      </c>
      <c r="E1148">
        <v>1</v>
      </c>
      <c r="F1148" t="s">
        <v>48</v>
      </c>
      <c r="G1148">
        <v>0</v>
      </c>
      <c r="H1148" t="s">
        <v>47</v>
      </c>
      <c r="I1148">
        <v>1</v>
      </c>
      <c r="J1148" t="s">
        <v>48</v>
      </c>
      <c r="K1148">
        <v>0</v>
      </c>
      <c r="L1148" t="s">
        <v>47</v>
      </c>
      <c r="M1148">
        <v>0</v>
      </c>
      <c r="N1148" t="s">
        <v>47</v>
      </c>
      <c r="O1148">
        <v>0</v>
      </c>
      <c r="P1148" t="s">
        <v>47</v>
      </c>
      <c r="Q1148">
        <v>0</v>
      </c>
      <c r="R1148" t="s">
        <v>47</v>
      </c>
      <c r="S1148">
        <v>0</v>
      </c>
      <c r="T1148" t="s">
        <v>47</v>
      </c>
    </row>
    <row r="1149" spans="1:20" x14ac:dyDescent="0.35">
      <c r="A1149" s="1" t="s">
        <v>2388</v>
      </c>
      <c r="B1149" t="s">
        <v>12</v>
      </c>
      <c r="C1149" t="s">
        <v>47</v>
      </c>
      <c r="D1149" t="s">
        <v>1719</v>
      </c>
      <c r="E1149">
        <v>1</v>
      </c>
      <c r="F1149" t="s">
        <v>45</v>
      </c>
      <c r="G1149">
        <v>1</v>
      </c>
      <c r="H1149" t="s">
        <v>48</v>
      </c>
      <c r="I1149">
        <v>0</v>
      </c>
      <c r="J1149" t="s">
        <v>47</v>
      </c>
      <c r="K1149">
        <v>0</v>
      </c>
      <c r="L1149" t="s">
        <v>47</v>
      </c>
      <c r="M1149">
        <v>0</v>
      </c>
      <c r="N1149" t="s">
        <v>47</v>
      </c>
      <c r="O1149">
        <v>1</v>
      </c>
      <c r="P1149" t="s">
        <v>48</v>
      </c>
      <c r="Q1149">
        <v>0</v>
      </c>
      <c r="R1149" t="s">
        <v>47</v>
      </c>
      <c r="S1149">
        <v>0</v>
      </c>
      <c r="T1149" t="s">
        <v>47</v>
      </c>
    </row>
    <row r="1150" spans="1:20" x14ac:dyDescent="0.35">
      <c r="A1150" s="1" t="s">
        <v>2389</v>
      </c>
      <c r="B1150" t="s">
        <v>12</v>
      </c>
      <c r="C1150" t="s">
        <v>47</v>
      </c>
      <c r="D1150" t="s">
        <v>1720</v>
      </c>
      <c r="E1150">
        <v>1</v>
      </c>
      <c r="F1150" t="s">
        <v>45</v>
      </c>
      <c r="G1150">
        <v>1</v>
      </c>
      <c r="H1150" t="s">
        <v>48</v>
      </c>
      <c r="I1150">
        <v>0</v>
      </c>
      <c r="J1150" t="s">
        <v>47</v>
      </c>
      <c r="K1150">
        <v>0</v>
      </c>
      <c r="L1150" t="s">
        <v>47</v>
      </c>
      <c r="M1150">
        <v>0</v>
      </c>
      <c r="N1150" t="s">
        <v>47</v>
      </c>
      <c r="O1150">
        <v>1</v>
      </c>
      <c r="P1150" t="s">
        <v>48</v>
      </c>
      <c r="Q1150">
        <v>1</v>
      </c>
      <c r="R1150" t="s">
        <v>55</v>
      </c>
      <c r="S1150">
        <v>0</v>
      </c>
      <c r="T1150" t="s">
        <v>47</v>
      </c>
    </row>
    <row r="1151" spans="1:20" x14ac:dyDescent="0.35">
      <c r="A1151" s="1" t="s">
        <v>2390</v>
      </c>
      <c r="B1151" t="s">
        <v>12</v>
      </c>
      <c r="C1151" t="s">
        <v>47</v>
      </c>
      <c r="D1151" t="s">
        <v>1721</v>
      </c>
      <c r="E1151">
        <v>1</v>
      </c>
      <c r="F1151" t="s">
        <v>48</v>
      </c>
      <c r="G1151">
        <v>0</v>
      </c>
      <c r="H1151" t="s">
        <v>47</v>
      </c>
      <c r="I1151">
        <v>0</v>
      </c>
      <c r="J1151" t="s">
        <v>47</v>
      </c>
      <c r="K1151">
        <v>0</v>
      </c>
      <c r="L1151" t="s">
        <v>47</v>
      </c>
      <c r="M1151">
        <v>1</v>
      </c>
      <c r="N1151" t="s">
        <v>48</v>
      </c>
      <c r="O1151">
        <v>0</v>
      </c>
      <c r="P1151" t="s">
        <v>47</v>
      </c>
      <c r="Q1151">
        <v>1</v>
      </c>
      <c r="R1151" t="s">
        <v>45</v>
      </c>
      <c r="S1151">
        <v>1</v>
      </c>
      <c r="T1151" t="s">
        <v>45</v>
      </c>
    </row>
    <row r="1152" spans="1:20" x14ac:dyDescent="0.35">
      <c r="A1152" s="1" t="s">
        <v>2391</v>
      </c>
      <c r="B1152" t="s">
        <v>12</v>
      </c>
      <c r="C1152" t="s">
        <v>47</v>
      </c>
      <c r="D1152" t="s">
        <v>1722</v>
      </c>
      <c r="E1152">
        <v>1</v>
      </c>
      <c r="F1152" t="s">
        <v>48</v>
      </c>
      <c r="G1152">
        <v>0</v>
      </c>
      <c r="H1152" t="s">
        <v>47</v>
      </c>
      <c r="I1152">
        <v>0</v>
      </c>
      <c r="J1152" t="s">
        <v>47</v>
      </c>
      <c r="K1152">
        <v>0</v>
      </c>
      <c r="L1152" t="s">
        <v>47</v>
      </c>
      <c r="M1152">
        <v>1</v>
      </c>
      <c r="N1152" t="s">
        <v>48</v>
      </c>
      <c r="O1152">
        <v>0</v>
      </c>
      <c r="P1152" t="s">
        <v>47</v>
      </c>
      <c r="Q1152">
        <v>1</v>
      </c>
      <c r="R1152" t="s">
        <v>45</v>
      </c>
      <c r="S1152">
        <v>0</v>
      </c>
      <c r="T1152" t="s">
        <v>47</v>
      </c>
    </row>
    <row r="1153" spans="1:20" x14ac:dyDescent="0.35">
      <c r="A1153" s="1" t="s">
        <v>2392</v>
      </c>
      <c r="B1153" t="s">
        <v>12</v>
      </c>
      <c r="C1153" t="s">
        <v>47</v>
      </c>
      <c r="D1153" t="s">
        <v>1723</v>
      </c>
      <c r="E1153">
        <v>1</v>
      </c>
      <c r="F1153" t="s">
        <v>48</v>
      </c>
      <c r="G1153">
        <v>1</v>
      </c>
      <c r="H1153" t="s">
        <v>55</v>
      </c>
      <c r="I1153">
        <v>0</v>
      </c>
      <c r="J1153" t="s">
        <v>47</v>
      </c>
      <c r="K1153">
        <v>0</v>
      </c>
      <c r="L1153" t="s">
        <v>47</v>
      </c>
      <c r="M1153">
        <v>0</v>
      </c>
      <c r="N1153" t="s">
        <v>47</v>
      </c>
      <c r="O1153">
        <v>1</v>
      </c>
      <c r="P1153" t="s">
        <v>48</v>
      </c>
      <c r="Q1153">
        <v>1</v>
      </c>
      <c r="R1153" t="s">
        <v>55</v>
      </c>
      <c r="S1153">
        <v>0</v>
      </c>
      <c r="T1153" t="s">
        <v>47</v>
      </c>
    </row>
    <row r="1154" spans="1:20" x14ac:dyDescent="0.35">
      <c r="A1154" s="1" t="s">
        <v>2393</v>
      </c>
      <c r="B1154" t="s">
        <v>12</v>
      </c>
      <c r="C1154" t="s">
        <v>47</v>
      </c>
      <c r="D1154" t="s">
        <v>1724</v>
      </c>
      <c r="E1154">
        <v>1</v>
      </c>
      <c r="F1154" t="s">
        <v>48</v>
      </c>
      <c r="G1154">
        <v>1</v>
      </c>
      <c r="H1154" t="s">
        <v>45</v>
      </c>
      <c r="I1154">
        <v>0</v>
      </c>
      <c r="J1154" t="s">
        <v>47</v>
      </c>
      <c r="K1154">
        <v>0</v>
      </c>
      <c r="L1154" t="s">
        <v>47</v>
      </c>
      <c r="M1154">
        <v>0</v>
      </c>
      <c r="N1154" t="s">
        <v>47</v>
      </c>
      <c r="O1154">
        <v>0</v>
      </c>
      <c r="P1154" t="s">
        <v>47</v>
      </c>
      <c r="Q1154">
        <v>1</v>
      </c>
      <c r="R1154" t="s">
        <v>45</v>
      </c>
      <c r="S1154">
        <v>0</v>
      </c>
      <c r="T1154" t="s">
        <v>47</v>
      </c>
    </row>
    <row r="1155" spans="1:20" x14ac:dyDescent="0.35">
      <c r="A1155" s="1" t="s">
        <v>2394</v>
      </c>
      <c r="B1155" t="s">
        <v>12</v>
      </c>
      <c r="C1155" t="s">
        <v>47</v>
      </c>
      <c r="D1155" t="s">
        <v>1725</v>
      </c>
      <c r="E1155">
        <v>1</v>
      </c>
      <c r="F1155" t="s">
        <v>45</v>
      </c>
      <c r="G1155">
        <v>1</v>
      </c>
      <c r="H1155" t="s">
        <v>48</v>
      </c>
      <c r="I1155">
        <v>0</v>
      </c>
      <c r="J1155" t="s">
        <v>47</v>
      </c>
      <c r="K1155">
        <v>0</v>
      </c>
      <c r="L1155" t="s">
        <v>47</v>
      </c>
      <c r="M1155">
        <v>1</v>
      </c>
      <c r="N1155" t="s">
        <v>45</v>
      </c>
      <c r="O1155">
        <v>0</v>
      </c>
      <c r="P1155" t="s">
        <v>47</v>
      </c>
      <c r="Q1155">
        <v>1</v>
      </c>
      <c r="R1155" t="s">
        <v>55</v>
      </c>
      <c r="S1155">
        <v>0</v>
      </c>
      <c r="T1155" t="s">
        <v>47</v>
      </c>
    </row>
    <row r="1156" spans="1:20" x14ac:dyDescent="0.35">
      <c r="A1156" s="1" t="s">
        <v>2395</v>
      </c>
      <c r="B1156" t="s">
        <v>12</v>
      </c>
      <c r="C1156" t="s">
        <v>47</v>
      </c>
      <c r="D1156" t="s">
        <v>1726</v>
      </c>
      <c r="E1156">
        <v>1</v>
      </c>
      <c r="F1156" t="s">
        <v>55</v>
      </c>
      <c r="G1156">
        <v>1</v>
      </c>
      <c r="H1156" t="s">
        <v>48</v>
      </c>
      <c r="I1156">
        <v>0</v>
      </c>
      <c r="J1156" t="s">
        <v>47</v>
      </c>
      <c r="K1156">
        <v>0</v>
      </c>
      <c r="L1156" t="s">
        <v>47</v>
      </c>
      <c r="M1156">
        <v>0</v>
      </c>
      <c r="N1156" t="s">
        <v>47</v>
      </c>
      <c r="O1156">
        <v>1</v>
      </c>
      <c r="P1156" t="s">
        <v>45</v>
      </c>
      <c r="Q1156">
        <v>1</v>
      </c>
      <c r="R1156" t="s">
        <v>48</v>
      </c>
      <c r="S1156">
        <v>1</v>
      </c>
      <c r="T1156" t="s">
        <v>48</v>
      </c>
    </row>
    <row r="1157" spans="1:20" x14ac:dyDescent="0.35">
      <c r="A1157" s="1" t="s">
        <v>2396</v>
      </c>
      <c r="B1157" t="s">
        <v>12</v>
      </c>
      <c r="C1157" t="s">
        <v>47</v>
      </c>
      <c r="D1157" t="s">
        <v>1727</v>
      </c>
      <c r="E1157">
        <v>1</v>
      </c>
      <c r="F1157" t="s">
        <v>45</v>
      </c>
      <c r="G1157">
        <v>0</v>
      </c>
      <c r="H1157" t="s">
        <v>47</v>
      </c>
      <c r="I1157">
        <v>0</v>
      </c>
      <c r="J1157" t="s">
        <v>47</v>
      </c>
      <c r="K1157">
        <v>0</v>
      </c>
      <c r="L1157" t="s">
        <v>47</v>
      </c>
      <c r="M1157">
        <v>1</v>
      </c>
      <c r="N1157" t="s">
        <v>48</v>
      </c>
      <c r="O1157">
        <v>0</v>
      </c>
      <c r="P1157" t="s">
        <v>47</v>
      </c>
      <c r="Q1157">
        <v>0</v>
      </c>
      <c r="R1157" t="s">
        <v>47</v>
      </c>
      <c r="S1157">
        <v>0</v>
      </c>
      <c r="T1157" t="s">
        <v>47</v>
      </c>
    </row>
    <row r="1158" spans="1:20" x14ac:dyDescent="0.35">
      <c r="A1158" s="1" t="s">
        <v>2397</v>
      </c>
      <c r="B1158" t="s">
        <v>12</v>
      </c>
      <c r="C1158" t="s">
        <v>47</v>
      </c>
      <c r="D1158" t="s">
        <v>1728</v>
      </c>
      <c r="E1158">
        <v>0</v>
      </c>
      <c r="F1158" t="s">
        <v>47</v>
      </c>
      <c r="G1158">
        <v>1</v>
      </c>
      <c r="H1158" t="s">
        <v>48</v>
      </c>
      <c r="I1158">
        <v>0</v>
      </c>
      <c r="J1158" t="s">
        <v>47</v>
      </c>
      <c r="K1158">
        <v>0</v>
      </c>
      <c r="L1158" t="s">
        <v>47</v>
      </c>
      <c r="M1158">
        <v>0</v>
      </c>
      <c r="N1158" t="s">
        <v>47</v>
      </c>
      <c r="O1158">
        <v>0</v>
      </c>
      <c r="P1158" t="s">
        <v>47</v>
      </c>
      <c r="Q1158">
        <v>0</v>
      </c>
      <c r="R1158" t="s">
        <v>47</v>
      </c>
      <c r="S1158">
        <v>0</v>
      </c>
      <c r="T1158" t="s">
        <v>47</v>
      </c>
    </row>
    <row r="1159" spans="1:20" x14ac:dyDescent="0.35">
      <c r="A1159" s="1" t="s">
        <v>2398</v>
      </c>
      <c r="B1159" t="s">
        <v>12</v>
      </c>
      <c r="C1159" t="s">
        <v>47</v>
      </c>
      <c r="D1159" t="s">
        <v>1729</v>
      </c>
      <c r="E1159">
        <v>1</v>
      </c>
      <c r="F1159" t="s">
        <v>48</v>
      </c>
      <c r="G1159">
        <v>0</v>
      </c>
      <c r="H1159" t="s">
        <v>47</v>
      </c>
      <c r="I1159">
        <v>0</v>
      </c>
      <c r="J1159" t="s">
        <v>47</v>
      </c>
      <c r="K1159">
        <v>0</v>
      </c>
      <c r="L1159" t="s">
        <v>47</v>
      </c>
      <c r="M1159">
        <v>1</v>
      </c>
      <c r="N1159" t="s">
        <v>48</v>
      </c>
      <c r="O1159">
        <v>0</v>
      </c>
      <c r="P1159" t="s">
        <v>47</v>
      </c>
      <c r="Q1159">
        <v>0</v>
      </c>
      <c r="R1159" t="s">
        <v>47</v>
      </c>
      <c r="S1159">
        <v>0</v>
      </c>
      <c r="T1159" t="s">
        <v>47</v>
      </c>
    </row>
    <row r="1160" spans="1:20" x14ac:dyDescent="0.35">
      <c r="A1160" s="1" t="s">
        <v>2399</v>
      </c>
      <c r="B1160" t="s">
        <v>12</v>
      </c>
      <c r="C1160" t="s">
        <v>47</v>
      </c>
      <c r="D1160" t="s">
        <v>1730</v>
      </c>
      <c r="E1160">
        <v>0</v>
      </c>
      <c r="F1160" t="s">
        <v>47</v>
      </c>
      <c r="G1160">
        <v>0</v>
      </c>
      <c r="H1160" t="s">
        <v>47</v>
      </c>
      <c r="I1160">
        <v>0</v>
      </c>
      <c r="J1160" t="s">
        <v>47</v>
      </c>
      <c r="K1160">
        <v>0</v>
      </c>
      <c r="L1160" t="s">
        <v>47</v>
      </c>
      <c r="M1160">
        <v>1</v>
      </c>
      <c r="N1160" t="s">
        <v>48</v>
      </c>
      <c r="O1160">
        <v>0</v>
      </c>
      <c r="P1160" t="s">
        <v>47</v>
      </c>
      <c r="Q1160">
        <v>0</v>
      </c>
      <c r="R1160" t="s">
        <v>47</v>
      </c>
      <c r="S1160">
        <v>0</v>
      </c>
      <c r="T1160" t="s">
        <v>47</v>
      </c>
    </row>
    <row r="1161" spans="1:20" x14ac:dyDescent="0.35">
      <c r="A1161" s="1" t="s">
        <v>2400</v>
      </c>
      <c r="B1161" t="s">
        <v>12</v>
      </c>
      <c r="C1161" t="s">
        <v>47</v>
      </c>
      <c r="D1161" t="s">
        <v>1731</v>
      </c>
      <c r="E1161">
        <v>1</v>
      </c>
      <c r="F1161" t="s">
        <v>48</v>
      </c>
      <c r="G1161">
        <v>1</v>
      </c>
      <c r="H1161" t="s">
        <v>48</v>
      </c>
      <c r="I1161">
        <v>0</v>
      </c>
      <c r="J1161" t="s">
        <v>47</v>
      </c>
      <c r="K1161">
        <v>1</v>
      </c>
      <c r="L1161" t="s">
        <v>48</v>
      </c>
      <c r="M1161">
        <v>1</v>
      </c>
      <c r="N1161" t="s">
        <v>48</v>
      </c>
      <c r="O1161">
        <v>0</v>
      </c>
      <c r="P1161" t="s">
        <v>47</v>
      </c>
      <c r="Q1161">
        <v>0</v>
      </c>
      <c r="R1161" t="s">
        <v>47</v>
      </c>
      <c r="S1161">
        <v>0</v>
      </c>
      <c r="T1161" t="s">
        <v>47</v>
      </c>
    </row>
    <row r="1162" spans="1:20" x14ac:dyDescent="0.35">
      <c r="A1162" s="1" t="s">
        <v>2401</v>
      </c>
      <c r="B1162" t="s">
        <v>12</v>
      </c>
      <c r="C1162" t="s">
        <v>47</v>
      </c>
      <c r="D1162" t="s">
        <v>1732</v>
      </c>
      <c r="E1162">
        <v>0</v>
      </c>
      <c r="F1162" t="s">
        <v>47</v>
      </c>
      <c r="G1162">
        <v>0</v>
      </c>
      <c r="H1162" t="s">
        <v>47</v>
      </c>
      <c r="I1162">
        <v>0</v>
      </c>
      <c r="J1162" t="s">
        <v>47</v>
      </c>
      <c r="K1162">
        <v>1</v>
      </c>
      <c r="L1162" t="s">
        <v>48</v>
      </c>
      <c r="M1162">
        <v>1</v>
      </c>
      <c r="N1162" t="s">
        <v>48</v>
      </c>
      <c r="O1162">
        <v>0</v>
      </c>
      <c r="P1162" t="s">
        <v>47</v>
      </c>
      <c r="Q1162">
        <v>0</v>
      </c>
      <c r="R1162" t="s">
        <v>47</v>
      </c>
      <c r="S1162">
        <v>0</v>
      </c>
      <c r="T1162" t="s">
        <v>47</v>
      </c>
    </row>
    <row r="1163" spans="1:20" x14ac:dyDescent="0.35">
      <c r="A1163" s="1" t="s">
        <v>2402</v>
      </c>
      <c r="B1163" t="s">
        <v>12</v>
      </c>
      <c r="C1163" t="s">
        <v>47</v>
      </c>
      <c r="D1163" t="s">
        <v>1733</v>
      </c>
      <c r="E1163">
        <v>1</v>
      </c>
      <c r="F1163" t="s">
        <v>48</v>
      </c>
      <c r="G1163">
        <v>0</v>
      </c>
      <c r="H1163" t="s">
        <v>47</v>
      </c>
      <c r="I1163">
        <v>0</v>
      </c>
      <c r="J1163" t="s">
        <v>47</v>
      </c>
      <c r="K1163">
        <v>0</v>
      </c>
      <c r="L1163" t="s">
        <v>47</v>
      </c>
      <c r="M1163">
        <v>0</v>
      </c>
      <c r="N1163" t="s">
        <v>47</v>
      </c>
      <c r="O1163">
        <v>0</v>
      </c>
      <c r="P1163" t="s">
        <v>47</v>
      </c>
      <c r="Q1163">
        <v>0</v>
      </c>
      <c r="R1163" t="s">
        <v>47</v>
      </c>
      <c r="S1163">
        <v>0</v>
      </c>
      <c r="T1163" t="s">
        <v>47</v>
      </c>
    </row>
    <row r="1164" spans="1:20" x14ac:dyDescent="0.35">
      <c r="A1164" s="1" t="s">
        <v>2403</v>
      </c>
      <c r="B1164" t="s">
        <v>12</v>
      </c>
      <c r="C1164" t="s">
        <v>47</v>
      </c>
      <c r="D1164" t="s">
        <v>1734</v>
      </c>
      <c r="E1164">
        <v>1</v>
      </c>
      <c r="F1164" t="s">
        <v>48</v>
      </c>
      <c r="G1164">
        <v>0</v>
      </c>
      <c r="H1164" t="s">
        <v>47</v>
      </c>
      <c r="I1164">
        <v>0</v>
      </c>
      <c r="J1164" t="s">
        <v>47</v>
      </c>
      <c r="K1164">
        <v>0</v>
      </c>
      <c r="L1164" t="s">
        <v>47</v>
      </c>
      <c r="M1164">
        <v>0</v>
      </c>
      <c r="N1164" t="s">
        <v>47</v>
      </c>
      <c r="O1164">
        <v>0</v>
      </c>
      <c r="P1164" t="s">
        <v>47</v>
      </c>
      <c r="Q1164">
        <v>0</v>
      </c>
      <c r="R1164" t="s">
        <v>47</v>
      </c>
      <c r="S1164">
        <v>0</v>
      </c>
      <c r="T1164" t="s">
        <v>47</v>
      </c>
    </row>
    <row r="1165" spans="1:20" x14ac:dyDescent="0.35">
      <c r="A1165" s="1" t="s">
        <v>2404</v>
      </c>
      <c r="B1165" t="s">
        <v>12</v>
      </c>
      <c r="C1165" t="s">
        <v>47</v>
      </c>
      <c r="D1165" t="s">
        <v>1735</v>
      </c>
      <c r="E1165">
        <v>1</v>
      </c>
      <c r="F1165" t="s">
        <v>48</v>
      </c>
      <c r="G1165">
        <v>1</v>
      </c>
      <c r="H1165" t="s">
        <v>48</v>
      </c>
      <c r="I1165">
        <v>0</v>
      </c>
      <c r="J1165" t="s">
        <v>47</v>
      </c>
      <c r="K1165">
        <v>0</v>
      </c>
      <c r="L1165" t="s">
        <v>47</v>
      </c>
      <c r="M1165">
        <v>1</v>
      </c>
      <c r="N1165" t="s">
        <v>48</v>
      </c>
      <c r="O1165">
        <v>1</v>
      </c>
      <c r="P1165" t="s">
        <v>48</v>
      </c>
      <c r="Q1165">
        <v>0</v>
      </c>
      <c r="R1165" t="s">
        <v>47</v>
      </c>
      <c r="S1165">
        <v>0</v>
      </c>
      <c r="T1165" t="s">
        <v>47</v>
      </c>
    </row>
    <row r="1166" spans="1:20" x14ac:dyDescent="0.35">
      <c r="A1166" s="1" t="s">
        <v>2405</v>
      </c>
      <c r="B1166" t="s">
        <v>12</v>
      </c>
      <c r="C1166" t="s">
        <v>47</v>
      </c>
      <c r="D1166" t="s">
        <v>1736</v>
      </c>
      <c r="E1166">
        <v>0</v>
      </c>
      <c r="F1166" t="s">
        <v>47</v>
      </c>
      <c r="G1166">
        <v>1</v>
      </c>
      <c r="H1166" t="s">
        <v>48</v>
      </c>
      <c r="I1166">
        <v>1</v>
      </c>
      <c r="J1166" t="s">
        <v>48</v>
      </c>
      <c r="K1166">
        <v>0</v>
      </c>
      <c r="L1166" t="s">
        <v>47</v>
      </c>
      <c r="M1166">
        <v>0</v>
      </c>
      <c r="N1166" t="s">
        <v>47</v>
      </c>
      <c r="O1166">
        <v>1</v>
      </c>
      <c r="P1166" t="s">
        <v>48</v>
      </c>
      <c r="Q1166">
        <v>0</v>
      </c>
      <c r="R1166" t="s">
        <v>47</v>
      </c>
      <c r="S1166">
        <v>0</v>
      </c>
      <c r="T1166" t="s">
        <v>47</v>
      </c>
    </row>
    <row r="1167" spans="1:20" x14ac:dyDescent="0.35">
      <c r="A1167" s="1" t="s">
        <v>2406</v>
      </c>
      <c r="B1167" t="s">
        <v>12</v>
      </c>
      <c r="C1167" t="s">
        <v>47</v>
      </c>
      <c r="D1167" t="s">
        <v>1737</v>
      </c>
      <c r="E1167">
        <v>0</v>
      </c>
      <c r="F1167" t="s">
        <v>47</v>
      </c>
      <c r="G1167">
        <v>1</v>
      </c>
      <c r="H1167" t="s">
        <v>48</v>
      </c>
      <c r="I1167">
        <v>0</v>
      </c>
      <c r="J1167" t="s">
        <v>47</v>
      </c>
      <c r="K1167">
        <v>1</v>
      </c>
      <c r="L1167" t="s">
        <v>45</v>
      </c>
      <c r="M1167">
        <v>0</v>
      </c>
      <c r="N1167" t="s">
        <v>47</v>
      </c>
      <c r="O1167">
        <v>0</v>
      </c>
      <c r="P1167" t="s">
        <v>47</v>
      </c>
      <c r="Q1167">
        <v>1</v>
      </c>
      <c r="R1167" t="s">
        <v>48</v>
      </c>
      <c r="S1167">
        <v>1</v>
      </c>
      <c r="T1167" t="s">
        <v>45</v>
      </c>
    </row>
    <row r="1168" spans="1:20" x14ac:dyDescent="0.35">
      <c r="A1168" s="1" t="s">
        <v>2407</v>
      </c>
      <c r="B1168" t="s">
        <v>12</v>
      </c>
      <c r="C1168" t="s">
        <v>47</v>
      </c>
      <c r="D1168" t="s">
        <v>1738</v>
      </c>
      <c r="E1168">
        <v>1</v>
      </c>
      <c r="F1168" t="s">
        <v>45</v>
      </c>
      <c r="G1168">
        <v>0</v>
      </c>
      <c r="H1168" t="s">
        <v>47</v>
      </c>
      <c r="I1168">
        <v>0</v>
      </c>
      <c r="J1168" t="s">
        <v>47</v>
      </c>
      <c r="K1168">
        <v>0</v>
      </c>
      <c r="L1168" t="s">
        <v>47</v>
      </c>
      <c r="M1168">
        <v>0</v>
      </c>
      <c r="N1168" t="s">
        <v>47</v>
      </c>
      <c r="O1168">
        <v>1</v>
      </c>
      <c r="P1168" t="s">
        <v>48</v>
      </c>
      <c r="Q1168">
        <v>1</v>
      </c>
      <c r="R1168" t="s">
        <v>48</v>
      </c>
      <c r="S1168">
        <v>0</v>
      </c>
      <c r="T1168" t="s">
        <v>47</v>
      </c>
    </row>
    <row r="1169" spans="1:20" x14ac:dyDescent="0.35">
      <c r="A1169" s="1" t="s">
        <v>2408</v>
      </c>
      <c r="B1169" t="s">
        <v>12</v>
      </c>
      <c r="C1169" t="s">
        <v>47</v>
      </c>
      <c r="D1169" t="s">
        <v>1739</v>
      </c>
      <c r="E1169">
        <v>1</v>
      </c>
      <c r="F1169" t="s">
        <v>55</v>
      </c>
      <c r="G1169">
        <v>1</v>
      </c>
      <c r="H1169" t="s">
        <v>48</v>
      </c>
      <c r="I1169">
        <v>0</v>
      </c>
      <c r="J1169" t="s">
        <v>47</v>
      </c>
      <c r="K1169">
        <v>0</v>
      </c>
      <c r="L1169" t="s">
        <v>47</v>
      </c>
      <c r="M1169">
        <v>0</v>
      </c>
      <c r="N1169" t="s">
        <v>47</v>
      </c>
      <c r="O1169">
        <v>1</v>
      </c>
      <c r="P1169" t="s">
        <v>48</v>
      </c>
      <c r="Q1169">
        <v>0</v>
      </c>
      <c r="R1169" t="s">
        <v>47</v>
      </c>
      <c r="S1169">
        <v>0</v>
      </c>
      <c r="T1169" t="s">
        <v>47</v>
      </c>
    </row>
    <row r="1170" spans="1:20" x14ac:dyDescent="0.35">
      <c r="A1170" s="1" t="s">
        <v>2409</v>
      </c>
      <c r="B1170" t="s">
        <v>12</v>
      </c>
      <c r="C1170" t="s">
        <v>47</v>
      </c>
      <c r="D1170" t="s">
        <v>1740</v>
      </c>
      <c r="E1170">
        <v>1</v>
      </c>
      <c r="F1170" t="s">
        <v>48</v>
      </c>
      <c r="G1170">
        <v>1</v>
      </c>
      <c r="H1170" t="s">
        <v>48</v>
      </c>
      <c r="I1170">
        <v>0</v>
      </c>
      <c r="J1170" t="s">
        <v>47</v>
      </c>
      <c r="K1170">
        <v>0</v>
      </c>
      <c r="L1170" t="s">
        <v>47</v>
      </c>
      <c r="M1170">
        <v>0</v>
      </c>
      <c r="N1170" t="s">
        <v>47</v>
      </c>
      <c r="O1170">
        <v>0</v>
      </c>
      <c r="P1170" t="s">
        <v>47</v>
      </c>
      <c r="Q1170">
        <v>0</v>
      </c>
      <c r="R1170" t="s">
        <v>47</v>
      </c>
      <c r="S1170">
        <v>0</v>
      </c>
      <c r="T1170" t="s">
        <v>47</v>
      </c>
    </row>
    <row r="1171" spans="1:20" x14ac:dyDescent="0.35">
      <c r="A1171" s="1" t="s">
        <v>2410</v>
      </c>
      <c r="B1171" t="s">
        <v>12</v>
      </c>
      <c r="C1171" t="s">
        <v>47</v>
      </c>
      <c r="D1171" t="s">
        <v>1741</v>
      </c>
      <c r="E1171">
        <v>1</v>
      </c>
      <c r="F1171" t="s">
        <v>48</v>
      </c>
      <c r="G1171">
        <v>1</v>
      </c>
      <c r="H1171" t="s">
        <v>48</v>
      </c>
      <c r="I1171">
        <v>0</v>
      </c>
      <c r="J1171" t="s">
        <v>47</v>
      </c>
      <c r="K1171">
        <v>0</v>
      </c>
      <c r="L1171" t="s">
        <v>47</v>
      </c>
      <c r="M1171">
        <v>1</v>
      </c>
      <c r="N1171" t="s">
        <v>48</v>
      </c>
      <c r="O1171">
        <v>1</v>
      </c>
      <c r="P1171" t="s">
        <v>45</v>
      </c>
      <c r="Q1171">
        <v>1</v>
      </c>
      <c r="R1171" t="s">
        <v>45</v>
      </c>
      <c r="S1171">
        <v>0</v>
      </c>
      <c r="T1171" t="s">
        <v>47</v>
      </c>
    </row>
    <row r="1172" spans="1:20" x14ac:dyDescent="0.35">
      <c r="A1172" s="1" t="s">
        <v>2411</v>
      </c>
      <c r="B1172" t="s">
        <v>12</v>
      </c>
      <c r="C1172" t="s">
        <v>47</v>
      </c>
      <c r="D1172" t="s">
        <v>1742</v>
      </c>
      <c r="E1172">
        <v>1</v>
      </c>
      <c r="F1172" t="s">
        <v>48</v>
      </c>
      <c r="G1172">
        <v>1</v>
      </c>
      <c r="H1172" t="s">
        <v>48</v>
      </c>
      <c r="I1172">
        <v>0</v>
      </c>
      <c r="J1172" t="s">
        <v>47</v>
      </c>
      <c r="K1172">
        <v>0</v>
      </c>
      <c r="L1172" t="s">
        <v>47</v>
      </c>
      <c r="M1172">
        <v>1</v>
      </c>
      <c r="N1172" t="s">
        <v>48</v>
      </c>
      <c r="O1172">
        <v>1</v>
      </c>
      <c r="P1172" t="s">
        <v>48</v>
      </c>
      <c r="Q1172">
        <v>1</v>
      </c>
      <c r="R1172" t="s">
        <v>45</v>
      </c>
      <c r="S1172">
        <v>0</v>
      </c>
      <c r="T1172" t="s">
        <v>47</v>
      </c>
    </row>
    <row r="1173" spans="1:20" x14ac:dyDescent="0.35">
      <c r="A1173" s="1" t="s">
        <v>2412</v>
      </c>
      <c r="B1173" t="s">
        <v>12</v>
      </c>
      <c r="C1173" t="s">
        <v>47</v>
      </c>
      <c r="D1173" t="s">
        <v>1743</v>
      </c>
      <c r="E1173">
        <v>0</v>
      </c>
      <c r="F1173" t="s">
        <v>47</v>
      </c>
      <c r="G1173">
        <v>1</v>
      </c>
      <c r="H1173" t="s">
        <v>48</v>
      </c>
      <c r="I1173">
        <v>0</v>
      </c>
      <c r="J1173" t="s">
        <v>47</v>
      </c>
      <c r="K1173">
        <v>0</v>
      </c>
      <c r="L1173" t="s">
        <v>47</v>
      </c>
      <c r="M1173">
        <v>0</v>
      </c>
      <c r="N1173" t="s">
        <v>47</v>
      </c>
      <c r="O1173">
        <v>1</v>
      </c>
      <c r="P1173" t="s">
        <v>48</v>
      </c>
      <c r="Q1173">
        <v>0</v>
      </c>
      <c r="R1173" t="s">
        <v>47</v>
      </c>
      <c r="S1173">
        <v>0</v>
      </c>
      <c r="T1173" t="s">
        <v>47</v>
      </c>
    </row>
    <row r="1174" spans="1:20" x14ac:dyDescent="0.35">
      <c r="A1174" s="1" t="s">
        <v>2413</v>
      </c>
      <c r="B1174" t="s">
        <v>12</v>
      </c>
      <c r="C1174" t="s">
        <v>47</v>
      </c>
      <c r="D1174" t="s">
        <v>1744</v>
      </c>
      <c r="E1174">
        <v>0</v>
      </c>
      <c r="F1174" t="s">
        <v>47</v>
      </c>
      <c r="G1174">
        <v>1</v>
      </c>
      <c r="H1174" t="s">
        <v>55</v>
      </c>
      <c r="I1174">
        <v>0</v>
      </c>
      <c r="J1174" t="s">
        <v>47</v>
      </c>
      <c r="K1174">
        <v>0</v>
      </c>
      <c r="L1174" t="s">
        <v>47</v>
      </c>
      <c r="M1174">
        <v>0</v>
      </c>
      <c r="N1174" t="s">
        <v>47</v>
      </c>
      <c r="O1174">
        <v>0</v>
      </c>
      <c r="P1174" t="s">
        <v>47</v>
      </c>
      <c r="Q1174">
        <v>1</v>
      </c>
      <c r="R1174" t="s">
        <v>48</v>
      </c>
      <c r="S1174">
        <v>0</v>
      </c>
      <c r="T1174" t="s">
        <v>47</v>
      </c>
    </row>
    <row r="1175" spans="1:20" x14ac:dyDescent="0.35">
      <c r="A1175" s="1" t="s">
        <v>2414</v>
      </c>
      <c r="B1175" t="s">
        <v>12</v>
      </c>
      <c r="C1175" t="s">
        <v>47</v>
      </c>
      <c r="D1175" t="s">
        <v>1745</v>
      </c>
      <c r="E1175">
        <v>1</v>
      </c>
      <c r="F1175" t="s">
        <v>45</v>
      </c>
      <c r="G1175">
        <v>0</v>
      </c>
      <c r="H1175" t="s">
        <v>47</v>
      </c>
      <c r="I1175">
        <v>1</v>
      </c>
      <c r="J1175" t="s">
        <v>48</v>
      </c>
      <c r="K1175">
        <v>0</v>
      </c>
      <c r="L1175" t="s">
        <v>47</v>
      </c>
      <c r="M1175">
        <v>1</v>
      </c>
      <c r="N1175" t="s">
        <v>48</v>
      </c>
      <c r="O1175">
        <v>0</v>
      </c>
      <c r="P1175" t="s">
        <v>47</v>
      </c>
      <c r="Q1175">
        <v>0</v>
      </c>
      <c r="R1175" t="s">
        <v>47</v>
      </c>
      <c r="S1175">
        <v>0</v>
      </c>
      <c r="T1175" t="s">
        <v>47</v>
      </c>
    </row>
    <row r="1176" spans="1:20" x14ac:dyDescent="0.35">
      <c r="A1176" s="1" t="s">
        <v>2415</v>
      </c>
      <c r="B1176" t="s">
        <v>12</v>
      </c>
      <c r="C1176" t="s">
        <v>47</v>
      </c>
      <c r="D1176" t="s">
        <v>1746</v>
      </c>
      <c r="E1176">
        <v>1</v>
      </c>
      <c r="F1176" t="s">
        <v>48</v>
      </c>
      <c r="G1176">
        <v>1</v>
      </c>
      <c r="H1176" t="s">
        <v>48</v>
      </c>
      <c r="I1176">
        <v>0</v>
      </c>
      <c r="J1176" t="s">
        <v>47</v>
      </c>
      <c r="K1176">
        <v>0</v>
      </c>
      <c r="L1176" t="s">
        <v>47</v>
      </c>
      <c r="M1176">
        <v>1</v>
      </c>
      <c r="N1176" t="s">
        <v>48</v>
      </c>
      <c r="O1176">
        <v>0</v>
      </c>
      <c r="P1176" t="s">
        <v>47</v>
      </c>
      <c r="Q1176">
        <v>0</v>
      </c>
      <c r="R1176" t="s">
        <v>47</v>
      </c>
      <c r="S1176">
        <v>0</v>
      </c>
      <c r="T1176" t="s">
        <v>47</v>
      </c>
    </row>
    <row r="1177" spans="1:20" x14ac:dyDescent="0.35">
      <c r="A1177" s="1" t="s">
        <v>2416</v>
      </c>
      <c r="B1177" t="s">
        <v>12</v>
      </c>
      <c r="C1177" t="s">
        <v>47</v>
      </c>
      <c r="D1177" t="s">
        <v>1747</v>
      </c>
      <c r="E1177">
        <v>1</v>
      </c>
      <c r="F1177" t="s">
        <v>55</v>
      </c>
      <c r="G1177">
        <v>1</v>
      </c>
      <c r="H1177" t="s">
        <v>48</v>
      </c>
      <c r="I1177">
        <v>0</v>
      </c>
      <c r="J1177" t="s">
        <v>47</v>
      </c>
      <c r="K1177">
        <v>1</v>
      </c>
      <c r="L1177" t="s">
        <v>48</v>
      </c>
      <c r="M1177">
        <v>0</v>
      </c>
      <c r="N1177" t="s">
        <v>47</v>
      </c>
      <c r="O1177">
        <v>1</v>
      </c>
      <c r="P1177" t="s">
        <v>48</v>
      </c>
      <c r="Q1177">
        <v>0</v>
      </c>
      <c r="R1177" t="s">
        <v>47</v>
      </c>
      <c r="S1177">
        <v>0</v>
      </c>
      <c r="T1177" t="s">
        <v>47</v>
      </c>
    </row>
    <row r="1178" spans="1:20" x14ac:dyDescent="0.35">
      <c r="A1178" s="1" t="s">
        <v>2417</v>
      </c>
      <c r="B1178" t="s">
        <v>12</v>
      </c>
      <c r="C1178" t="s">
        <v>47</v>
      </c>
      <c r="D1178" t="s">
        <v>1748</v>
      </c>
      <c r="E1178">
        <v>1</v>
      </c>
      <c r="F1178" t="s">
        <v>45</v>
      </c>
      <c r="G1178">
        <v>1</v>
      </c>
      <c r="H1178" t="s">
        <v>48</v>
      </c>
      <c r="I1178">
        <v>0</v>
      </c>
      <c r="J1178" t="s">
        <v>47</v>
      </c>
      <c r="K1178">
        <v>0</v>
      </c>
      <c r="L1178" t="s">
        <v>47</v>
      </c>
      <c r="M1178">
        <v>0</v>
      </c>
      <c r="N1178" t="s">
        <v>47</v>
      </c>
      <c r="O1178">
        <v>1</v>
      </c>
      <c r="P1178" t="s">
        <v>48</v>
      </c>
      <c r="Q1178">
        <v>0</v>
      </c>
      <c r="R1178" t="s">
        <v>47</v>
      </c>
      <c r="S1178">
        <v>0</v>
      </c>
      <c r="T1178" t="s">
        <v>47</v>
      </c>
    </row>
    <row r="1179" spans="1:20" x14ac:dyDescent="0.35">
      <c r="A1179" s="1" t="s">
        <v>2418</v>
      </c>
      <c r="B1179" t="s">
        <v>12</v>
      </c>
      <c r="C1179" t="s">
        <v>47</v>
      </c>
      <c r="D1179" t="s">
        <v>1749</v>
      </c>
      <c r="E1179">
        <v>1</v>
      </c>
      <c r="F1179" t="s">
        <v>48</v>
      </c>
      <c r="G1179">
        <v>1</v>
      </c>
      <c r="H1179" t="s">
        <v>48</v>
      </c>
      <c r="I1179">
        <v>1</v>
      </c>
      <c r="J1179" t="s">
        <v>48</v>
      </c>
      <c r="K1179">
        <v>0</v>
      </c>
      <c r="L1179" t="s">
        <v>47</v>
      </c>
      <c r="M1179">
        <v>0</v>
      </c>
      <c r="N1179" t="s">
        <v>47</v>
      </c>
      <c r="O1179">
        <v>1</v>
      </c>
      <c r="P1179" t="s">
        <v>48</v>
      </c>
      <c r="Q1179">
        <v>0</v>
      </c>
      <c r="R1179" t="s">
        <v>47</v>
      </c>
      <c r="S1179">
        <v>0</v>
      </c>
      <c r="T1179" t="s">
        <v>47</v>
      </c>
    </row>
    <row r="1180" spans="1:20" x14ac:dyDescent="0.35">
      <c r="A1180" s="1" t="s">
        <v>2419</v>
      </c>
      <c r="B1180" t="s">
        <v>12</v>
      </c>
      <c r="C1180" t="s">
        <v>47</v>
      </c>
      <c r="D1180" t="s">
        <v>1750</v>
      </c>
      <c r="E1180">
        <v>1</v>
      </c>
      <c r="F1180" t="s">
        <v>48</v>
      </c>
      <c r="G1180">
        <v>0</v>
      </c>
      <c r="H1180" t="s">
        <v>47</v>
      </c>
      <c r="I1180">
        <v>0</v>
      </c>
      <c r="J1180" t="s">
        <v>47</v>
      </c>
      <c r="K1180">
        <v>1</v>
      </c>
      <c r="L1180" t="s">
        <v>48</v>
      </c>
      <c r="M1180">
        <v>1</v>
      </c>
      <c r="N1180" t="s">
        <v>48</v>
      </c>
      <c r="O1180">
        <v>0</v>
      </c>
      <c r="P1180" t="s">
        <v>47</v>
      </c>
      <c r="Q1180">
        <v>1</v>
      </c>
      <c r="R1180" t="s">
        <v>48</v>
      </c>
      <c r="S1180">
        <v>0</v>
      </c>
      <c r="T1180" t="s">
        <v>47</v>
      </c>
    </row>
    <row r="1181" spans="1:20" x14ac:dyDescent="0.35">
      <c r="A1181" s="1" t="s">
        <v>2420</v>
      </c>
      <c r="B1181" t="s">
        <v>12</v>
      </c>
      <c r="C1181" t="s">
        <v>47</v>
      </c>
      <c r="D1181" t="s">
        <v>1751</v>
      </c>
      <c r="E1181">
        <v>1</v>
      </c>
      <c r="F1181" t="s">
        <v>48</v>
      </c>
      <c r="G1181">
        <v>1</v>
      </c>
      <c r="H1181" t="s">
        <v>48</v>
      </c>
      <c r="I1181">
        <v>0</v>
      </c>
      <c r="J1181" t="s">
        <v>47</v>
      </c>
      <c r="K1181">
        <v>0</v>
      </c>
      <c r="L1181" t="s">
        <v>47</v>
      </c>
      <c r="M1181">
        <v>1</v>
      </c>
      <c r="N1181" t="s">
        <v>48</v>
      </c>
      <c r="O1181">
        <v>0</v>
      </c>
      <c r="P1181" t="s">
        <v>47</v>
      </c>
      <c r="Q1181">
        <v>1</v>
      </c>
      <c r="R1181" t="s">
        <v>55</v>
      </c>
      <c r="S1181">
        <v>0</v>
      </c>
      <c r="T1181" t="s">
        <v>47</v>
      </c>
    </row>
    <row r="1182" spans="1:20" x14ac:dyDescent="0.35">
      <c r="A1182" s="1" t="s">
        <v>2421</v>
      </c>
      <c r="B1182" t="s">
        <v>12</v>
      </c>
      <c r="C1182" t="s">
        <v>47</v>
      </c>
      <c r="D1182" t="s">
        <v>1752</v>
      </c>
      <c r="E1182">
        <v>1</v>
      </c>
      <c r="F1182" t="s">
        <v>55</v>
      </c>
      <c r="G1182">
        <v>0</v>
      </c>
      <c r="H1182" t="s">
        <v>47</v>
      </c>
      <c r="I1182">
        <v>1</v>
      </c>
      <c r="J1182" t="s">
        <v>48</v>
      </c>
      <c r="K1182">
        <v>0</v>
      </c>
      <c r="L1182" t="s">
        <v>47</v>
      </c>
      <c r="M1182">
        <v>0</v>
      </c>
      <c r="N1182" t="s">
        <v>47</v>
      </c>
      <c r="O1182">
        <v>0</v>
      </c>
      <c r="P1182" t="s">
        <v>47</v>
      </c>
      <c r="Q1182">
        <v>0</v>
      </c>
      <c r="R1182" t="s">
        <v>47</v>
      </c>
      <c r="S1182">
        <v>0</v>
      </c>
      <c r="T1182" t="s">
        <v>47</v>
      </c>
    </row>
    <row r="1183" spans="1:20" x14ac:dyDescent="0.35">
      <c r="A1183" s="1" t="s">
        <v>2422</v>
      </c>
      <c r="B1183" t="s">
        <v>12</v>
      </c>
      <c r="C1183" t="s">
        <v>47</v>
      </c>
      <c r="D1183" t="s">
        <v>1753</v>
      </c>
      <c r="E1183">
        <v>1</v>
      </c>
      <c r="F1183" t="s">
        <v>48</v>
      </c>
      <c r="G1183">
        <v>0</v>
      </c>
      <c r="H1183" t="s">
        <v>47</v>
      </c>
      <c r="I1183">
        <v>0</v>
      </c>
      <c r="J1183" t="s">
        <v>47</v>
      </c>
      <c r="K1183">
        <v>1</v>
      </c>
      <c r="L1183" t="s">
        <v>48</v>
      </c>
      <c r="M1183">
        <v>1</v>
      </c>
      <c r="N1183" t="s">
        <v>48</v>
      </c>
      <c r="O1183">
        <v>0</v>
      </c>
      <c r="P1183" t="s">
        <v>47</v>
      </c>
      <c r="Q1183">
        <v>0</v>
      </c>
      <c r="R1183" t="s">
        <v>47</v>
      </c>
      <c r="S1183">
        <v>0</v>
      </c>
      <c r="T1183" t="s">
        <v>47</v>
      </c>
    </row>
    <row r="1184" spans="1:20" x14ac:dyDescent="0.35">
      <c r="A1184" s="1" t="s">
        <v>2423</v>
      </c>
      <c r="B1184" t="s">
        <v>12</v>
      </c>
      <c r="C1184" t="s">
        <v>47</v>
      </c>
      <c r="D1184" t="s">
        <v>1754</v>
      </c>
      <c r="E1184">
        <v>0</v>
      </c>
      <c r="F1184" t="s">
        <v>47</v>
      </c>
      <c r="G1184">
        <v>1</v>
      </c>
      <c r="H1184" t="s">
        <v>48</v>
      </c>
      <c r="I1184">
        <v>0</v>
      </c>
      <c r="J1184" t="s">
        <v>47</v>
      </c>
      <c r="K1184">
        <v>0</v>
      </c>
      <c r="L1184" t="s">
        <v>47</v>
      </c>
      <c r="M1184">
        <v>1</v>
      </c>
      <c r="N1184" t="s">
        <v>48</v>
      </c>
      <c r="O1184">
        <v>0</v>
      </c>
      <c r="P1184" t="s">
        <v>47</v>
      </c>
      <c r="Q1184">
        <v>0</v>
      </c>
      <c r="R1184" t="s">
        <v>47</v>
      </c>
      <c r="S1184">
        <v>1</v>
      </c>
      <c r="T1184" t="s">
        <v>48</v>
      </c>
    </row>
    <row r="1185" spans="1:20" x14ac:dyDescent="0.35">
      <c r="A1185" s="1" t="s">
        <v>2424</v>
      </c>
      <c r="B1185" t="s">
        <v>12</v>
      </c>
      <c r="C1185" t="s">
        <v>47</v>
      </c>
      <c r="D1185" t="s">
        <v>1755</v>
      </c>
      <c r="E1185">
        <v>1</v>
      </c>
      <c r="F1185" t="s">
        <v>45</v>
      </c>
      <c r="G1185">
        <v>1</v>
      </c>
      <c r="H1185" t="s">
        <v>48</v>
      </c>
      <c r="I1185">
        <v>0</v>
      </c>
      <c r="J1185" t="s">
        <v>47</v>
      </c>
      <c r="K1185">
        <v>0</v>
      </c>
      <c r="L1185" t="s">
        <v>47</v>
      </c>
      <c r="M1185">
        <v>0</v>
      </c>
      <c r="N1185" t="s">
        <v>47</v>
      </c>
      <c r="O1185">
        <v>1</v>
      </c>
      <c r="P1185" t="s">
        <v>48</v>
      </c>
      <c r="Q1185">
        <v>1</v>
      </c>
      <c r="R1185" t="s">
        <v>45</v>
      </c>
      <c r="S1185">
        <v>0</v>
      </c>
      <c r="T1185" t="s">
        <v>47</v>
      </c>
    </row>
    <row r="1186" spans="1:20" x14ac:dyDescent="0.35">
      <c r="A1186" s="1" t="s">
        <v>2425</v>
      </c>
      <c r="B1186" t="s">
        <v>12</v>
      </c>
      <c r="C1186" t="s">
        <v>47</v>
      </c>
      <c r="D1186" t="s">
        <v>1756</v>
      </c>
      <c r="E1186">
        <v>0</v>
      </c>
      <c r="F1186" t="s">
        <v>47</v>
      </c>
      <c r="G1186">
        <v>1</v>
      </c>
      <c r="H1186" t="s">
        <v>48</v>
      </c>
      <c r="I1186">
        <v>0</v>
      </c>
      <c r="J1186" t="s">
        <v>47</v>
      </c>
      <c r="K1186">
        <v>0</v>
      </c>
      <c r="L1186" t="s">
        <v>47</v>
      </c>
      <c r="M1186">
        <v>0</v>
      </c>
      <c r="N1186" t="s">
        <v>47</v>
      </c>
      <c r="O1186">
        <v>1</v>
      </c>
      <c r="P1186" t="s">
        <v>48</v>
      </c>
      <c r="Q1186">
        <v>1</v>
      </c>
      <c r="R1186" t="s">
        <v>55</v>
      </c>
      <c r="S1186">
        <v>0</v>
      </c>
      <c r="T1186" t="s">
        <v>47</v>
      </c>
    </row>
    <row r="1187" spans="1:20" x14ac:dyDescent="0.35">
      <c r="A1187" s="1" t="s">
        <v>2426</v>
      </c>
      <c r="B1187" t="s">
        <v>12</v>
      </c>
      <c r="C1187" t="s">
        <v>47</v>
      </c>
      <c r="D1187" t="s">
        <v>1757</v>
      </c>
      <c r="E1187">
        <v>1</v>
      </c>
      <c r="F1187" t="s">
        <v>55</v>
      </c>
      <c r="G1187">
        <v>0</v>
      </c>
      <c r="H1187" t="s">
        <v>47</v>
      </c>
      <c r="I1187">
        <v>0</v>
      </c>
      <c r="J1187" t="s">
        <v>47</v>
      </c>
      <c r="K1187">
        <v>1</v>
      </c>
      <c r="L1187" t="s">
        <v>48</v>
      </c>
      <c r="M1187">
        <v>1</v>
      </c>
      <c r="N1187" t="s">
        <v>55</v>
      </c>
      <c r="O1187">
        <v>0</v>
      </c>
      <c r="P1187" t="s">
        <v>47</v>
      </c>
      <c r="Q1187">
        <v>0</v>
      </c>
      <c r="R1187" t="s">
        <v>47</v>
      </c>
      <c r="S1187">
        <v>0</v>
      </c>
      <c r="T1187" t="s">
        <v>47</v>
      </c>
    </row>
    <row r="1188" spans="1:20" x14ac:dyDescent="0.35">
      <c r="A1188" s="1" t="s">
        <v>2427</v>
      </c>
      <c r="B1188" t="s">
        <v>12</v>
      </c>
      <c r="C1188" t="s">
        <v>47</v>
      </c>
      <c r="D1188" t="s">
        <v>1758</v>
      </c>
      <c r="E1188">
        <v>0</v>
      </c>
      <c r="F1188" t="s">
        <v>47</v>
      </c>
      <c r="G1188">
        <v>1</v>
      </c>
      <c r="H1188" t="s">
        <v>48</v>
      </c>
      <c r="I1188">
        <v>1</v>
      </c>
      <c r="J1188" t="s">
        <v>48</v>
      </c>
      <c r="K1188">
        <v>0</v>
      </c>
      <c r="L1188" t="s">
        <v>47</v>
      </c>
      <c r="M1188">
        <v>0</v>
      </c>
      <c r="N1188" t="s">
        <v>47</v>
      </c>
      <c r="O1188">
        <v>1</v>
      </c>
      <c r="P1188" t="s">
        <v>48</v>
      </c>
      <c r="Q1188">
        <v>0</v>
      </c>
      <c r="R1188" t="s">
        <v>47</v>
      </c>
      <c r="S1188">
        <v>0</v>
      </c>
      <c r="T1188" t="s">
        <v>47</v>
      </c>
    </row>
    <row r="1189" spans="1:20" x14ac:dyDescent="0.35">
      <c r="A1189" s="1" t="s">
        <v>2428</v>
      </c>
      <c r="B1189" t="s">
        <v>12</v>
      </c>
      <c r="C1189" t="s">
        <v>47</v>
      </c>
      <c r="D1189" t="s">
        <v>1759</v>
      </c>
      <c r="E1189">
        <v>0</v>
      </c>
      <c r="F1189" t="s">
        <v>47</v>
      </c>
      <c r="G1189">
        <v>1</v>
      </c>
      <c r="H1189" t="s">
        <v>48</v>
      </c>
      <c r="I1189">
        <v>1</v>
      </c>
      <c r="J1189" t="s">
        <v>48</v>
      </c>
      <c r="K1189">
        <v>0</v>
      </c>
      <c r="L1189" t="s">
        <v>47</v>
      </c>
      <c r="M1189">
        <v>1</v>
      </c>
      <c r="N1189" t="s">
        <v>48</v>
      </c>
      <c r="O1189">
        <v>0</v>
      </c>
      <c r="P1189" t="s">
        <v>47</v>
      </c>
      <c r="Q1189">
        <v>0</v>
      </c>
      <c r="R1189" t="s">
        <v>47</v>
      </c>
      <c r="S1189">
        <v>0</v>
      </c>
      <c r="T1189" t="s">
        <v>47</v>
      </c>
    </row>
    <row r="1190" spans="1:20" x14ac:dyDescent="0.35">
      <c r="A1190" s="1" t="s">
        <v>2429</v>
      </c>
      <c r="B1190" t="s">
        <v>12</v>
      </c>
      <c r="C1190" t="s">
        <v>47</v>
      </c>
      <c r="D1190" t="s">
        <v>1760</v>
      </c>
      <c r="E1190">
        <v>1</v>
      </c>
      <c r="F1190" t="s">
        <v>48</v>
      </c>
      <c r="G1190">
        <v>0</v>
      </c>
      <c r="H1190" t="s">
        <v>47</v>
      </c>
      <c r="I1190">
        <v>0</v>
      </c>
      <c r="J1190" t="s">
        <v>47</v>
      </c>
      <c r="K1190">
        <v>0</v>
      </c>
      <c r="L1190" t="s">
        <v>47</v>
      </c>
      <c r="M1190">
        <v>1</v>
      </c>
      <c r="N1190" t="s">
        <v>48</v>
      </c>
      <c r="O1190">
        <v>1</v>
      </c>
      <c r="P1190" t="s">
        <v>48</v>
      </c>
      <c r="Q1190">
        <v>0</v>
      </c>
      <c r="R1190" t="s">
        <v>47</v>
      </c>
      <c r="S1190">
        <v>0</v>
      </c>
      <c r="T1190" t="s">
        <v>47</v>
      </c>
    </row>
    <row r="1191" spans="1:20" x14ac:dyDescent="0.35">
      <c r="A1191" s="1" t="s">
        <v>2430</v>
      </c>
      <c r="B1191" t="s">
        <v>12</v>
      </c>
      <c r="C1191" t="s">
        <v>47</v>
      </c>
      <c r="D1191" t="s">
        <v>1761</v>
      </c>
      <c r="E1191">
        <v>1</v>
      </c>
      <c r="F1191" t="s">
        <v>48</v>
      </c>
      <c r="G1191">
        <v>1</v>
      </c>
      <c r="H1191" t="s">
        <v>48</v>
      </c>
      <c r="I1191">
        <v>0</v>
      </c>
      <c r="J1191" t="s">
        <v>47</v>
      </c>
      <c r="K1191">
        <v>0</v>
      </c>
      <c r="L1191" t="s">
        <v>47</v>
      </c>
      <c r="M1191">
        <v>0</v>
      </c>
      <c r="N1191" t="s">
        <v>47</v>
      </c>
      <c r="O1191">
        <v>0</v>
      </c>
      <c r="P1191" t="s">
        <v>47</v>
      </c>
      <c r="Q1191">
        <v>0</v>
      </c>
      <c r="R1191" t="s">
        <v>47</v>
      </c>
      <c r="S1191">
        <v>0</v>
      </c>
      <c r="T1191" t="s">
        <v>47</v>
      </c>
    </row>
    <row r="1192" spans="1:20" x14ac:dyDescent="0.35">
      <c r="A1192" s="1" t="s">
        <v>2431</v>
      </c>
      <c r="B1192" t="s">
        <v>12</v>
      </c>
      <c r="C1192" t="s">
        <v>47</v>
      </c>
      <c r="D1192" t="s">
        <v>1762</v>
      </c>
      <c r="E1192">
        <v>1</v>
      </c>
      <c r="F1192" t="s">
        <v>45</v>
      </c>
      <c r="G1192">
        <v>1</v>
      </c>
      <c r="H1192" t="s">
        <v>48</v>
      </c>
      <c r="I1192">
        <v>0</v>
      </c>
      <c r="J1192" t="s">
        <v>47</v>
      </c>
      <c r="K1192">
        <v>0</v>
      </c>
      <c r="L1192" t="s">
        <v>47</v>
      </c>
      <c r="M1192">
        <v>0</v>
      </c>
      <c r="N1192" t="s">
        <v>47</v>
      </c>
      <c r="O1192">
        <v>1</v>
      </c>
      <c r="P1192" t="s">
        <v>48</v>
      </c>
      <c r="Q1192">
        <v>1</v>
      </c>
      <c r="R1192" t="s">
        <v>45</v>
      </c>
      <c r="S1192">
        <v>0</v>
      </c>
      <c r="T1192" t="s">
        <v>47</v>
      </c>
    </row>
    <row r="1193" spans="1:20" x14ac:dyDescent="0.35">
      <c r="A1193" s="1" t="s">
        <v>2432</v>
      </c>
      <c r="B1193" t="s">
        <v>12</v>
      </c>
      <c r="C1193" t="s">
        <v>47</v>
      </c>
      <c r="D1193" t="s">
        <v>1763</v>
      </c>
      <c r="E1193">
        <v>1</v>
      </c>
      <c r="F1193" t="s">
        <v>48</v>
      </c>
      <c r="G1193">
        <v>0</v>
      </c>
      <c r="H1193" t="s">
        <v>47</v>
      </c>
      <c r="I1193">
        <v>0</v>
      </c>
      <c r="J1193" t="s">
        <v>47</v>
      </c>
      <c r="K1193">
        <v>1</v>
      </c>
      <c r="L1193" t="s">
        <v>55</v>
      </c>
      <c r="M1193">
        <v>1</v>
      </c>
      <c r="N1193" t="s">
        <v>48</v>
      </c>
      <c r="O1193">
        <v>0</v>
      </c>
      <c r="P1193" t="s">
        <v>47</v>
      </c>
      <c r="Q1193">
        <v>1</v>
      </c>
      <c r="R1193" t="s">
        <v>55</v>
      </c>
      <c r="S1193">
        <v>0</v>
      </c>
      <c r="T1193" t="s">
        <v>47</v>
      </c>
    </row>
    <row r="1194" spans="1:20" x14ac:dyDescent="0.35">
      <c r="A1194" s="1" t="s">
        <v>2433</v>
      </c>
      <c r="B1194" t="s">
        <v>12</v>
      </c>
      <c r="C1194" t="s">
        <v>47</v>
      </c>
      <c r="D1194" t="s">
        <v>1764</v>
      </c>
      <c r="E1194">
        <v>0</v>
      </c>
      <c r="F1194" t="s">
        <v>47</v>
      </c>
      <c r="G1194">
        <v>1</v>
      </c>
      <c r="H1194" t="s">
        <v>55</v>
      </c>
      <c r="I1194">
        <v>0</v>
      </c>
      <c r="J1194" t="s">
        <v>47</v>
      </c>
      <c r="K1194">
        <v>0</v>
      </c>
      <c r="L1194" t="s">
        <v>47</v>
      </c>
      <c r="M1194">
        <v>0</v>
      </c>
      <c r="N1194" t="s">
        <v>47</v>
      </c>
      <c r="O1194">
        <v>0</v>
      </c>
      <c r="P1194" t="s">
        <v>47</v>
      </c>
      <c r="Q1194">
        <v>1</v>
      </c>
      <c r="R1194" t="s">
        <v>55</v>
      </c>
      <c r="S1194">
        <v>0</v>
      </c>
      <c r="T1194" t="s">
        <v>47</v>
      </c>
    </row>
    <row r="1195" spans="1:20" x14ac:dyDescent="0.35">
      <c r="A1195" s="1" t="s">
        <v>2434</v>
      </c>
      <c r="B1195" t="s">
        <v>12</v>
      </c>
      <c r="C1195" t="s">
        <v>47</v>
      </c>
      <c r="D1195" t="s">
        <v>1765</v>
      </c>
      <c r="E1195">
        <v>1</v>
      </c>
      <c r="F1195" t="s">
        <v>45</v>
      </c>
      <c r="G1195">
        <v>0</v>
      </c>
      <c r="H1195" t="s">
        <v>47</v>
      </c>
      <c r="I1195">
        <v>0</v>
      </c>
      <c r="J1195" t="s">
        <v>47</v>
      </c>
      <c r="K1195">
        <v>1</v>
      </c>
      <c r="L1195" t="s">
        <v>48</v>
      </c>
      <c r="M1195">
        <v>1</v>
      </c>
      <c r="N1195" t="s">
        <v>45</v>
      </c>
      <c r="O1195">
        <v>0</v>
      </c>
      <c r="P1195" t="s">
        <v>47</v>
      </c>
      <c r="Q1195">
        <v>1</v>
      </c>
      <c r="R1195" t="s">
        <v>48</v>
      </c>
      <c r="S1195">
        <v>0</v>
      </c>
      <c r="T1195" t="s">
        <v>47</v>
      </c>
    </row>
    <row r="1196" spans="1:20" x14ac:dyDescent="0.35">
      <c r="A1196" s="1" t="s">
        <v>2435</v>
      </c>
      <c r="B1196" t="s">
        <v>12</v>
      </c>
      <c r="C1196" t="s">
        <v>47</v>
      </c>
      <c r="D1196" t="s">
        <v>1766</v>
      </c>
      <c r="E1196">
        <v>1</v>
      </c>
      <c r="F1196" t="s">
        <v>48</v>
      </c>
      <c r="G1196">
        <v>1</v>
      </c>
      <c r="H1196" t="s">
        <v>48</v>
      </c>
      <c r="I1196">
        <v>0</v>
      </c>
      <c r="J1196" t="s">
        <v>47</v>
      </c>
      <c r="K1196">
        <v>0</v>
      </c>
      <c r="L1196" t="s">
        <v>47</v>
      </c>
      <c r="M1196">
        <v>0</v>
      </c>
      <c r="N1196" t="s">
        <v>47</v>
      </c>
      <c r="O1196">
        <v>0</v>
      </c>
      <c r="P1196" t="s">
        <v>47</v>
      </c>
      <c r="Q1196">
        <v>1</v>
      </c>
      <c r="R1196" t="s">
        <v>45</v>
      </c>
      <c r="S1196">
        <v>0</v>
      </c>
      <c r="T1196" t="s">
        <v>47</v>
      </c>
    </row>
    <row r="1197" spans="1:20" x14ac:dyDescent="0.35">
      <c r="A1197" s="1" t="s">
        <v>2436</v>
      </c>
      <c r="B1197" t="s">
        <v>12</v>
      </c>
      <c r="C1197" t="s">
        <v>47</v>
      </c>
      <c r="D1197" t="s">
        <v>1767</v>
      </c>
      <c r="E1197">
        <v>1</v>
      </c>
      <c r="F1197" t="s">
        <v>48</v>
      </c>
      <c r="G1197">
        <v>1</v>
      </c>
      <c r="H1197" t="s">
        <v>48</v>
      </c>
      <c r="I1197">
        <v>0</v>
      </c>
      <c r="J1197" t="s">
        <v>47</v>
      </c>
      <c r="K1197">
        <v>0</v>
      </c>
      <c r="L1197" t="s">
        <v>47</v>
      </c>
      <c r="M1197">
        <v>0</v>
      </c>
      <c r="N1197" t="s">
        <v>47</v>
      </c>
      <c r="O1197">
        <v>0</v>
      </c>
      <c r="P1197" t="s">
        <v>47</v>
      </c>
      <c r="Q1197">
        <v>0</v>
      </c>
      <c r="R1197" t="s">
        <v>47</v>
      </c>
      <c r="S1197">
        <v>0</v>
      </c>
      <c r="T1197" t="s">
        <v>47</v>
      </c>
    </row>
    <row r="1198" spans="1:20" x14ac:dyDescent="0.35">
      <c r="A1198" s="1" t="s">
        <v>2437</v>
      </c>
      <c r="B1198" t="s">
        <v>12</v>
      </c>
      <c r="C1198" t="s">
        <v>47</v>
      </c>
      <c r="D1198" t="s">
        <v>1768</v>
      </c>
      <c r="E1198">
        <v>1</v>
      </c>
      <c r="F1198" t="s">
        <v>48</v>
      </c>
      <c r="G1198">
        <v>0</v>
      </c>
      <c r="H1198" t="s">
        <v>47</v>
      </c>
      <c r="I1198">
        <v>0</v>
      </c>
      <c r="J1198" t="s">
        <v>47</v>
      </c>
      <c r="K1198">
        <v>0</v>
      </c>
      <c r="L1198" t="s">
        <v>47</v>
      </c>
      <c r="M1198">
        <v>0</v>
      </c>
      <c r="N1198" t="s">
        <v>47</v>
      </c>
      <c r="O1198">
        <v>0</v>
      </c>
      <c r="P1198" t="s">
        <v>47</v>
      </c>
      <c r="Q1198">
        <v>0</v>
      </c>
      <c r="R1198" t="s">
        <v>47</v>
      </c>
      <c r="S1198">
        <v>0</v>
      </c>
      <c r="T1198" t="s">
        <v>47</v>
      </c>
    </row>
    <row r="1199" spans="1:20" x14ac:dyDescent="0.35">
      <c r="A1199" s="1" t="s">
        <v>2438</v>
      </c>
      <c r="B1199" t="s">
        <v>12</v>
      </c>
      <c r="C1199" t="s">
        <v>47</v>
      </c>
      <c r="D1199" t="s">
        <v>1769</v>
      </c>
      <c r="E1199">
        <v>1</v>
      </c>
      <c r="F1199" t="s">
        <v>48</v>
      </c>
      <c r="G1199">
        <v>1</v>
      </c>
      <c r="H1199" t="s">
        <v>48</v>
      </c>
      <c r="I1199">
        <v>0</v>
      </c>
      <c r="J1199" t="s">
        <v>47</v>
      </c>
      <c r="K1199">
        <v>0</v>
      </c>
      <c r="L1199" t="s">
        <v>47</v>
      </c>
      <c r="M1199">
        <v>1</v>
      </c>
      <c r="N1199" t="s">
        <v>48</v>
      </c>
      <c r="O1199">
        <v>0</v>
      </c>
      <c r="P1199" t="s">
        <v>47</v>
      </c>
      <c r="Q1199">
        <v>0</v>
      </c>
      <c r="R1199" t="s">
        <v>47</v>
      </c>
      <c r="S1199">
        <v>0</v>
      </c>
      <c r="T1199" t="s">
        <v>47</v>
      </c>
    </row>
    <row r="1200" spans="1:20" x14ac:dyDescent="0.35">
      <c r="A1200" s="1" t="s">
        <v>2439</v>
      </c>
      <c r="B1200" t="s">
        <v>12</v>
      </c>
      <c r="C1200" t="s">
        <v>47</v>
      </c>
      <c r="D1200" t="s">
        <v>1770</v>
      </c>
      <c r="E1200">
        <v>1</v>
      </c>
      <c r="F1200" t="s">
        <v>48</v>
      </c>
      <c r="G1200">
        <v>0</v>
      </c>
      <c r="H1200" t="s">
        <v>47</v>
      </c>
      <c r="I1200">
        <v>0</v>
      </c>
      <c r="J1200" t="s">
        <v>47</v>
      </c>
      <c r="K1200">
        <v>0</v>
      </c>
      <c r="L1200" t="s">
        <v>47</v>
      </c>
      <c r="M1200">
        <v>0</v>
      </c>
      <c r="N1200" t="s">
        <v>47</v>
      </c>
      <c r="O1200">
        <v>0</v>
      </c>
      <c r="P1200" t="s">
        <v>47</v>
      </c>
      <c r="Q1200">
        <v>1</v>
      </c>
      <c r="R1200" t="s">
        <v>48</v>
      </c>
      <c r="S1200">
        <v>0</v>
      </c>
      <c r="T1200" t="s">
        <v>47</v>
      </c>
    </row>
    <row r="1201" spans="1:20" x14ac:dyDescent="0.35">
      <c r="A1201" s="1" t="s">
        <v>2440</v>
      </c>
      <c r="B1201" t="s">
        <v>12</v>
      </c>
      <c r="C1201" t="s">
        <v>47</v>
      </c>
      <c r="D1201" t="s">
        <v>1771</v>
      </c>
      <c r="E1201">
        <v>1</v>
      </c>
      <c r="F1201" t="s">
        <v>48</v>
      </c>
      <c r="G1201">
        <v>0</v>
      </c>
      <c r="H1201" t="s">
        <v>47</v>
      </c>
      <c r="I1201">
        <v>0</v>
      </c>
      <c r="J1201" t="s">
        <v>47</v>
      </c>
      <c r="K1201">
        <v>0</v>
      </c>
      <c r="L1201" t="s">
        <v>47</v>
      </c>
      <c r="M1201">
        <v>0</v>
      </c>
      <c r="N1201" t="s">
        <v>47</v>
      </c>
      <c r="O1201">
        <v>0</v>
      </c>
      <c r="P1201" t="s">
        <v>47</v>
      </c>
      <c r="Q1201">
        <v>0</v>
      </c>
      <c r="R1201" t="s">
        <v>47</v>
      </c>
      <c r="S1201">
        <v>0</v>
      </c>
      <c r="T1201" t="s">
        <v>47</v>
      </c>
    </row>
    <row r="1202" spans="1:20" x14ac:dyDescent="0.35">
      <c r="A1202" s="1" t="s">
        <v>2441</v>
      </c>
      <c r="B1202" t="s">
        <v>12</v>
      </c>
      <c r="C1202" t="s">
        <v>47</v>
      </c>
      <c r="D1202" t="s">
        <v>1772</v>
      </c>
      <c r="E1202">
        <v>1</v>
      </c>
      <c r="F1202" t="s">
        <v>48</v>
      </c>
      <c r="G1202">
        <v>1</v>
      </c>
      <c r="H1202" t="s">
        <v>48</v>
      </c>
      <c r="I1202">
        <v>0</v>
      </c>
      <c r="J1202" t="s">
        <v>47</v>
      </c>
      <c r="K1202">
        <v>0</v>
      </c>
      <c r="L1202" t="s">
        <v>47</v>
      </c>
      <c r="M1202">
        <v>0</v>
      </c>
      <c r="N1202" t="s">
        <v>47</v>
      </c>
      <c r="O1202">
        <v>1</v>
      </c>
      <c r="P1202" t="s">
        <v>48</v>
      </c>
      <c r="Q1202">
        <v>0</v>
      </c>
      <c r="R1202" t="s">
        <v>47</v>
      </c>
      <c r="S1202">
        <v>0</v>
      </c>
      <c r="T1202" t="s">
        <v>47</v>
      </c>
    </row>
    <row r="1203" spans="1:20" x14ac:dyDescent="0.35">
      <c r="A1203" s="1" t="s">
        <v>2442</v>
      </c>
      <c r="B1203" t="s">
        <v>12</v>
      </c>
      <c r="C1203" t="s">
        <v>47</v>
      </c>
      <c r="D1203" t="s">
        <v>1773</v>
      </c>
      <c r="E1203">
        <v>1</v>
      </c>
      <c r="F1203" t="s">
        <v>45</v>
      </c>
      <c r="G1203">
        <v>1</v>
      </c>
      <c r="H1203" t="s">
        <v>45</v>
      </c>
      <c r="I1203">
        <v>0</v>
      </c>
      <c r="J1203" t="s">
        <v>47</v>
      </c>
      <c r="K1203">
        <v>0</v>
      </c>
      <c r="L1203" t="s">
        <v>47</v>
      </c>
      <c r="M1203">
        <v>1</v>
      </c>
      <c r="N1203" t="s">
        <v>48</v>
      </c>
      <c r="O1203">
        <v>0</v>
      </c>
      <c r="P1203" t="s">
        <v>47</v>
      </c>
      <c r="Q1203">
        <v>1</v>
      </c>
      <c r="R1203" t="s">
        <v>48</v>
      </c>
      <c r="S1203">
        <v>0</v>
      </c>
      <c r="T1203" t="s">
        <v>47</v>
      </c>
    </row>
    <row r="1204" spans="1:20" x14ac:dyDescent="0.35">
      <c r="A1204" s="1" t="s">
        <v>2443</v>
      </c>
      <c r="B1204" t="s">
        <v>12</v>
      </c>
      <c r="C1204" t="s">
        <v>47</v>
      </c>
      <c r="D1204" t="s">
        <v>1774</v>
      </c>
      <c r="E1204">
        <v>1</v>
      </c>
      <c r="F1204" t="s">
        <v>48</v>
      </c>
      <c r="G1204">
        <v>1</v>
      </c>
      <c r="H1204" t="s">
        <v>45</v>
      </c>
      <c r="I1204">
        <v>0</v>
      </c>
      <c r="J1204" t="s">
        <v>47</v>
      </c>
      <c r="K1204">
        <v>0</v>
      </c>
      <c r="L1204" t="s">
        <v>47</v>
      </c>
      <c r="M1204">
        <v>0</v>
      </c>
      <c r="N1204" t="s">
        <v>47</v>
      </c>
      <c r="O1204">
        <v>0</v>
      </c>
      <c r="P1204" t="s">
        <v>47</v>
      </c>
      <c r="Q1204">
        <v>1</v>
      </c>
      <c r="R1204" t="s">
        <v>45</v>
      </c>
      <c r="S1204">
        <v>1</v>
      </c>
      <c r="T1204" t="s">
        <v>45</v>
      </c>
    </row>
    <row r="1205" spans="1:20" x14ac:dyDescent="0.35">
      <c r="A1205" s="1" t="s">
        <v>2444</v>
      </c>
      <c r="B1205" t="s">
        <v>12</v>
      </c>
      <c r="C1205" t="s">
        <v>47</v>
      </c>
      <c r="D1205" t="s">
        <v>1775</v>
      </c>
      <c r="E1205">
        <v>0</v>
      </c>
      <c r="F1205" t="s">
        <v>47</v>
      </c>
      <c r="G1205">
        <v>1</v>
      </c>
      <c r="H1205" t="s">
        <v>48</v>
      </c>
      <c r="I1205">
        <v>0</v>
      </c>
      <c r="J1205" t="s">
        <v>47</v>
      </c>
      <c r="K1205">
        <v>0</v>
      </c>
      <c r="L1205" t="s">
        <v>47</v>
      </c>
      <c r="M1205">
        <v>0</v>
      </c>
      <c r="N1205" t="s">
        <v>47</v>
      </c>
      <c r="O1205">
        <v>1</v>
      </c>
      <c r="P1205" t="s">
        <v>48</v>
      </c>
      <c r="Q1205">
        <v>1</v>
      </c>
      <c r="R1205" t="s">
        <v>45</v>
      </c>
      <c r="S1205">
        <v>0</v>
      </c>
      <c r="T1205" t="s">
        <v>47</v>
      </c>
    </row>
    <row r="1206" spans="1:20" x14ac:dyDescent="0.35">
      <c r="A1206" s="1" t="s">
        <v>2445</v>
      </c>
      <c r="B1206" t="s">
        <v>12</v>
      </c>
      <c r="C1206" t="s">
        <v>47</v>
      </c>
      <c r="D1206" t="s">
        <v>1776</v>
      </c>
      <c r="E1206">
        <v>0</v>
      </c>
      <c r="F1206" t="s">
        <v>47</v>
      </c>
      <c r="G1206">
        <v>1</v>
      </c>
      <c r="H1206" t="s">
        <v>48</v>
      </c>
      <c r="I1206">
        <v>0</v>
      </c>
      <c r="J1206" t="s">
        <v>47</v>
      </c>
      <c r="K1206">
        <v>0</v>
      </c>
      <c r="L1206" t="s">
        <v>47</v>
      </c>
      <c r="M1206">
        <v>0</v>
      </c>
      <c r="N1206" t="s">
        <v>47</v>
      </c>
      <c r="O1206">
        <v>0</v>
      </c>
      <c r="P1206" t="s">
        <v>47</v>
      </c>
      <c r="Q1206">
        <v>1</v>
      </c>
      <c r="R1206" t="s">
        <v>45</v>
      </c>
      <c r="S1206">
        <v>0</v>
      </c>
      <c r="T1206" t="s">
        <v>47</v>
      </c>
    </row>
    <row r="1207" spans="1:20" x14ac:dyDescent="0.35">
      <c r="A1207" s="1" t="s">
        <v>2446</v>
      </c>
      <c r="B1207" t="s">
        <v>12</v>
      </c>
      <c r="C1207" t="s">
        <v>47</v>
      </c>
      <c r="D1207" t="s">
        <v>1777</v>
      </c>
      <c r="E1207">
        <v>1</v>
      </c>
      <c r="F1207" t="s">
        <v>48</v>
      </c>
      <c r="G1207">
        <v>0</v>
      </c>
      <c r="H1207" t="s">
        <v>47</v>
      </c>
      <c r="I1207">
        <v>0</v>
      </c>
      <c r="J1207" t="s">
        <v>47</v>
      </c>
      <c r="K1207">
        <v>0</v>
      </c>
      <c r="L1207" t="s">
        <v>47</v>
      </c>
      <c r="M1207">
        <v>0</v>
      </c>
      <c r="N1207" t="s">
        <v>47</v>
      </c>
      <c r="O1207">
        <v>0</v>
      </c>
      <c r="P1207" t="s">
        <v>47</v>
      </c>
      <c r="Q1207">
        <v>0</v>
      </c>
      <c r="R1207" t="s">
        <v>47</v>
      </c>
      <c r="S1207">
        <v>0</v>
      </c>
      <c r="T1207" t="s">
        <v>47</v>
      </c>
    </row>
    <row r="1208" spans="1:20" x14ac:dyDescent="0.35">
      <c r="A1208" s="1" t="s">
        <v>2540</v>
      </c>
      <c r="B1208" t="s">
        <v>12</v>
      </c>
      <c r="C1208" t="s">
        <v>47</v>
      </c>
      <c r="D1208" t="s">
        <v>2447</v>
      </c>
      <c r="E1208">
        <v>1</v>
      </c>
      <c r="F1208" t="s">
        <v>48</v>
      </c>
      <c r="G1208">
        <v>0</v>
      </c>
      <c r="H1208" t="s">
        <v>47</v>
      </c>
      <c r="I1208">
        <v>0</v>
      </c>
      <c r="J1208" t="s">
        <v>47</v>
      </c>
      <c r="K1208">
        <v>0</v>
      </c>
      <c r="L1208" t="s">
        <v>47</v>
      </c>
      <c r="M1208">
        <v>1</v>
      </c>
      <c r="N1208" t="s">
        <v>48</v>
      </c>
      <c r="O1208">
        <v>0</v>
      </c>
      <c r="P1208" t="s">
        <v>47</v>
      </c>
      <c r="Q1208">
        <v>0</v>
      </c>
      <c r="R1208" t="s">
        <v>47</v>
      </c>
      <c r="S1208">
        <v>0</v>
      </c>
      <c r="T1208" t="s">
        <v>47</v>
      </c>
    </row>
    <row r="1209" spans="1:20" x14ac:dyDescent="0.35">
      <c r="A1209" s="1" t="s">
        <v>2541</v>
      </c>
      <c r="B1209" t="s">
        <v>12</v>
      </c>
      <c r="C1209" t="s">
        <v>47</v>
      </c>
      <c r="D1209" t="s">
        <v>2448</v>
      </c>
      <c r="E1209">
        <v>1</v>
      </c>
      <c r="F1209" t="s">
        <v>48</v>
      </c>
      <c r="G1209">
        <v>1</v>
      </c>
      <c r="H1209" t="s">
        <v>48</v>
      </c>
      <c r="I1209">
        <v>0</v>
      </c>
      <c r="J1209" t="s">
        <v>47</v>
      </c>
      <c r="K1209">
        <v>0</v>
      </c>
      <c r="L1209" t="s">
        <v>47</v>
      </c>
      <c r="M1209">
        <v>1</v>
      </c>
      <c r="N1209" t="s">
        <v>48</v>
      </c>
      <c r="O1209">
        <v>0</v>
      </c>
      <c r="P1209" t="s">
        <v>47</v>
      </c>
      <c r="Q1209">
        <v>0</v>
      </c>
      <c r="R1209" t="s">
        <v>47</v>
      </c>
      <c r="S1209">
        <v>0</v>
      </c>
      <c r="T1209" t="s">
        <v>47</v>
      </c>
    </row>
    <row r="1210" spans="1:20" x14ac:dyDescent="0.35">
      <c r="A1210" s="1" t="s">
        <v>2542</v>
      </c>
      <c r="B1210" t="s">
        <v>12</v>
      </c>
      <c r="C1210" t="s">
        <v>47</v>
      </c>
      <c r="D1210" t="s">
        <v>2449</v>
      </c>
      <c r="E1210">
        <v>1</v>
      </c>
      <c r="F1210" t="s">
        <v>48</v>
      </c>
      <c r="G1210">
        <v>0</v>
      </c>
      <c r="H1210" t="s">
        <v>47</v>
      </c>
      <c r="I1210">
        <v>0</v>
      </c>
      <c r="J1210" t="s">
        <v>47</v>
      </c>
      <c r="K1210">
        <v>0</v>
      </c>
      <c r="L1210" t="s">
        <v>47</v>
      </c>
      <c r="M1210">
        <v>1</v>
      </c>
      <c r="N1210" t="s">
        <v>48</v>
      </c>
      <c r="O1210">
        <v>1</v>
      </c>
      <c r="P1210" t="s">
        <v>48</v>
      </c>
      <c r="Q1210">
        <v>0</v>
      </c>
      <c r="R1210" t="s">
        <v>47</v>
      </c>
      <c r="S1210">
        <v>0</v>
      </c>
      <c r="T1210" t="s">
        <v>47</v>
      </c>
    </row>
    <row r="1211" spans="1:20" x14ac:dyDescent="0.35">
      <c r="A1211" s="1" t="s">
        <v>2543</v>
      </c>
      <c r="B1211" t="s">
        <v>12</v>
      </c>
      <c r="C1211" t="s">
        <v>47</v>
      </c>
      <c r="D1211" t="s">
        <v>2450</v>
      </c>
      <c r="E1211">
        <v>1</v>
      </c>
      <c r="F1211" t="s">
        <v>45</v>
      </c>
      <c r="G1211">
        <v>0</v>
      </c>
      <c r="H1211" t="s">
        <v>47</v>
      </c>
      <c r="I1211">
        <v>0</v>
      </c>
      <c r="J1211" t="s">
        <v>47</v>
      </c>
      <c r="K1211">
        <v>1</v>
      </c>
      <c r="L1211" t="s">
        <v>48</v>
      </c>
      <c r="M1211">
        <v>0</v>
      </c>
      <c r="N1211" t="s">
        <v>47</v>
      </c>
      <c r="O1211">
        <v>0</v>
      </c>
      <c r="P1211" t="s">
        <v>47</v>
      </c>
      <c r="Q1211">
        <v>0</v>
      </c>
      <c r="R1211" t="s">
        <v>47</v>
      </c>
      <c r="S1211">
        <v>1</v>
      </c>
      <c r="T1211" t="s">
        <v>45</v>
      </c>
    </row>
    <row r="1212" spans="1:20" x14ac:dyDescent="0.35">
      <c r="A1212" s="1" t="s">
        <v>2544</v>
      </c>
      <c r="B1212" t="s">
        <v>12</v>
      </c>
      <c r="C1212" t="s">
        <v>47</v>
      </c>
      <c r="D1212" t="s">
        <v>2451</v>
      </c>
      <c r="E1212">
        <v>1</v>
      </c>
      <c r="F1212" t="s">
        <v>48</v>
      </c>
      <c r="G1212">
        <v>1</v>
      </c>
      <c r="H1212" t="s">
        <v>48</v>
      </c>
      <c r="I1212">
        <v>0</v>
      </c>
      <c r="J1212" t="s">
        <v>47</v>
      </c>
      <c r="K1212">
        <v>0</v>
      </c>
      <c r="L1212" t="s">
        <v>47</v>
      </c>
      <c r="M1212">
        <v>0</v>
      </c>
      <c r="N1212" t="s">
        <v>47</v>
      </c>
      <c r="O1212">
        <v>0</v>
      </c>
      <c r="P1212" t="s">
        <v>47</v>
      </c>
      <c r="Q1212">
        <v>0</v>
      </c>
      <c r="R1212" t="s">
        <v>47</v>
      </c>
      <c r="S1212">
        <v>0</v>
      </c>
      <c r="T1212" t="s">
        <v>47</v>
      </c>
    </row>
    <row r="1213" spans="1:20" x14ac:dyDescent="0.35">
      <c r="A1213" s="1" t="s">
        <v>2545</v>
      </c>
      <c r="B1213" t="s">
        <v>12</v>
      </c>
      <c r="C1213" t="s">
        <v>47</v>
      </c>
      <c r="D1213" t="s">
        <v>2452</v>
      </c>
      <c r="E1213">
        <v>1</v>
      </c>
      <c r="F1213" t="s">
        <v>48</v>
      </c>
      <c r="G1213">
        <v>1</v>
      </c>
      <c r="H1213" t="s">
        <v>48</v>
      </c>
      <c r="I1213">
        <v>1</v>
      </c>
      <c r="J1213" t="s">
        <v>48</v>
      </c>
      <c r="K1213">
        <v>0</v>
      </c>
      <c r="L1213" t="s">
        <v>47</v>
      </c>
      <c r="M1213">
        <v>1</v>
      </c>
      <c r="N1213" t="s">
        <v>48</v>
      </c>
      <c r="O1213">
        <v>0</v>
      </c>
      <c r="P1213" t="s">
        <v>47</v>
      </c>
      <c r="Q1213">
        <v>0</v>
      </c>
      <c r="R1213" t="s">
        <v>47</v>
      </c>
      <c r="S1213">
        <v>0</v>
      </c>
      <c r="T1213" t="s">
        <v>47</v>
      </c>
    </row>
    <row r="1214" spans="1:20" x14ac:dyDescent="0.35">
      <c r="A1214" s="1" t="s">
        <v>2546</v>
      </c>
      <c r="B1214" t="s">
        <v>12</v>
      </c>
      <c r="C1214" t="s">
        <v>47</v>
      </c>
      <c r="D1214" t="s">
        <v>2453</v>
      </c>
      <c r="E1214">
        <v>0</v>
      </c>
      <c r="F1214" t="s">
        <v>47</v>
      </c>
      <c r="G1214">
        <v>1</v>
      </c>
      <c r="H1214" t="s">
        <v>45</v>
      </c>
      <c r="I1214">
        <v>0</v>
      </c>
      <c r="J1214" t="s">
        <v>47</v>
      </c>
      <c r="K1214">
        <v>0</v>
      </c>
      <c r="L1214" t="s">
        <v>47</v>
      </c>
      <c r="M1214">
        <v>0</v>
      </c>
      <c r="N1214" t="s">
        <v>47</v>
      </c>
      <c r="O1214">
        <v>1</v>
      </c>
      <c r="P1214" t="s">
        <v>48</v>
      </c>
      <c r="Q1214">
        <v>1</v>
      </c>
      <c r="R1214" t="s">
        <v>45</v>
      </c>
      <c r="S1214">
        <v>0</v>
      </c>
      <c r="T1214" t="s">
        <v>47</v>
      </c>
    </row>
    <row r="1215" spans="1:20" x14ac:dyDescent="0.35">
      <c r="A1215" s="1" t="s">
        <v>2547</v>
      </c>
      <c r="B1215" t="s">
        <v>12</v>
      </c>
      <c r="C1215" t="s">
        <v>47</v>
      </c>
      <c r="D1215" t="s">
        <v>2454</v>
      </c>
      <c r="E1215">
        <v>0</v>
      </c>
      <c r="F1215" t="s">
        <v>47</v>
      </c>
      <c r="G1215">
        <v>1</v>
      </c>
      <c r="H1215" t="s">
        <v>48</v>
      </c>
      <c r="I1215">
        <v>0</v>
      </c>
      <c r="J1215" t="s">
        <v>47</v>
      </c>
      <c r="K1215">
        <v>0</v>
      </c>
      <c r="L1215" t="s">
        <v>47</v>
      </c>
      <c r="M1215">
        <v>0</v>
      </c>
      <c r="N1215" t="s">
        <v>47</v>
      </c>
      <c r="O1215">
        <v>0</v>
      </c>
      <c r="P1215" t="s">
        <v>47</v>
      </c>
      <c r="Q1215">
        <v>0</v>
      </c>
      <c r="R1215" t="s">
        <v>47</v>
      </c>
      <c r="S1215">
        <v>0</v>
      </c>
      <c r="T1215" t="s">
        <v>47</v>
      </c>
    </row>
    <row r="1216" spans="1:20" x14ac:dyDescent="0.35">
      <c r="A1216" s="1" t="s">
        <v>2548</v>
      </c>
      <c r="B1216" t="s">
        <v>12</v>
      </c>
      <c r="C1216" t="s">
        <v>47</v>
      </c>
      <c r="D1216" t="s">
        <v>2455</v>
      </c>
      <c r="E1216">
        <v>0</v>
      </c>
      <c r="F1216" t="s">
        <v>47</v>
      </c>
      <c r="G1216">
        <v>1</v>
      </c>
      <c r="H1216" t="s">
        <v>48</v>
      </c>
      <c r="I1216">
        <v>0</v>
      </c>
      <c r="J1216" t="s">
        <v>47</v>
      </c>
      <c r="K1216">
        <v>0</v>
      </c>
      <c r="L1216" t="s">
        <v>47</v>
      </c>
      <c r="M1216">
        <v>0</v>
      </c>
      <c r="N1216" t="s">
        <v>47</v>
      </c>
      <c r="O1216">
        <v>1</v>
      </c>
      <c r="P1216" t="s">
        <v>48</v>
      </c>
      <c r="Q1216">
        <v>0</v>
      </c>
      <c r="R1216" t="s">
        <v>47</v>
      </c>
      <c r="S1216">
        <v>0</v>
      </c>
      <c r="T1216" t="s">
        <v>47</v>
      </c>
    </row>
    <row r="1217" spans="1:20" x14ac:dyDescent="0.35">
      <c r="A1217" s="1" t="s">
        <v>2549</v>
      </c>
      <c r="B1217" t="s">
        <v>12</v>
      </c>
      <c r="C1217" t="s">
        <v>47</v>
      </c>
      <c r="D1217" t="s">
        <v>2456</v>
      </c>
      <c r="E1217">
        <v>1</v>
      </c>
      <c r="F1217" t="s">
        <v>55</v>
      </c>
      <c r="G1217">
        <v>1</v>
      </c>
      <c r="H1217" t="s">
        <v>45</v>
      </c>
      <c r="I1217">
        <v>1</v>
      </c>
      <c r="J1217" t="s">
        <v>48</v>
      </c>
      <c r="K1217">
        <v>0</v>
      </c>
      <c r="L1217" t="s">
        <v>47</v>
      </c>
      <c r="M1217">
        <v>0</v>
      </c>
      <c r="N1217" t="s">
        <v>47</v>
      </c>
      <c r="O1217">
        <v>1</v>
      </c>
      <c r="P1217" t="s">
        <v>45</v>
      </c>
      <c r="Q1217">
        <v>1</v>
      </c>
      <c r="R1217" t="s">
        <v>45</v>
      </c>
      <c r="S1217">
        <v>0</v>
      </c>
      <c r="T1217" t="s">
        <v>47</v>
      </c>
    </row>
    <row r="1218" spans="1:20" x14ac:dyDescent="0.35">
      <c r="A1218" s="1" t="s">
        <v>2550</v>
      </c>
      <c r="B1218" t="s">
        <v>12</v>
      </c>
      <c r="C1218" t="s">
        <v>47</v>
      </c>
      <c r="D1218" t="s">
        <v>2457</v>
      </c>
      <c r="E1218">
        <v>1</v>
      </c>
      <c r="F1218" t="s">
        <v>48</v>
      </c>
      <c r="G1218">
        <v>1</v>
      </c>
      <c r="H1218" t="s">
        <v>48</v>
      </c>
      <c r="I1218">
        <v>0</v>
      </c>
      <c r="J1218" t="s">
        <v>47</v>
      </c>
      <c r="K1218">
        <v>0</v>
      </c>
      <c r="L1218" t="s">
        <v>47</v>
      </c>
      <c r="M1218">
        <v>1</v>
      </c>
      <c r="N1218" t="s">
        <v>48</v>
      </c>
      <c r="O1218">
        <v>1</v>
      </c>
      <c r="P1218" t="s">
        <v>48</v>
      </c>
      <c r="Q1218">
        <v>0</v>
      </c>
      <c r="R1218" t="s">
        <v>47</v>
      </c>
      <c r="S1218">
        <v>0</v>
      </c>
      <c r="T1218" t="s">
        <v>47</v>
      </c>
    </row>
    <row r="1219" spans="1:20" x14ac:dyDescent="0.35">
      <c r="A1219" s="1" t="s">
        <v>2551</v>
      </c>
      <c r="B1219" t="s">
        <v>12</v>
      </c>
      <c r="C1219" t="s">
        <v>47</v>
      </c>
      <c r="D1219" t="s">
        <v>2458</v>
      </c>
      <c r="E1219">
        <v>1</v>
      </c>
      <c r="F1219" t="s">
        <v>48</v>
      </c>
      <c r="G1219">
        <v>0</v>
      </c>
      <c r="H1219" t="s">
        <v>47</v>
      </c>
      <c r="I1219">
        <v>0</v>
      </c>
      <c r="J1219" t="s">
        <v>47</v>
      </c>
      <c r="K1219">
        <v>0</v>
      </c>
      <c r="L1219" t="s">
        <v>47</v>
      </c>
      <c r="M1219">
        <v>1</v>
      </c>
      <c r="N1219" t="s">
        <v>48</v>
      </c>
      <c r="O1219">
        <v>0</v>
      </c>
      <c r="P1219" t="s">
        <v>47</v>
      </c>
      <c r="Q1219">
        <v>0</v>
      </c>
      <c r="R1219" t="s">
        <v>47</v>
      </c>
      <c r="S1219">
        <v>0</v>
      </c>
      <c r="T1219" t="s">
        <v>47</v>
      </c>
    </row>
    <row r="1220" spans="1:20" x14ac:dyDescent="0.35">
      <c r="A1220" s="1" t="s">
        <v>2552</v>
      </c>
      <c r="B1220" t="s">
        <v>12</v>
      </c>
      <c r="C1220" t="s">
        <v>47</v>
      </c>
      <c r="D1220" t="s">
        <v>2459</v>
      </c>
      <c r="E1220">
        <v>0</v>
      </c>
      <c r="F1220" t="s">
        <v>47</v>
      </c>
      <c r="G1220">
        <v>1</v>
      </c>
      <c r="H1220" t="s">
        <v>48</v>
      </c>
      <c r="I1220">
        <v>0</v>
      </c>
      <c r="J1220" t="s">
        <v>47</v>
      </c>
      <c r="K1220">
        <v>0</v>
      </c>
      <c r="L1220" t="s">
        <v>47</v>
      </c>
      <c r="M1220">
        <v>0</v>
      </c>
      <c r="N1220" t="s">
        <v>47</v>
      </c>
      <c r="O1220">
        <v>1</v>
      </c>
      <c r="P1220" t="s">
        <v>48</v>
      </c>
      <c r="Q1220">
        <v>1</v>
      </c>
      <c r="R1220" t="s">
        <v>48</v>
      </c>
      <c r="S1220">
        <v>0</v>
      </c>
      <c r="T1220" t="s">
        <v>47</v>
      </c>
    </row>
    <row r="1221" spans="1:20" x14ac:dyDescent="0.35">
      <c r="A1221" s="1" t="s">
        <v>2553</v>
      </c>
      <c r="B1221" t="s">
        <v>12</v>
      </c>
      <c r="C1221" t="s">
        <v>47</v>
      </c>
      <c r="D1221" t="s">
        <v>2460</v>
      </c>
      <c r="E1221">
        <v>1</v>
      </c>
      <c r="F1221" t="s">
        <v>48</v>
      </c>
      <c r="G1221">
        <v>0</v>
      </c>
      <c r="H1221" t="s">
        <v>47</v>
      </c>
      <c r="I1221">
        <v>0</v>
      </c>
      <c r="J1221" t="s">
        <v>47</v>
      </c>
      <c r="K1221">
        <v>0</v>
      </c>
      <c r="L1221" t="s">
        <v>47</v>
      </c>
      <c r="M1221">
        <v>0</v>
      </c>
      <c r="N1221" t="s">
        <v>47</v>
      </c>
      <c r="O1221">
        <v>1</v>
      </c>
      <c r="P1221" t="s">
        <v>48</v>
      </c>
      <c r="Q1221">
        <v>1</v>
      </c>
      <c r="R1221" t="s">
        <v>48</v>
      </c>
      <c r="S1221">
        <v>0</v>
      </c>
      <c r="T1221" t="s">
        <v>47</v>
      </c>
    </row>
    <row r="1222" spans="1:20" x14ac:dyDescent="0.35">
      <c r="A1222" s="1" t="s">
        <v>2554</v>
      </c>
      <c r="B1222" t="s">
        <v>12</v>
      </c>
      <c r="C1222" t="s">
        <v>47</v>
      </c>
      <c r="D1222" t="s">
        <v>2461</v>
      </c>
      <c r="E1222">
        <v>0</v>
      </c>
      <c r="F1222" t="s">
        <v>47</v>
      </c>
      <c r="G1222">
        <v>1</v>
      </c>
      <c r="H1222" t="s">
        <v>48</v>
      </c>
      <c r="I1222">
        <v>1</v>
      </c>
      <c r="J1222" t="s">
        <v>48</v>
      </c>
      <c r="K1222">
        <v>0</v>
      </c>
      <c r="L1222" t="s">
        <v>47</v>
      </c>
      <c r="M1222">
        <v>0</v>
      </c>
      <c r="N1222" t="s">
        <v>47</v>
      </c>
      <c r="O1222">
        <v>1</v>
      </c>
      <c r="P1222" t="s">
        <v>48</v>
      </c>
      <c r="Q1222">
        <v>0</v>
      </c>
      <c r="R1222" t="s">
        <v>47</v>
      </c>
      <c r="S1222">
        <v>0</v>
      </c>
      <c r="T1222" t="s">
        <v>47</v>
      </c>
    </row>
    <row r="1223" spans="1:20" x14ac:dyDescent="0.35">
      <c r="A1223" s="1" t="s">
        <v>2555</v>
      </c>
      <c r="B1223" t="s">
        <v>12</v>
      </c>
      <c r="C1223" t="s">
        <v>47</v>
      </c>
      <c r="D1223" t="s">
        <v>2462</v>
      </c>
      <c r="E1223">
        <v>0</v>
      </c>
      <c r="F1223" t="s">
        <v>47</v>
      </c>
      <c r="G1223">
        <v>1</v>
      </c>
      <c r="H1223" t="s">
        <v>48</v>
      </c>
      <c r="I1223">
        <v>0</v>
      </c>
      <c r="J1223" t="s">
        <v>47</v>
      </c>
      <c r="K1223">
        <v>1</v>
      </c>
      <c r="L1223" t="s">
        <v>48</v>
      </c>
      <c r="M1223">
        <v>0</v>
      </c>
      <c r="N1223" t="s">
        <v>47</v>
      </c>
      <c r="O1223">
        <v>1</v>
      </c>
      <c r="P1223" t="s">
        <v>48</v>
      </c>
      <c r="Q1223">
        <v>0</v>
      </c>
      <c r="R1223" t="s">
        <v>47</v>
      </c>
      <c r="S1223">
        <v>0</v>
      </c>
      <c r="T1223" t="s">
        <v>47</v>
      </c>
    </row>
    <row r="1224" spans="1:20" x14ac:dyDescent="0.35">
      <c r="A1224" s="1" t="s">
        <v>2556</v>
      </c>
      <c r="B1224" t="s">
        <v>12</v>
      </c>
      <c r="C1224" t="s">
        <v>47</v>
      </c>
      <c r="D1224" t="s">
        <v>2463</v>
      </c>
      <c r="E1224">
        <v>1</v>
      </c>
      <c r="F1224" t="s">
        <v>48</v>
      </c>
      <c r="G1224">
        <v>1</v>
      </c>
      <c r="H1224" t="s">
        <v>55</v>
      </c>
      <c r="I1224">
        <v>0</v>
      </c>
      <c r="J1224" t="s">
        <v>47</v>
      </c>
      <c r="K1224">
        <v>0</v>
      </c>
      <c r="L1224" t="s">
        <v>47</v>
      </c>
      <c r="M1224">
        <v>0</v>
      </c>
      <c r="N1224" t="s">
        <v>47</v>
      </c>
      <c r="O1224">
        <v>0</v>
      </c>
      <c r="P1224" t="s">
        <v>47</v>
      </c>
      <c r="Q1224">
        <v>1</v>
      </c>
      <c r="R1224" t="s">
        <v>48</v>
      </c>
      <c r="S1224">
        <v>0</v>
      </c>
      <c r="T1224" t="s">
        <v>47</v>
      </c>
    </row>
    <row r="1225" spans="1:20" x14ac:dyDescent="0.35">
      <c r="A1225" s="1" t="s">
        <v>2557</v>
      </c>
      <c r="B1225" t="s">
        <v>12</v>
      </c>
      <c r="C1225" t="s">
        <v>47</v>
      </c>
      <c r="D1225" t="s">
        <v>2464</v>
      </c>
      <c r="E1225">
        <v>1</v>
      </c>
      <c r="F1225" t="s">
        <v>45</v>
      </c>
      <c r="G1225">
        <v>0</v>
      </c>
      <c r="H1225" t="s">
        <v>47</v>
      </c>
      <c r="I1225">
        <v>0</v>
      </c>
      <c r="J1225" t="s">
        <v>47</v>
      </c>
      <c r="K1225">
        <v>0</v>
      </c>
      <c r="L1225" t="s">
        <v>47</v>
      </c>
      <c r="M1225">
        <v>1</v>
      </c>
      <c r="N1225" t="s">
        <v>48</v>
      </c>
      <c r="O1225">
        <v>0</v>
      </c>
      <c r="P1225" t="s">
        <v>47</v>
      </c>
      <c r="Q1225">
        <v>1</v>
      </c>
      <c r="R1225" t="s">
        <v>48</v>
      </c>
      <c r="S1225">
        <v>0</v>
      </c>
      <c r="T1225" t="s">
        <v>47</v>
      </c>
    </row>
    <row r="1226" spans="1:20" x14ac:dyDescent="0.35">
      <c r="A1226" s="1" t="s">
        <v>2558</v>
      </c>
      <c r="B1226" t="s">
        <v>12</v>
      </c>
      <c r="C1226" t="s">
        <v>47</v>
      </c>
      <c r="D1226" t="s">
        <v>2465</v>
      </c>
      <c r="E1226">
        <v>1</v>
      </c>
      <c r="F1226" t="s">
        <v>48</v>
      </c>
      <c r="G1226">
        <v>0</v>
      </c>
      <c r="H1226" t="s">
        <v>47</v>
      </c>
      <c r="I1226">
        <v>0</v>
      </c>
      <c r="J1226" t="s">
        <v>47</v>
      </c>
      <c r="K1226">
        <v>0</v>
      </c>
      <c r="L1226" t="s">
        <v>47</v>
      </c>
      <c r="M1226">
        <v>0</v>
      </c>
      <c r="N1226" t="s">
        <v>47</v>
      </c>
      <c r="O1226">
        <v>0</v>
      </c>
      <c r="P1226" t="s">
        <v>47</v>
      </c>
      <c r="Q1226">
        <v>0</v>
      </c>
      <c r="R1226" t="s">
        <v>47</v>
      </c>
      <c r="S1226">
        <v>0</v>
      </c>
      <c r="T1226" t="s">
        <v>47</v>
      </c>
    </row>
    <row r="1227" spans="1:20" x14ac:dyDescent="0.35">
      <c r="A1227" s="1" t="s">
        <v>2559</v>
      </c>
      <c r="B1227" t="s">
        <v>12</v>
      </c>
      <c r="C1227" t="s">
        <v>47</v>
      </c>
      <c r="D1227" t="s">
        <v>2466</v>
      </c>
      <c r="E1227">
        <v>1</v>
      </c>
      <c r="F1227" t="s">
        <v>45</v>
      </c>
      <c r="G1227">
        <v>1</v>
      </c>
      <c r="H1227" t="s">
        <v>45</v>
      </c>
      <c r="I1227">
        <v>0</v>
      </c>
      <c r="J1227" t="s">
        <v>47</v>
      </c>
      <c r="K1227">
        <v>0</v>
      </c>
      <c r="L1227" t="s">
        <v>47</v>
      </c>
      <c r="M1227">
        <v>0</v>
      </c>
      <c r="N1227" t="s">
        <v>47</v>
      </c>
      <c r="O1227">
        <v>0</v>
      </c>
      <c r="P1227" t="s">
        <v>47</v>
      </c>
      <c r="Q1227">
        <v>1</v>
      </c>
      <c r="R1227" t="s">
        <v>45</v>
      </c>
      <c r="S1227">
        <v>0</v>
      </c>
      <c r="T1227" t="s">
        <v>47</v>
      </c>
    </row>
    <row r="1228" spans="1:20" x14ac:dyDescent="0.35">
      <c r="A1228" s="1" t="s">
        <v>2560</v>
      </c>
      <c r="B1228" t="s">
        <v>12</v>
      </c>
      <c r="C1228" t="s">
        <v>47</v>
      </c>
      <c r="D1228" t="s">
        <v>2467</v>
      </c>
      <c r="E1228">
        <v>1</v>
      </c>
      <c r="F1228" t="s">
        <v>48</v>
      </c>
      <c r="G1228">
        <v>1</v>
      </c>
      <c r="H1228" t="s">
        <v>48</v>
      </c>
      <c r="I1228">
        <v>0</v>
      </c>
      <c r="J1228" t="s">
        <v>47</v>
      </c>
      <c r="K1228">
        <v>0</v>
      </c>
      <c r="L1228" t="s">
        <v>47</v>
      </c>
      <c r="M1228">
        <v>1</v>
      </c>
      <c r="N1228" t="s">
        <v>48</v>
      </c>
      <c r="O1228">
        <v>0</v>
      </c>
      <c r="P1228" t="s">
        <v>47</v>
      </c>
      <c r="Q1228">
        <v>1</v>
      </c>
      <c r="R1228" t="s">
        <v>45</v>
      </c>
      <c r="S1228">
        <v>0</v>
      </c>
      <c r="T1228" t="s">
        <v>47</v>
      </c>
    </row>
    <row r="1229" spans="1:20" x14ac:dyDescent="0.35">
      <c r="A1229" s="1" t="s">
        <v>2561</v>
      </c>
      <c r="B1229" t="s">
        <v>12</v>
      </c>
      <c r="C1229" t="s">
        <v>47</v>
      </c>
      <c r="D1229" t="s">
        <v>2468</v>
      </c>
      <c r="E1229">
        <v>0</v>
      </c>
      <c r="F1229" t="s">
        <v>47</v>
      </c>
      <c r="G1229">
        <v>1</v>
      </c>
      <c r="H1229" t="s">
        <v>48</v>
      </c>
      <c r="I1229">
        <v>0</v>
      </c>
      <c r="J1229" t="s">
        <v>47</v>
      </c>
      <c r="K1229">
        <v>0</v>
      </c>
      <c r="L1229" t="s">
        <v>47</v>
      </c>
      <c r="M1229">
        <v>0</v>
      </c>
      <c r="N1229" t="s">
        <v>47</v>
      </c>
      <c r="O1229">
        <v>0</v>
      </c>
      <c r="P1229" t="s">
        <v>47</v>
      </c>
      <c r="Q1229">
        <v>0</v>
      </c>
      <c r="R1229" t="s">
        <v>47</v>
      </c>
      <c r="S1229">
        <v>0</v>
      </c>
      <c r="T1229" t="s">
        <v>47</v>
      </c>
    </row>
    <row r="1230" spans="1:20" x14ac:dyDescent="0.35">
      <c r="A1230" s="1" t="s">
        <v>2562</v>
      </c>
      <c r="B1230" t="s">
        <v>12</v>
      </c>
      <c r="C1230" t="s">
        <v>47</v>
      </c>
      <c r="D1230" t="s">
        <v>2469</v>
      </c>
      <c r="E1230">
        <v>1</v>
      </c>
      <c r="F1230" t="s">
        <v>55</v>
      </c>
      <c r="G1230">
        <v>0</v>
      </c>
      <c r="H1230" t="s">
        <v>47</v>
      </c>
      <c r="I1230">
        <v>0</v>
      </c>
      <c r="J1230" t="s">
        <v>47</v>
      </c>
      <c r="K1230">
        <v>0</v>
      </c>
      <c r="L1230" t="s">
        <v>47</v>
      </c>
      <c r="M1230">
        <v>0</v>
      </c>
      <c r="N1230" t="s">
        <v>47</v>
      </c>
      <c r="O1230">
        <v>0</v>
      </c>
      <c r="P1230" t="s">
        <v>47</v>
      </c>
      <c r="Q1230">
        <v>0</v>
      </c>
      <c r="R1230" t="s">
        <v>47</v>
      </c>
      <c r="S1230">
        <v>1</v>
      </c>
      <c r="T1230" t="s">
        <v>45</v>
      </c>
    </row>
    <row r="1231" spans="1:20" x14ac:dyDescent="0.35">
      <c r="A1231" s="1" t="s">
        <v>2563</v>
      </c>
      <c r="B1231" t="s">
        <v>12</v>
      </c>
      <c r="C1231" t="s">
        <v>47</v>
      </c>
      <c r="D1231" t="s">
        <v>2470</v>
      </c>
      <c r="E1231">
        <v>1</v>
      </c>
      <c r="F1231" t="s">
        <v>48</v>
      </c>
      <c r="G1231">
        <v>1</v>
      </c>
      <c r="H1231" t="s">
        <v>45</v>
      </c>
      <c r="I1231">
        <v>0</v>
      </c>
      <c r="J1231" t="s">
        <v>47</v>
      </c>
      <c r="K1231">
        <v>0</v>
      </c>
      <c r="L1231" t="s">
        <v>47</v>
      </c>
      <c r="M1231">
        <v>0</v>
      </c>
      <c r="N1231" t="s">
        <v>47</v>
      </c>
      <c r="O1231">
        <v>1</v>
      </c>
      <c r="P1231" t="s">
        <v>48</v>
      </c>
      <c r="Q1231">
        <v>1</v>
      </c>
      <c r="R1231" t="s">
        <v>45</v>
      </c>
      <c r="S1231">
        <v>0</v>
      </c>
      <c r="T1231" t="s">
        <v>47</v>
      </c>
    </row>
    <row r="1232" spans="1:20" x14ac:dyDescent="0.35">
      <c r="A1232" s="1" t="s">
        <v>2564</v>
      </c>
      <c r="B1232" t="s">
        <v>12</v>
      </c>
      <c r="C1232" t="s">
        <v>47</v>
      </c>
      <c r="D1232" t="s">
        <v>2471</v>
      </c>
      <c r="E1232">
        <v>0</v>
      </c>
      <c r="F1232" t="s">
        <v>47</v>
      </c>
      <c r="G1232">
        <v>1</v>
      </c>
      <c r="H1232" t="s">
        <v>45</v>
      </c>
      <c r="I1232">
        <v>0</v>
      </c>
      <c r="J1232" t="s">
        <v>47</v>
      </c>
      <c r="K1232">
        <v>0</v>
      </c>
      <c r="L1232" t="s">
        <v>47</v>
      </c>
      <c r="M1232">
        <v>0</v>
      </c>
      <c r="N1232" t="s">
        <v>47</v>
      </c>
      <c r="O1232">
        <v>1</v>
      </c>
      <c r="P1232" t="s">
        <v>48</v>
      </c>
      <c r="Q1232">
        <v>1</v>
      </c>
      <c r="R1232" t="s">
        <v>45</v>
      </c>
      <c r="S1232">
        <v>1</v>
      </c>
      <c r="T1232" t="s">
        <v>45</v>
      </c>
    </row>
    <row r="1233" spans="1:20" x14ac:dyDescent="0.35">
      <c r="A1233" s="1" t="s">
        <v>2565</v>
      </c>
      <c r="B1233" t="s">
        <v>12</v>
      </c>
      <c r="C1233" t="s">
        <v>47</v>
      </c>
      <c r="D1233" t="s">
        <v>2472</v>
      </c>
      <c r="E1233">
        <v>1</v>
      </c>
      <c r="F1233" t="s">
        <v>55</v>
      </c>
      <c r="G1233">
        <v>1</v>
      </c>
      <c r="H1233" t="s">
        <v>55</v>
      </c>
      <c r="I1233">
        <v>0</v>
      </c>
      <c r="J1233" t="s">
        <v>47</v>
      </c>
      <c r="K1233">
        <v>0</v>
      </c>
      <c r="L1233" t="s">
        <v>47</v>
      </c>
      <c r="M1233">
        <v>0</v>
      </c>
      <c r="N1233" t="s">
        <v>47</v>
      </c>
      <c r="O1233">
        <v>0</v>
      </c>
      <c r="P1233" t="s">
        <v>47</v>
      </c>
      <c r="Q1233">
        <v>1</v>
      </c>
      <c r="R1233" t="s">
        <v>45</v>
      </c>
      <c r="S1233">
        <v>0</v>
      </c>
      <c r="T1233" t="s">
        <v>47</v>
      </c>
    </row>
    <row r="1234" spans="1:20" x14ac:dyDescent="0.35">
      <c r="A1234" s="1" t="s">
        <v>2566</v>
      </c>
      <c r="B1234" t="s">
        <v>12</v>
      </c>
      <c r="C1234" t="s">
        <v>47</v>
      </c>
      <c r="D1234" t="s">
        <v>2473</v>
      </c>
      <c r="E1234">
        <v>1</v>
      </c>
      <c r="F1234" t="s">
        <v>48</v>
      </c>
      <c r="G1234">
        <v>1</v>
      </c>
      <c r="H1234" t="s">
        <v>48</v>
      </c>
      <c r="I1234">
        <v>1</v>
      </c>
      <c r="J1234" t="s">
        <v>48</v>
      </c>
      <c r="K1234">
        <v>0</v>
      </c>
      <c r="L1234" t="s">
        <v>47</v>
      </c>
      <c r="M1234">
        <v>0</v>
      </c>
      <c r="N1234" t="s">
        <v>47</v>
      </c>
      <c r="O1234">
        <v>0</v>
      </c>
      <c r="P1234" t="s">
        <v>47</v>
      </c>
      <c r="Q1234">
        <v>1</v>
      </c>
      <c r="R1234" t="s">
        <v>45</v>
      </c>
      <c r="S1234">
        <v>1</v>
      </c>
      <c r="T1234" t="s">
        <v>45</v>
      </c>
    </row>
    <row r="1235" spans="1:20" x14ac:dyDescent="0.35">
      <c r="A1235" s="1" t="s">
        <v>2567</v>
      </c>
      <c r="B1235" t="s">
        <v>12</v>
      </c>
      <c r="C1235" t="s">
        <v>47</v>
      </c>
      <c r="D1235" t="s">
        <v>2474</v>
      </c>
      <c r="E1235">
        <v>1</v>
      </c>
      <c r="F1235" t="s">
        <v>48</v>
      </c>
      <c r="G1235">
        <v>1</v>
      </c>
      <c r="H1235" t="s">
        <v>48</v>
      </c>
      <c r="I1235">
        <v>0</v>
      </c>
      <c r="J1235" t="s">
        <v>47</v>
      </c>
      <c r="K1235">
        <v>1</v>
      </c>
      <c r="L1235" t="s">
        <v>48</v>
      </c>
      <c r="M1235">
        <v>1</v>
      </c>
      <c r="N1235" t="s">
        <v>48</v>
      </c>
      <c r="O1235">
        <v>0</v>
      </c>
      <c r="P1235" t="s">
        <v>47</v>
      </c>
      <c r="Q1235">
        <v>1</v>
      </c>
      <c r="R1235" t="s">
        <v>48</v>
      </c>
      <c r="S1235">
        <v>0</v>
      </c>
      <c r="T1235" t="s">
        <v>47</v>
      </c>
    </row>
    <row r="1236" spans="1:20" x14ac:dyDescent="0.35">
      <c r="A1236" s="1" t="s">
        <v>2568</v>
      </c>
      <c r="B1236" t="s">
        <v>12</v>
      </c>
      <c r="C1236" t="s">
        <v>47</v>
      </c>
      <c r="D1236" t="s">
        <v>2475</v>
      </c>
      <c r="E1236">
        <v>1</v>
      </c>
      <c r="F1236" t="s">
        <v>45</v>
      </c>
      <c r="G1236">
        <v>1</v>
      </c>
      <c r="H1236" t="s">
        <v>48</v>
      </c>
      <c r="I1236">
        <v>0</v>
      </c>
      <c r="J1236" t="s">
        <v>47</v>
      </c>
      <c r="K1236">
        <v>0</v>
      </c>
      <c r="L1236" t="s">
        <v>47</v>
      </c>
      <c r="M1236">
        <v>0</v>
      </c>
      <c r="N1236" t="s">
        <v>47</v>
      </c>
      <c r="O1236">
        <v>1</v>
      </c>
      <c r="P1236" t="s">
        <v>48</v>
      </c>
      <c r="Q1236">
        <v>0</v>
      </c>
      <c r="R1236" t="s">
        <v>47</v>
      </c>
      <c r="S1236">
        <v>0</v>
      </c>
      <c r="T1236" t="s">
        <v>47</v>
      </c>
    </row>
    <row r="1237" spans="1:20" x14ac:dyDescent="0.35">
      <c r="A1237" s="1" t="s">
        <v>2569</v>
      </c>
      <c r="B1237" t="s">
        <v>12</v>
      </c>
      <c r="C1237" t="s">
        <v>47</v>
      </c>
      <c r="D1237" t="s">
        <v>2476</v>
      </c>
      <c r="E1237">
        <v>1</v>
      </c>
      <c r="F1237" t="s">
        <v>48</v>
      </c>
      <c r="G1237">
        <v>0</v>
      </c>
      <c r="H1237" t="s">
        <v>47</v>
      </c>
      <c r="I1237">
        <v>0</v>
      </c>
      <c r="J1237" t="s">
        <v>47</v>
      </c>
      <c r="K1237">
        <v>0</v>
      </c>
      <c r="L1237" t="s">
        <v>47</v>
      </c>
      <c r="M1237">
        <v>0</v>
      </c>
      <c r="N1237" t="s">
        <v>47</v>
      </c>
      <c r="O1237">
        <v>1</v>
      </c>
      <c r="P1237" t="s">
        <v>48</v>
      </c>
      <c r="Q1237">
        <v>0</v>
      </c>
      <c r="R1237" t="s">
        <v>47</v>
      </c>
      <c r="S1237">
        <v>0</v>
      </c>
      <c r="T1237" t="s">
        <v>47</v>
      </c>
    </row>
    <row r="1238" spans="1:20" x14ac:dyDescent="0.35">
      <c r="A1238" s="1" t="s">
        <v>2570</v>
      </c>
      <c r="B1238" t="s">
        <v>12</v>
      </c>
      <c r="C1238" t="s">
        <v>47</v>
      </c>
      <c r="D1238" t="s">
        <v>2477</v>
      </c>
      <c r="E1238">
        <v>1</v>
      </c>
      <c r="F1238" t="s">
        <v>48</v>
      </c>
      <c r="G1238">
        <v>1</v>
      </c>
      <c r="H1238" t="s">
        <v>48</v>
      </c>
      <c r="I1238">
        <v>1</v>
      </c>
      <c r="J1238" t="s">
        <v>48</v>
      </c>
      <c r="K1238">
        <v>0</v>
      </c>
      <c r="L1238" t="s">
        <v>47</v>
      </c>
      <c r="M1238">
        <v>0</v>
      </c>
      <c r="N1238" t="s">
        <v>47</v>
      </c>
      <c r="O1238">
        <v>0</v>
      </c>
      <c r="P1238" t="s">
        <v>47</v>
      </c>
      <c r="Q1238">
        <v>0</v>
      </c>
      <c r="R1238" t="s">
        <v>47</v>
      </c>
      <c r="S1238">
        <v>0</v>
      </c>
      <c r="T1238" t="s">
        <v>47</v>
      </c>
    </row>
    <row r="1239" spans="1:20" x14ac:dyDescent="0.35">
      <c r="A1239" s="1" t="s">
        <v>2571</v>
      </c>
      <c r="B1239" t="s">
        <v>12</v>
      </c>
      <c r="C1239" t="s">
        <v>47</v>
      </c>
      <c r="D1239" t="s">
        <v>2478</v>
      </c>
      <c r="E1239">
        <v>1</v>
      </c>
      <c r="F1239" t="s">
        <v>48</v>
      </c>
      <c r="G1239">
        <v>1</v>
      </c>
      <c r="H1239" t="s">
        <v>48</v>
      </c>
      <c r="I1239">
        <v>0</v>
      </c>
      <c r="J1239" t="s">
        <v>47</v>
      </c>
      <c r="K1239">
        <v>1</v>
      </c>
      <c r="L1239" t="s">
        <v>48</v>
      </c>
      <c r="M1239">
        <v>0</v>
      </c>
      <c r="N1239" t="s">
        <v>47</v>
      </c>
      <c r="O1239">
        <v>0</v>
      </c>
      <c r="P1239" t="s">
        <v>47</v>
      </c>
      <c r="Q1239">
        <v>1</v>
      </c>
      <c r="R1239" t="s">
        <v>48</v>
      </c>
      <c r="S1239">
        <v>0</v>
      </c>
      <c r="T1239" t="s">
        <v>47</v>
      </c>
    </row>
    <row r="1240" spans="1:20" x14ac:dyDescent="0.35">
      <c r="A1240" s="1" t="s">
        <v>2572</v>
      </c>
      <c r="B1240" t="s">
        <v>12</v>
      </c>
      <c r="C1240" t="s">
        <v>47</v>
      </c>
      <c r="D1240" t="s">
        <v>2479</v>
      </c>
      <c r="E1240">
        <v>1</v>
      </c>
      <c r="F1240" t="s">
        <v>48</v>
      </c>
      <c r="G1240">
        <v>0</v>
      </c>
      <c r="H1240" t="s">
        <v>47</v>
      </c>
      <c r="I1240">
        <v>0</v>
      </c>
      <c r="J1240" t="s">
        <v>47</v>
      </c>
      <c r="K1240">
        <v>0</v>
      </c>
      <c r="L1240" t="s">
        <v>47</v>
      </c>
      <c r="M1240">
        <v>1</v>
      </c>
      <c r="N1240" t="s">
        <v>48</v>
      </c>
      <c r="O1240">
        <v>0</v>
      </c>
      <c r="P1240" t="s">
        <v>47</v>
      </c>
      <c r="Q1240">
        <v>1</v>
      </c>
      <c r="R1240" t="s">
        <v>45</v>
      </c>
      <c r="S1240">
        <v>0</v>
      </c>
      <c r="T1240" t="s">
        <v>47</v>
      </c>
    </row>
    <row r="1241" spans="1:20" x14ac:dyDescent="0.35">
      <c r="A1241" s="1" t="s">
        <v>2573</v>
      </c>
      <c r="B1241" t="s">
        <v>12</v>
      </c>
      <c r="C1241" t="s">
        <v>47</v>
      </c>
      <c r="D1241" t="s">
        <v>2480</v>
      </c>
      <c r="E1241">
        <v>1</v>
      </c>
      <c r="F1241" t="s">
        <v>48</v>
      </c>
      <c r="G1241">
        <v>1</v>
      </c>
      <c r="H1241" t="s">
        <v>48</v>
      </c>
      <c r="I1241">
        <v>0</v>
      </c>
      <c r="J1241" t="s">
        <v>47</v>
      </c>
      <c r="K1241">
        <v>0</v>
      </c>
      <c r="L1241" t="s">
        <v>47</v>
      </c>
      <c r="M1241">
        <v>0</v>
      </c>
      <c r="N1241" t="s">
        <v>47</v>
      </c>
      <c r="O1241">
        <v>1</v>
      </c>
      <c r="P1241" t="s">
        <v>48</v>
      </c>
      <c r="Q1241">
        <v>0</v>
      </c>
      <c r="R1241" t="s">
        <v>47</v>
      </c>
      <c r="S1241">
        <v>0</v>
      </c>
      <c r="T1241" t="s">
        <v>47</v>
      </c>
    </row>
    <row r="1242" spans="1:20" x14ac:dyDescent="0.35">
      <c r="A1242" s="1" t="s">
        <v>2574</v>
      </c>
      <c r="B1242" t="s">
        <v>12</v>
      </c>
      <c r="C1242" t="s">
        <v>47</v>
      </c>
      <c r="D1242" t="s">
        <v>2481</v>
      </c>
      <c r="E1242">
        <v>1</v>
      </c>
      <c r="F1242" t="s">
        <v>48</v>
      </c>
      <c r="G1242">
        <v>0</v>
      </c>
      <c r="H1242" t="s">
        <v>47</v>
      </c>
      <c r="I1242">
        <v>0</v>
      </c>
      <c r="J1242" t="s">
        <v>47</v>
      </c>
      <c r="K1242">
        <v>0</v>
      </c>
      <c r="L1242" t="s">
        <v>47</v>
      </c>
      <c r="M1242">
        <v>0</v>
      </c>
      <c r="N1242" t="s">
        <v>47</v>
      </c>
      <c r="O1242">
        <v>0</v>
      </c>
      <c r="P1242" t="s">
        <v>47</v>
      </c>
      <c r="Q1242">
        <v>1</v>
      </c>
      <c r="R1242" t="s">
        <v>48</v>
      </c>
      <c r="S1242">
        <v>0</v>
      </c>
      <c r="T1242" t="s">
        <v>47</v>
      </c>
    </row>
    <row r="1243" spans="1:20" x14ac:dyDescent="0.35">
      <c r="A1243" s="1" t="s">
        <v>2575</v>
      </c>
      <c r="B1243" t="s">
        <v>12</v>
      </c>
      <c r="C1243" t="s">
        <v>47</v>
      </c>
      <c r="D1243" t="s">
        <v>2482</v>
      </c>
      <c r="E1243">
        <v>1</v>
      </c>
      <c r="F1243" t="s">
        <v>45</v>
      </c>
      <c r="G1243">
        <v>0</v>
      </c>
      <c r="H1243" t="s">
        <v>47</v>
      </c>
      <c r="I1243">
        <v>0</v>
      </c>
      <c r="J1243" t="s">
        <v>47</v>
      </c>
      <c r="K1243">
        <v>0</v>
      </c>
      <c r="L1243" t="s">
        <v>47</v>
      </c>
      <c r="M1243">
        <v>1</v>
      </c>
      <c r="N1243" t="s">
        <v>45</v>
      </c>
      <c r="O1243">
        <v>0</v>
      </c>
      <c r="P1243" t="s">
        <v>47</v>
      </c>
      <c r="Q1243">
        <v>1</v>
      </c>
      <c r="R1243" t="s">
        <v>45</v>
      </c>
      <c r="S1243">
        <v>0</v>
      </c>
      <c r="T1243" t="s">
        <v>47</v>
      </c>
    </row>
    <row r="1244" spans="1:20" x14ac:dyDescent="0.35">
      <c r="A1244" s="1" t="s">
        <v>2576</v>
      </c>
      <c r="B1244" t="s">
        <v>12</v>
      </c>
      <c r="C1244" t="s">
        <v>47</v>
      </c>
      <c r="D1244" t="s">
        <v>2483</v>
      </c>
      <c r="E1244">
        <v>1</v>
      </c>
      <c r="F1244" t="s">
        <v>55</v>
      </c>
      <c r="G1244">
        <v>0</v>
      </c>
      <c r="H1244" t="s">
        <v>47</v>
      </c>
      <c r="I1244">
        <v>0</v>
      </c>
      <c r="J1244" t="s">
        <v>47</v>
      </c>
      <c r="K1244">
        <v>1</v>
      </c>
      <c r="L1244" t="s">
        <v>48</v>
      </c>
      <c r="M1244">
        <v>0</v>
      </c>
      <c r="N1244" t="s">
        <v>47</v>
      </c>
      <c r="O1244">
        <v>0</v>
      </c>
      <c r="P1244" t="s">
        <v>47</v>
      </c>
      <c r="Q1244">
        <v>1</v>
      </c>
      <c r="R1244" t="s">
        <v>48</v>
      </c>
      <c r="S1244">
        <v>1</v>
      </c>
      <c r="T1244" t="s">
        <v>48</v>
      </c>
    </row>
    <row r="1245" spans="1:20" x14ac:dyDescent="0.35">
      <c r="A1245" s="1" t="s">
        <v>2577</v>
      </c>
      <c r="B1245" t="s">
        <v>12</v>
      </c>
      <c r="C1245" t="s">
        <v>47</v>
      </c>
      <c r="D1245" t="s">
        <v>2484</v>
      </c>
      <c r="E1245">
        <v>0</v>
      </c>
      <c r="F1245" t="s">
        <v>47</v>
      </c>
      <c r="G1245">
        <v>1</v>
      </c>
      <c r="H1245" t="s">
        <v>48</v>
      </c>
      <c r="I1245">
        <v>0</v>
      </c>
      <c r="J1245" t="s">
        <v>47</v>
      </c>
      <c r="K1245">
        <v>0</v>
      </c>
      <c r="L1245" t="s">
        <v>47</v>
      </c>
      <c r="M1245">
        <v>0</v>
      </c>
      <c r="N1245" t="s">
        <v>47</v>
      </c>
      <c r="O1245">
        <v>1</v>
      </c>
      <c r="P1245" t="s">
        <v>48</v>
      </c>
      <c r="Q1245">
        <v>0</v>
      </c>
      <c r="R1245" t="s">
        <v>47</v>
      </c>
      <c r="S1245">
        <v>0</v>
      </c>
      <c r="T1245" t="s">
        <v>47</v>
      </c>
    </row>
    <row r="1246" spans="1:20" x14ac:dyDescent="0.35">
      <c r="A1246" s="1" t="s">
        <v>2578</v>
      </c>
      <c r="B1246" t="s">
        <v>12</v>
      </c>
      <c r="C1246" t="s">
        <v>47</v>
      </c>
      <c r="D1246" t="s">
        <v>2485</v>
      </c>
      <c r="E1246">
        <v>1</v>
      </c>
      <c r="F1246" t="s">
        <v>45</v>
      </c>
      <c r="G1246">
        <v>1</v>
      </c>
      <c r="H1246" t="s">
        <v>48</v>
      </c>
      <c r="I1246">
        <v>0</v>
      </c>
      <c r="J1246" t="s">
        <v>47</v>
      </c>
      <c r="K1246">
        <v>0</v>
      </c>
      <c r="L1246" t="s">
        <v>47</v>
      </c>
      <c r="M1246">
        <v>0</v>
      </c>
      <c r="N1246" t="s">
        <v>47</v>
      </c>
      <c r="O1246">
        <v>1</v>
      </c>
      <c r="P1246" t="s">
        <v>48</v>
      </c>
      <c r="Q1246">
        <v>0</v>
      </c>
      <c r="R1246" t="s">
        <v>47</v>
      </c>
      <c r="S1246">
        <v>0</v>
      </c>
      <c r="T1246" t="s">
        <v>47</v>
      </c>
    </row>
    <row r="1247" spans="1:20" x14ac:dyDescent="0.35">
      <c r="A1247" s="1" t="s">
        <v>2579</v>
      </c>
      <c r="B1247" t="s">
        <v>12</v>
      </c>
      <c r="C1247" t="s">
        <v>47</v>
      </c>
      <c r="D1247" t="s">
        <v>2486</v>
      </c>
      <c r="E1247">
        <v>1</v>
      </c>
      <c r="F1247" t="s">
        <v>48</v>
      </c>
      <c r="G1247">
        <v>1</v>
      </c>
      <c r="H1247" t="s">
        <v>45</v>
      </c>
      <c r="I1247">
        <v>0</v>
      </c>
      <c r="J1247" t="s">
        <v>47</v>
      </c>
      <c r="K1247">
        <v>1</v>
      </c>
      <c r="L1247" t="s">
        <v>45</v>
      </c>
      <c r="M1247">
        <v>0</v>
      </c>
      <c r="N1247" t="s">
        <v>47</v>
      </c>
      <c r="O1247">
        <v>0</v>
      </c>
      <c r="P1247" t="s">
        <v>47</v>
      </c>
      <c r="Q1247">
        <v>1</v>
      </c>
      <c r="R1247" t="s">
        <v>45</v>
      </c>
      <c r="S1247">
        <v>0</v>
      </c>
      <c r="T1247" t="s">
        <v>47</v>
      </c>
    </row>
    <row r="1248" spans="1:20" x14ac:dyDescent="0.35">
      <c r="A1248" s="1" t="s">
        <v>2580</v>
      </c>
      <c r="B1248" t="s">
        <v>12</v>
      </c>
      <c r="C1248" t="s">
        <v>47</v>
      </c>
      <c r="D1248" t="s">
        <v>2487</v>
      </c>
      <c r="E1248">
        <v>0</v>
      </c>
      <c r="F1248" t="s">
        <v>47</v>
      </c>
      <c r="G1248">
        <v>1</v>
      </c>
      <c r="H1248" t="s">
        <v>48</v>
      </c>
      <c r="I1248">
        <v>1</v>
      </c>
      <c r="J1248" t="s">
        <v>48</v>
      </c>
      <c r="K1248">
        <v>0</v>
      </c>
      <c r="L1248" t="s">
        <v>47</v>
      </c>
      <c r="M1248">
        <v>0</v>
      </c>
      <c r="N1248" t="s">
        <v>47</v>
      </c>
      <c r="O1248">
        <v>1</v>
      </c>
      <c r="P1248" t="s">
        <v>48</v>
      </c>
      <c r="Q1248">
        <v>1</v>
      </c>
      <c r="R1248" t="s">
        <v>45</v>
      </c>
      <c r="S1248">
        <v>0</v>
      </c>
      <c r="T1248" t="s">
        <v>47</v>
      </c>
    </row>
    <row r="1249" spans="1:20" x14ac:dyDescent="0.35">
      <c r="A1249" s="1" t="s">
        <v>2581</v>
      </c>
      <c r="B1249" t="s">
        <v>12</v>
      </c>
      <c r="C1249" t="s">
        <v>47</v>
      </c>
      <c r="D1249" t="s">
        <v>2488</v>
      </c>
      <c r="E1249">
        <v>1</v>
      </c>
      <c r="F1249" t="s">
        <v>48</v>
      </c>
      <c r="G1249">
        <v>0</v>
      </c>
      <c r="H1249" t="s">
        <v>47</v>
      </c>
      <c r="I1249">
        <v>0</v>
      </c>
      <c r="J1249" t="s">
        <v>47</v>
      </c>
      <c r="K1249">
        <v>0</v>
      </c>
      <c r="L1249" t="s">
        <v>47</v>
      </c>
      <c r="M1249">
        <v>0</v>
      </c>
      <c r="N1249" t="s">
        <v>47</v>
      </c>
      <c r="O1249">
        <v>0</v>
      </c>
      <c r="P1249" t="s">
        <v>47</v>
      </c>
      <c r="Q1249">
        <v>0</v>
      </c>
      <c r="R1249" t="s">
        <v>47</v>
      </c>
      <c r="S1249">
        <v>0</v>
      </c>
      <c r="T1249" t="s">
        <v>47</v>
      </c>
    </row>
    <row r="1250" spans="1:20" x14ac:dyDescent="0.35">
      <c r="A1250" s="1" t="s">
        <v>2582</v>
      </c>
      <c r="B1250" t="s">
        <v>12</v>
      </c>
      <c r="C1250" t="s">
        <v>47</v>
      </c>
      <c r="D1250" t="s">
        <v>2489</v>
      </c>
      <c r="E1250">
        <v>1</v>
      </c>
      <c r="F1250" t="s">
        <v>48</v>
      </c>
      <c r="G1250">
        <v>1</v>
      </c>
      <c r="H1250" t="s">
        <v>48</v>
      </c>
      <c r="I1250">
        <v>0</v>
      </c>
      <c r="J1250" t="s">
        <v>47</v>
      </c>
      <c r="K1250">
        <v>0</v>
      </c>
      <c r="L1250" t="s">
        <v>47</v>
      </c>
      <c r="M1250">
        <v>0</v>
      </c>
      <c r="N1250" t="s">
        <v>47</v>
      </c>
      <c r="O1250">
        <v>0</v>
      </c>
      <c r="P1250" t="s">
        <v>47</v>
      </c>
      <c r="Q1250">
        <v>1</v>
      </c>
      <c r="R1250" t="s">
        <v>45</v>
      </c>
      <c r="S1250">
        <v>0</v>
      </c>
      <c r="T1250" t="s">
        <v>47</v>
      </c>
    </row>
    <row r="1251" spans="1:20" x14ac:dyDescent="0.35">
      <c r="A1251" s="1" t="s">
        <v>2583</v>
      </c>
      <c r="B1251" t="s">
        <v>12</v>
      </c>
      <c r="C1251" t="s">
        <v>47</v>
      </c>
      <c r="D1251" t="s">
        <v>2490</v>
      </c>
      <c r="E1251">
        <v>1</v>
      </c>
      <c r="F1251" t="s">
        <v>48</v>
      </c>
      <c r="G1251">
        <v>0</v>
      </c>
      <c r="H1251" t="s">
        <v>47</v>
      </c>
      <c r="I1251">
        <v>0</v>
      </c>
      <c r="J1251" t="s">
        <v>47</v>
      </c>
      <c r="K1251">
        <v>0</v>
      </c>
      <c r="L1251" t="s">
        <v>47</v>
      </c>
      <c r="M1251">
        <v>0</v>
      </c>
      <c r="N1251" t="s">
        <v>47</v>
      </c>
      <c r="O1251">
        <v>0</v>
      </c>
      <c r="P1251" t="s">
        <v>47</v>
      </c>
      <c r="Q1251">
        <v>0</v>
      </c>
      <c r="R1251" t="s">
        <v>47</v>
      </c>
      <c r="S1251">
        <v>0</v>
      </c>
      <c r="T1251" t="s">
        <v>47</v>
      </c>
    </row>
    <row r="1252" spans="1:20" x14ac:dyDescent="0.35">
      <c r="A1252" s="1" t="s">
        <v>2584</v>
      </c>
      <c r="B1252" t="s">
        <v>12</v>
      </c>
      <c r="C1252" t="s">
        <v>47</v>
      </c>
      <c r="D1252" t="s">
        <v>2491</v>
      </c>
      <c r="E1252">
        <v>0</v>
      </c>
      <c r="F1252" t="s">
        <v>47</v>
      </c>
      <c r="G1252">
        <v>0</v>
      </c>
      <c r="H1252" t="s">
        <v>47</v>
      </c>
      <c r="I1252">
        <v>0</v>
      </c>
      <c r="J1252" t="s">
        <v>47</v>
      </c>
      <c r="K1252">
        <v>0</v>
      </c>
      <c r="L1252" t="s">
        <v>47</v>
      </c>
      <c r="M1252">
        <v>0</v>
      </c>
      <c r="N1252" t="s">
        <v>47</v>
      </c>
      <c r="O1252">
        <v>1</v>
      </c>
      <c r="P1252" t="s">
        <v>48</v>
      </c>
      <c r="Q1252">
        <v>0</v>
      </c>
      <c r="R1252" t="s">
        <v>47</v>
      </c>
      <c r="S1252">
        <v>0</v>
      </c>
      <c r="T1252" t="s">
        <v>47</v>
      </c>
    </row>
    <row r="1253" spans="1:20" x14ac:dyDescent="0.35">
      <c r="A1253" s="1" t="s">
        <v>2585</v>
      </c>
      <c r="B1253" t="s">
        <v>12</v>
      </c>
      <c r="C1253" t="s">
        <v>47</v>
      </c>
      <c r="D1253" t="s">
        <v>2492</v>
      </c>
      <c r="E1253">
        <v>0</v>
      </c>
      <c r="F1253" t="s">
        <v>47</v>
      </c>
      <c r="G1253">
        <v>1</v>
      </c>
      <c r="H1253" t="s">
        <v>48</v>
      </c>
      <c r="I1253">
        <v>0</v>
      </c>
      <c r="J1253" t="s">
        <v>47</v>
      </c>
      <c r="K1253">
        <v>0</v>
      </c>
      <c r="L1253" t="s">
        <v>47</v>
      </c>
      <c r="M1253">
        <v>0</v>
      </c>
      <c r="N1253" t="s">
        <v>47</v>
      </c>
      <c r="O1253">
        <v>1</v>
      </c>
      <c r="P1253" t="s">
        <v>48</v>
      </c>
      <c r="Q1253">
        <v>0</v>
      </c>
      <c r="R1253" t="s">
        <v>47</v>
      </c>
      <c r="S1253">
        <v>0</v>
      </c>
      <c r="T1253" t="s">
        <v>47</v>
      </c>
    </row>
    <row r="1254" spans="1:20" x14ac:dyDescent="0.35">
      <c r="A1254" s="1" t="s">
        <v>2586</v>
      </c>
      <c r="B1254" t="s">
        <v>12</v>
      </c>
      <c r="C1254" t="s">
        <v>47</v>
      </c>
      <c r="D1254" t="s">
        <v>2493</v>
      </c>
      <c r="E1254">
        <v>1</v>
      </c>
      <c r="F1254" t="s">
        <v>55</v>
      </c>
      <c r="G1254">
        <v>1</v>
      </c>
      <c r="H1254" t="s">
        <v>48</v>
      </c>
      <c r="I1254">
        <v>0</v>
      </c>
      <c r="J1254" t="s">
        <v>47</v>
      </c>
      <c r="K1254">
        <v>1</v>
      </c>
      <c r="L1254" t="s">
        <v>45</v>
      </c>
      <c r="M1254">
        <v>0</v>
      </c>
      <c r="N1254" t="s">
        <v>47</v>
      </c>
      <c r="O1254">
        <v>1</v>
      </c>
      <c r="P1254" t="s">
        <v>48</v>
      </c>
      <c r="Q1254">
        <v>1</v>
      </c>
      <c r="R1254" t="s">
        <v>45</v>
      </c>
      <c r="S1254">
        <v>0</v>
      </c>
      <c r="T1254" t="s">
        <v>47</v>
      </c>
    </row>
    <row r="1255" spans="1:20" x14ac:dyDescent="0.35">
      <c r="A1255" s="1" t="s">
        <v>2587</v>
      </c>
      <c r="B1255" t="s">
        <v>12</v>
      </c>
      <c r="C1255" t="s">
        <v>47</v>
      </c>
      <c r="D1255" t="s">
        <v>2494</v>
      </c>
      <c r="E1255">
        <v>1</v>
      </c>
      <c r="F1255" t="s">
        <v>55</v>
      </c>
      <c r="G1255">
        <v>0</v>
      </c>
      <c r="H1255" t="s">
        <v>47</v>
      </c>
      <c r="I1255">
        <v>0</v>
      </c>
      <c r="J1255" t="s">
        <v>47</v>
      </c>
      <c r="K1255">
        <v>0</v>
      </c>
      <c r="L1255" t="s">
        <v>47</v>
      </c>
      <c r="M1255">
        <v>0</v>
      </c>
      <c r="N1255" t="s">
        <v>47</v>
      </c>
      <c r="O1255">
        <v>0</v>
      </c>
      <c r="P1255" t="s">
        <v>47</v>
      </c>
      <c r="Q1255">
        <v>1</v>
      </c>
      <c r="R1255" t="s">
        <v>45</v>
      </c>
      <c r="S1255">
        <v>0</v>
      </c>
      <c r="T1255" t="s">
        <v>47</v>
      </c>
    </row>
    <row r="1256" spans="1:20" x14ac:dyDescent="0.35">
      <c r="A1256" s="1" t="s">
        <v>2588</v>
      </c>
      <c r="B1256" t="s">
        <v>12</v>
      </c>
      <c r="C1256" t="s">
        <v>47</v>
      </c>
      <c r="D1256" t="s">
        <v>2495</v>
      </c>
      <c r="E1256">
        <v>1</v>
      </c>
      <c r="F1256" t="s">
        <v>48</v>
      </c>
      <c r="G1256">
        <v>0</v>
      </c>
      <c r="H1256" t="s">
        <v>47</v>
      </c>
      <c r="I1256">
        <v>0</v>
      </c>
      <c r="J1256" t="s">
        <v>47</v>
      </c>
      <c r="K1256">
        <v>0</v>
      </c>
      <c r="L1256" t="s">
        <v>47</v>
      </c>
      <c r="M1256">
        <v>0</v>
      </c>
      <c r="N1256" t="s">
        <v>47</v>
      </c>
      <c r="O1256">
        <v>1</v>
      </c>
      <c r="P1256" t="s">
        <v>45</v>
      </c>
      <c r="Q1256">
        <v>0</v>
      </c>
      <c r="R1256" t="s">
        <v>47</v>
      </c>
      <c r="S1256">
        <v>0</v>
      </c>
      <c r="T1256" t="s">
        <v>47</v>
      </c>
    </row>
    <row r="1257" spans="1:20" x14ac:dyDescent="0.35">
      <c r="A1257" s="1" t="s">
        <v>2589</v>
      </c>
      <c r="B1257" t="s">
        <v>12</v>
      </c>
      <c r="C1257" t="s">
        <v>47</v>
      </c>
      <c r="D1257" t="s">
        <v>2496</v>
      </c>
      <c r="E1257">
        <v>1</v>
      </c>
      <c r="F1257" t="s">
        <v>45</v>
      </c>
      <c r="G1257">
        <v>1</v>
      </c>
      <c r="H1257" t="s">
        <v>48</v>
      </c>
      <c r="I1257">
        <v>0</v>
      </c>
      <c r="J1257" t="s">
        <v>47</v>
      </c>
      <c r="K1257">
        <v>1</v>
      </c>
      <c r="L1257" t="s">
        <v>48</v>
      </c>
      <c r="M1257">
        <v>0</v>
      </c>
      <c r="N1257" t="s">
        <v>47</v>
      </c>
      <c r="O1257">
        <v>1</v>
      </c>
      <c r="P1257" t="s">
        <v>48</v>
      </c>
      <c r="Q1257">
        <v>1</v>
      </c>
      <c r="R1257" t="s">
        <v>48</v>
      </c>
      <c r="S1257">
        <v>0</v>
      </c>
      <c r="T1257" t="s">
        <v>47</v>
      </c>
    </row>
    <row r="1258" spans="1:20" x14ac:dyDescent="0.35">
      <c r="A1258" s="1" t="s">
        <v>2590</v>
      </c>
      <c r="B1258" t="s">
        <v>12</v>
      </c>
      <c r="C1258" t="s">
        <v>47</v>
      </c>
      <c r="D1258" t="s">
        <v>2497</v>
      </c>
      <c r="E1258">
        <v>0</v>
      </c>
      <c r="F1258" t="s">
        <v>47</v>
      </c>
      <c r="G1258">
        <v>1</v>
      </c>
      <c r="H1258" t="s">
        <v>48</v>
      </c>
      <c r="I1258">
        <v>0</v>
      </c>
      <c r="J1258" t="s">
        <v>47</v>
      </c>
      <c r="K1258">
        <v>0</v>
      </c>
      <c r="L1258" t="s">
        <v>47</v>
      </c>
      <c r="M1258">
        <v>0</v>
      </c>
      <c r="N1258" t="s">
        <v>47</v>
      </c>
      <c r="O1258">
        <v>0</v>
      </c>
      <c r="P1258" t="s">
        <v>47</v>
      </c>
      <c r="Q1258">
        <v>0</v>
      </c>
      <c r="R1258" t="s">
        <v>47</v>
      </c>
      <c r="S1258">
        <v>0</v>
      </c>
      <c r="T1258" t="s">
        <v>47</v>
      </c>
    </row>
    <row r="1259" spans="1:20" x14ac:dyDescent="0.35">
      <c r="A1259" s="1" t="s">
        <v>2591</v>
      </c>
      <c r="B1259" t="s">
        <v>12</v>
      </c>
      <c r="C1259" t="s">
        <v>47</v>
      </c>
      <c r="D1259" t="s">
        <v>2498</v>
      </c>
      <c r="E1259">
        <v>1</v>
      </c>
      <c r="F1259" t="s">
        <v>45</v>
      </c>
      <c r="G1259">
        <v>0</v>
      </c>
      <c r="H1259" t="s">
        <v>47</v>
      </c>
      <c r="I1259">
        <v>0</v>
      </c>
      <c r="J1259" t="s">
        <v>47</v>
      </c>
      <c r="K1259">
        <v>0</v>
      </c>
      <c r="L1259" t="s">
        <v>47</v>
      </c>
      <c r="M1259">
        <v>0</v>
      </c>
      <c r="N1259" t="s">
        <v>47</v>
      </c>
      <c r="O1259">
        <v>0</v>
      </c>
      <c r="P1259" t="s">
        <v>47</v>
      </c>
      <c r="Q1259">
        <v>1</v>
      </c>
      <c r="R1259" t="s">
        <v>48</v>
      </c>
      <c r="S1259">
        <v>0</v>
      </c>
      <c r="T1259" t="s">
        <v>47</v>
      </c>
    </row>
    <row r="1260" spans="1:20" x14ac:dyDescent="0.35">
      <c r="A1260" s="1" t="s">
        <v>2592</v>
      </c>
      <c r="B1260" t="s">
        <v>12</v>
      </c>
      <c r="C1260" t="s">
        <v>47</v>
      </c>
      <c r="D1260" t="s">
        <v>2499</v>
      </c>
      <c r="E1260">
        <v>0</v>
      </c>
      <c r="F1260" t="s">
        <v>47</v>
      </c>
      <c r="G1260">
        <v>1</v>
      </c>
      <c r="H1260" t="s">
        <v>48</v>
      </c>
      <c r="I1260">
        <v>1</v>
      </c>
      <c r="J1260" t="s">
        <v>48</v>
      </c>
      <c r="K1260">
        <v>0</v>
      </c>
      <c r="L1260" t="s">
        <v>47</v>
      </c>
      <c r="M1260">
        <v>0</v>
      </c>
      <c r="N1260" t="s">
        <v>47</v>
      </c>
      <c r="O1260">
        <v>1</v>
      </c>
      <c r="P1260" t="s">
        <v>48</v>
      </c>
      <c r="Q1260">
        <v>0</v>
      </c>
      <c r="R1260" t="s">
        <v>47</v>
      </c>
      <c r="S1260">
        <v>0</v>
      </c>
      <c r="T1260" t="s">
        <v>47</v>
      </c>
    </row>
    <row r="1261" spans="1:20" x14ac:dyDescent="0.35">
      <c r="A1261" s="1" t="s">
        <v>2593</v>
      </c>
      <c r="B1261" t="s">
        <v>12</v>
      </c>
      <c r="C1261" t="s">
        <v>47</v>
      </c>
      <c r="D1261" t="s">
        <v>2500</v>
      </c>
      <c r="E1261">
        <v>1</v>
      </c>
      <c r="F1261" t="s">
        <v>48</v>
      </c>
      <c r="G1261">
        <v>0</v>
      </c>
      <c r="H1261" t="s">
        <v>47</v>
      </c>
      <c r="I1261">
        <v>0</v>
      </c>
      <c r="J1261" t="s">
        <v>47</v>
      </c>
      <c r="K1261">
        <v>0</v>
      </c>
      <c r="L1261" t="s">
        <v>47</v>
      </c>
      <c r="M1261">
        <v>0</v>
      </c>
      <c r="N1261" t="s">
        <v>47</v>
      </c>
      <c r="O1261">
        <v>0</v>
      </c>
      <c r="P1261" t="s">
        <v>47</v>
      </c>
      <c r="Q1261">
        <v>1</v>
      </c>
      <c r="R1261" t="s">
        <v>45</v>
      </c>
      <c r="S1261">
        <v>0</v>
      </c>
      <c r="T1261" t="s">
        <v>47</v>
      </c>
    </row>
    <row r="1262" spans="1:20" x14ac:dyDescent="0.35">
      <c r="A1262" s="1" t="s">
        <v>2594</v>
      </c>
      <c r="B1262" t="s">
        <v>12</v>
      </c>
      <c r="C1262" t="s">
        <v>47</v>
      </c>
      <c r="D1262" t="s">
        <v>2501</v>
      </c>
      <c r="E1262">
        <v>0</v>
      </c>
      <c r="F1262" t="s">
        <v>47</v>
      </c>
      <c r="G1262">
        <v>1</v>
      </c>
      <c r="H1262" t="s">
        <v>48</v>
      </c>
      <c r="I1262">
        <v>1</v>
      </c>
      <c r="J1262" t="s">
        <v>48</v>
      </c>
      <c r="K1262">
        <v>0</v>
      </c>
      <c r="L1262" t="s">
        <v>47</v>
      </c>
      <c r="M1262">
        <v>0</v>
      </c>
      <c r="N1262" t="s">
        <v>47</v>
      </c>
      <c r="O1262">
        <v>0</v>
      </c>
      <c r="P1262" t="s">
        <v>47</v>
      </c>
      <c r="Q1262">
        <v>0</v>
      </c>
      <c r="R1262" t="s">
        <v>47</v>
      </c>
      <c r="S1262">
        <v>0</v>
      </c>
      <c r="T1262" t="s">
        <v>47</v>
      </c>
    </row>
    <row r="1263" spans="1:20" x14ac:dyDescent="0.35">
      <c r="A1263" s="1" t="s">
        <v>2595</v>
      </c>
      <c r="B1263" t="s">
        <v>12</v>
      </c>
      <c r="C1263" t="s">
        <v>47</v>
      </c>
      <c r="D1263" t="s">
        <v>2502</v>
      </c>
      <c r="E1263">
        <v>1</v>
      </c>
      <c r="F1263" t="s">
        <v>48</v>
      </c>
      <c r="G1263">
        <v>1</v>
      </c>
      <c r="H1263" t="s">
        <v>48</v>
      </c>
      <c r="I1263">
        <v>0</v>
      </c>
      <c r="J1263" t="s">
        <v>47</v>
      </c>
      <c r="K1263">
        <v>0</v>
      </c>
      <c r="L1263" t="s">
        <v>47</v>
      </c>
      <c r="M1263">
        <v>0</v>
      </c>
      <c r="N1263" t="s">
        <v>47</v>
      </c>
      <c r="O1263">
        <v>0</v>
      </c>
      <c r="P1263" t="s">
        <v>47</v>
      </c>
      <c r="Q1263">
        <v>0</v>
      </c>
      <c r="R1263" t="s">
        <v>47</v>
      </c>
      <c r="S1263">
        <v>0</v>
      </c>
      <c r="T1263" t="s">
        <v>47</v>
      </c>
    </row>
    <row r="1264" spans="1:20" x14ac:dyDescent="0.35">
      <c r="A1264" s="1" t="s">
        <v>2596</v>
      </c>
      <c r="B1264" t="s">
        <v>12</v>
      </c>
      <c r="C1264" t="s">
        <v>47</v>
      </c>
      <c r="D1264" t="s">
        <v>2503</v>
      </c>
      <c r="E1264">
        <v>0</v>
      </c>
      <c r="F1264" t="s">
        <v>47</v>
      </c>
      <c r="G1264">
        <v>1</v>
      </c>
      <c r="H1264" t="s">
        <v>48</v>
      </c>
      <c r="I1264">
        <v>0</v>
      </c>
      <c r="J1264" t="s">
        <v>47</v>
      </c>
      <c r="K1264">
        <v>0</v>
      </c>
      <c r="L1264" t="s">
        <v>47</v>
      </c>
      <c r="M1264">
        <v>1</v>
      </c>
      <c r="N1264" t="s">
        <v>48</v>
      </c>
      <c r="O1264">
        <v>0</v>
      </c>
      <c r="P1264" t="s">
        <v>47</v>
      </c>
      <c r="Q1264">
        <v>0</v>
      </c>
      <c r="R1264" t="s">
        <v>47</v>
      </c>
      <c r="S1264">
        <v>0</v>
      </c>
      <c r="T1264" t="s">
        <v>47</v>
      </c>
    </row>
    <row r="1265" spans="1:20" x14ac:dyDescent="0.35">
      <c r="A1265" s="1" t="s">
        <v>2597</v>
      </c>
      <c r="B1265" t="s">
        <v>12</v>
      </c>
      <c r="C1265" t="s">
        <v>47</v>
      </c>
      <c r="D1265" t="s">
        <v>2504</v>
      </c>
      <c r="E1265">
        <v>0</v>
      </c>
      <c r="F1265" t="s">
        <v>47</v>
      </c>
      <c r="G1265">
        <v>1</v>
      </c>
      <c r="H1265" t="s">
        <v>48</v>
      </c>
      <c r="I1265">
        <v>1</v>
      </c>
      <c r="J1265" t="s">
        <v>48</v>
      </c>
      <c r="K1265">
        <v>0</v>
      </c>
      <c r="L1265" t="s">
        <v>47</v>
      </c>
      <c r="M1265">
        <v>0</v>
      </c>
      <c r="N1265" t="s">
        <v>47</v>
      </c>
      <c r="O1265">
        <v>1</v>
      </c>
      <c r="P1265" t="s">
        <v>48</v>
      </c>
      <c r="Q1265">
        <v>0</v>
      </c>
      <c r="R1265" t="s">
        <v>47</v>
      </c>
      <c r="S1265">
        <v>0</v>
      </c>
      <c r="T1265" t="s">
        <v>47</v>
      </c>
    </row>
    <row r="1266" spans="1:20" x14ac:dyDescent="0.35">
      <c r="A1266" s="1" t="s">
        <v>2598</v>
      </c>
      <c r="B1266" t="s">
        <v>12</v>
      </c>
      <c r="C1266" t="s">
        <v>47</v>
      </c>
      <c r="D1266" t="s">
        <v>2505</v>
      </c>
      <c r="E1266">
        <v>1</v>
      </c>
      <c r="F1266" t="s">
        <v>48</v>
      </c>
      <c r="G1266">
        <v>1</v>
      </c>
      <c r="H1266" t="s">
        <v>48</v>
      </c>
      <c r="I1266">
        <v>0</v>
      </c>
      <c r="J1266" t="s">
        <v>47</v>
      </c>
      <c r="K1266">
        <v>0</v>
      </c>
      <c r="L1266" t="s">
        <v>47</v>
      </c>
      <c r="M1266">
        <v>0</v>
      </c>
      <c r="N1266" t="s">
        <v>47</v>
      </c>
      <c r="O1266">
        <v>1</v>
      </c>
      <c r="P1266" t="s">
        <v>48</v>
      </c>
      <c r="Q1266">
        <v>0</v>
      </c>
      <c r="R1266" t="s">
        <v>47</v>
      </c>
      <c r="S1266">
        <v>0</v>
      </c>
      <c r="T1266" t="s">
        <v>47</v>
      </c>
    </row>
    <row r="1267" spans="1:20" x14ac:dyDescent="0.35">
      <c r="A1267" s="1" t="s">
        <v>2599</v>
      </c>
      <c r="B1267" t="s">
        <v>12</v>
      </c>
      <c r="C1267" t="s">
        <v>47</v>
      </c>
      <c r="D1267" t="s">
        <v>2506</v>
      </c>
      <c r="E1267">
        <v>1</v>
      </c>
      <c r="F1267" t="s">
        <v>45</v>
      </c>
      <c r="G1267">
        <v>1</v>
      </c>
      <c r="H1267" t="s">
        <v>48</v>
      </c>
      <c r="I1267">
        <v>1</v>
      </c>
      <c r="J1267" t="s">
        <v>48</v>
      </c>
      <c r="K1267">
        <v>1</v>
      </c>
      <c r="L1267" t="s">
        <v>48</v>
      </c>
      <c r="M1267">
        <v>0</v>
      </c>
      <c r="N1267" t="s">
        <v>47</v>
      </c>
      <c r="O1267">
        <v>0</v>
      </c>
      <c r="P1267" t="s">
        <v>47</v>
      </c>
      <c r="Q1267">
        <v>1</v>
      </c>
      <c r="R1267" t="s">
        <v>45</v>
      </c>
      <c r="S1267">
        <v>0</v>
      </c>
      <c r="T1267" t="s">
        <v>47</v>
      </c>
    </row>
    <row r="1268" spans="1:20" x14ac:dyDescent="0.35">
      <c r="A1268" s="1" t="s">
        <v>2600</v>
      </c>
      <c r="B1268" t="s">
        <v>12</v>
      </c>
      <c r="C1268" t="s">
        <v>47</v>
      </c>
      <c r="D1268" t="s">
        <v>2507</v>
      </c>
      <c r="E1268">
        <v>1</v>
      </c>
      <c r="F1268" t="s">
        <v>48</v>
      </c>
      <c r="G1268">
        <v>0</v>
      </c>
      <c r="H1268" t="s">
        <v>47</v>
      </c>
      <c r="I1268">
        <v>0</v>
      </c>
      <c r="J1268" t="s">
        <v>47</v>
      </c>
      <c r="K1268">
        <v>1</v>
      </c>
      <c r="L1268" t="s">
        <v>48</v>
      </c>
      <c r="M1268">
        <v>0</v>
      </c>
      <c r="N1268" t="s">
        <v>47</v>
      </c>
      <c r="O1268">
        <v>1</v>
      </c>
      <c r="P1268" t="s">
        <v>48</v>
      </c>
      <c r="Q1268">
        <v>1</v>
      </c>
      <c r="R1268" t="s">
        <v>45</v>
      </c>
      <c r="S1268">
        <v>0</v>
      </c>
      <c r="T1268" t="s">
        <v>47</v>
      </c>
    </row>
    <row r="1269" spans="1:20" x14ac:dyDescent="0.35">
      <c r="A1269" s="1" t="s">
        <v>2601</v>
      </c>
      <c r="B1269" t="s">
        <v>12</v>
      </c>
      <c r="C1269" t="s">
        <v>47</v>
      </c>
      <c r="D1269" t="s">
        <v>2508</v>
      </c>
      <c r="E1269">
        <v>0</v>
      </c>
      <c r="F1269" t="s">
        <v>47</v>
      </c>
      <c r="G1269">
        <v>0</v>
      </c>
      <c r="H1269" t="s">
        <v>47</v>
      </c>
      <c r="I1269">
        <v>0</v>
      </c>
      <c r="J1269" t="s">
        <v>47</v>
      </c>
      <c r="K1269">
        <v>0</v>
      </c>
      <c r="L1269" t="s">
        <v>47</v>
      </c>
      <c r="M1269">
        <v>0</v>
      </c>
      <c r="N1269" t="s">
        <v>47</v>
      </c>
      <c r="O1269">
        <v>1</v>
      </c>
      <c r="P1269" t="s">
        <v>48</v>
      </c>
      <c r="Q1269">
        <v>1</v>
      </c>
      <c r="R1269" t="s">
        <v>45</v>
      </c>
      <c r="S1269">
        <v>0</v>
      </c>
      <c r="T1269" t="s">
        <v>47</v>
      </c>
    </row>
    <row r="1270" spans="1:20" x14ac:dyDescent="0.35">
      <c r="A1270" s="1" t="s">
        <v>2602</v>
      </c>
      <c r="B1270" t="s">
        <v>12</v>
      </c>
      <c r="C1270" t="s">
        <v>47</v>
      </c>
      <c r="D1270" t="s">
        <v>2509</v>
      </c>
      <c r="E1270">
        <v>1</v>
      </c>
      <c r="F1270" t="s">
        <v>45</v>
      </c>
      <c r="G1270">
        <v>1</v>
      </c>
      <c r="H1270" t="s">
        <v>55</v>
      </c>
      <c r="I1270">
        <v>1</v>
      </c>
      <c r="J1270" t="s">
        <v>48</v>
      </c>
      <c r="K1270">
        <v>0</v>
      </c>
      <c r="L1270" t="s">
        <v>47</v>
      </c>
      <c r="M1270">
        <v>0</v>
      </c>
      <c r="N1270" t="s">
        <v>47</v>
      </c>
      <c r="O1270">
        <v>1</v>
      </c>
      <c r="P1270" t="s">
        <v>48</v>
      </c>
      <c r="Q1270">
        <v>1</v>
      </c>
      <c r="R1270" t="s">
        <v>45</v>
      </c>
      <c r="S1270">
        <v>0</v>
      </c>
      <c r="T1270" t="s">
        <v>47</v>
      </c>
    </row>
    <row r="1271" spans="1:20" x14ac:dyDescent="0.35">
      <c r="A1271" s="1" t="s">
        <v>2603</v>
      </c>
      <c r="B1271" t="s">
        <v>12</v>
      </c>
      <c r="C1271" t="s">
        <v>47</v>
      </c>
      <c r="D1271" t="s">
        <v>2510</v>
      </c>
      <c r="E1271">
        <v>1</v>
      </c>
      <c r="F1271" t="s">
        <v>55</v>
      </c>
      <c r="G1271">
        <v>0</v>
      </c>
      <c r="H1271" t="s">
        <v>47</v>
      </c>
      <c r="I1271">
        <v>0</v>
      </c>
      <c r="J1271" t="s">
        <v>47</v>
      </c>
      <c r="K1271">
        <v>0</v>
      </c>
      <c r="L1271" t="s">
        <v>47</v>
      </c>
      <c r="M1271">
        <v>0</v>
      </c>
      <c r="N1271" t="s">
        <v>47</v>
      </c>
      <c r="O1271">
        <v>0</v>
      </c>
      <c r="P1271" t="s">
        <v>47</v>
      </c>
      <c r="Q1271">
        <v>1</v>
      </c>
      <c r="R1271" t="s">
        <v>45</v>
      </c>
      <c r="S1271">
        <v>0</v>
      </c>
      <c r="T1271" t="s">
        <v>47</v>
      </c>
    </row>
    <row r="1272" spans="1:20" x14ac:dyDescent="0.35">
      <c r="A1272" s="1" t="s">
        <v>2604</v>
      </c>
      <c r="B1272" t="s">
        <v>12</v>
      </c>
      <c r="C1272" t="s">
        <v>47</v>
      </c>
      <c r="D1272" t="s">
        <v>2511</v>
      </c>
      <c r="E1272">
        <v>1</v>
      </c>
      <c r="F1272" t="s">
        <v>48</v>
      </c>
      <c r="G1272">
        <v>0</v>
      </c>
      <c r="H1272" t="s">
        <v>47</v>
      </c>
      <c r="I1272">
        <v>0</v>
      </c>
      <c r="J1272" t="s">
        <v>47</v>
      </c>
      <c r="K1272">
        <v>0</v>
      </c>
      <c r="L1272" t="s">
        <v>47</v>
      </c>
      <c r="M1272">
        <v>0</v>
      </c>
      <c r="N1272" t="s">
        <v>47</v>
      </c>
      <c r="O1272">
        <v>0</v>
      </c>
      <c r="P1272" t="s">
        <v>47</v>
      </c>
      <c r="Q1272">
        <v>0</v>
      </c>
      <c r="R1272" t="s">
        <v>47</v>
      </c>
      <c r="S1272">
        <v>0</v>
      </c>
      <c r="T1272" t="s">
        <v>47</v>
      </c>
    </row>
    <row r="1273" spans="1:20" x14ac:dyDescent="0.35">
      <c r="A1273" s="1" t="s">
        <v>2605</v>
      </c>
      <c r="B1273" t="s">
        <v>12</v>
      </c>
      <c r="C1273" t="s">
        <v>47</v>
      </c>
      <c r="D1273" t="s">
        <v>2512</v>
      </c>
      <c r="E1273">
        <v>0</v>
      </c>
      <c r="F1273" t="s">
        <v>47</v>
      </c>
      <c r="G1273">
        <v>1</v>
      </c>
      <c r="H1273" t="s">
        <v>48</v>
      </c>
      <c r="I1273">
        <v>0</v>
      </c>
      <c r="J1273" t="s">
        <v>47</v>
      </c>
      <c r="K1273">
        <v>0</v>
      </c>
      <c r="L1273" t="s">
        <v>47</v>
      </c>
      <c r="M1273">
        <v>1</v>
      </c>
      <c r="N1273" t="s">
        <v>48</v>
      </c>
      <c r="O1273">
        <v>1</v>
      </c>
      <c r="P1273" t="s">
        <v>48</v>
      </c>
      <c r="Q1273">
        <v>0</v>
      </c>
      <c r="R1273" t="s">
        <v>47</v>
      </c>
      <c r="S1273">
        <v>0</v>
      </c>
      <c r="T1273" t="s">
        <v>47</v>
      </c>
    </row>
    <row r="1274" spans="1:20" x14ac:dyDescent="0.35">
      <c r="A1274" s="1" t="s">
        <v>2606</v>
      </c>
      <c r="B1274" t="s">
        <v>12</v>
      </c>
      <c r="C1274" t="s">
        <v>47</v>
      </c>
      <c r="D1274" t="s">
        <v>2513</v>
      </c>
      <c r="E1274">
        <v>0</v>
      </c>
      <c r="F1274" t="s">
        <v>47</v>
      </c>
      <c r="G1274">
        <v>1</v>
      </c>
      <c r="H1274" t="s">
        <v>48</v>
      </c>
      <c r="I1274">
        <v>0</v>
      </c>
      <c r="J1274" t="s">
        <v>47</v>
      </c>
      <c r="K1274">
        <v>0</v>
      </c>
      <c r="L1274" t="s">
        <v>47</v>
      </c>
      <c r="M1274">
        <v>0</v>
      </c>
      <c r="N1274" t="s">
        <v>47</v>
      </c>
      <c r="O1274">
        <v>0</v>
      </c>
      <c r="P1274" t="s">
        <v>47</v>
      </c>
      <c r="Q1274">
        <v>1</v>
      </c>
      <c r="R1274" t="s">
        <v>48</v>
      </c>
      <c r="S1274">
        <v>0</v>
      </c>
      <c r="T1274" t="s">
        <v>47</v>
      </c>
    </row>
    <row r="1275" spans="1:20" x14ac:dyDescent="0.35">
      <c r="A1275" s="1" t="s">
        <v>2607</v>
      </c>
      <c r="B1275" t="s">
        <v>12</v>
      </c>
      <c r="C1275" t="s">
        <v>47</v>
      </c>
      <c r="D1275" t="s">
        <v>2514</v>
      </c>
      <c r="E1275">
        <v>1</v>
      </c>
      <c r="F1275" t="s">
        <v>45</v>
      </c>
      <c r="G1275">
        <v>1</v>
      </c>
      <c r="H1275" t="s">
        <v>48</v>
      </c>
      <c r="I1275">
        <v>0</v>
      </c>
      <c r="J1275" t="s">
        <v>47</v>
      </c>
      <c r="K1275">
        <v>0</v>
      </c>
      <c r="L1275" t="s">
        <v>47</v>
      </c>
      <c r="M1275">
        <v>0</v>
      </c>
      <c r="N1275" t="s">
        <v>47</v>
      </c>
      <c r="O1275">
        <v>0</v>
      </c>
      <c r="P1275" t="s">
        <v>47</v>
      </c>
      <c r="Q1275">
        <v>1</v>
      </c>
      <c r="R1275" t="s">
        <v>55</v>
      </c>
      <c r="S1275">
        <v>0</v>
      </c>
      <c r="T1275" t="s">
        <v>47</v>
      </c>
    </row>
    <row r="1276" spans="1:20" x14ac:dyDescent="0.35">
      <c r="A1276" s="1" t="s">
        <v>2608</v>
      </c>
      <c r="B1276" t="s">
        <v>12</v>
      </c>
      <c r="C1276" t="s">
        <v>47</v>
      </c>
      <c r="D1276" t="s">
        <v>2515</v>
      </c>
      <c r="E1276">
        <v>0</v>
      </c>
      <c r="F1276" t="s">
        <v>47</v>
      </c>
      <c r="G1276">
        <v>1</v>
      </c>
      <c r="H1276" t="s">
        <v>48</v>
      </c>
      <c r="I1276">
        <v>1</v>
      </c>
      <c r="J1276" t="s">
        <v>48</v>
      </c>
      <c r="K1276">
        <v>0</v>
      </c>
      <c r="L1276" t="s">
        <v>47</v>
      </c>
      <c r="M1276">
        <v>0</v>
      </c>
      <c r="N1276" t="s">
        <v>47</v>
      </c>
      <c r="O1276">
        <v>0</v>
      </c>
      <c r="P1276" t="s">
        <v>47</v>
      </c>
      <c r="Q1276">
        <v>1</v>
      </c>
      <c r="R1276" t="s">
        <v>48</v>
      </c>
      <c r="S1276">
        <v>0</v>
      </c>
      <c r="T1276" t="s">
        <v>47</v>
      </c>
    </row>
    <row r="1277" spans="1:20" x14ac:dyDescent="0.35">
      <c r="A1277" s="1" t="s">
        <v>2609</v>
      </c>
      <c r="B1277" t="s">
        <v>12</v>
      </c>
      <c r="C1277" t="s">
        <v>47</v>
      </c>
      <c r="D1277" t="s">
        <v>2516</v>
      </c>
      <c r="E1277">
        <v>1</v>
      </c>
      <c r="F1277" t="s">
        <v>48</v>
      </c>
      <c r="G1277">
        <v>1</v>
      </c>
      <c r="H1277" t="s">
        <v>48</v>
      </c>
      <c r="I1277">
        <v>0</v>
      </c>
      <c r="J1277" t="s">
        <v>47</v>
      </c>
      <c r="K1277">
        <v>1</v>
      </c>
      <c r="L1277" t="s">
        <v>48</v>
      </c>
      <c r="M1277">
        <v>0</v>
      </c>
      <c r="N1277" t="s">
        <v>47</v>
      </c>
      <c r="O1277">
        <v>0</v>
      </c>
      <c r="P1277" t="s">
        <v>47</v>
      </c>
      <c r="Q1277">
        <v>1</v>
      </c>
      <c r="R1277" t="s">
        <v>48</v>
      </c>
      <c r="S1277">
        <v>0</v>
      </c>
      <c r="T1277" t="s">
        <v>47</v>
      </c>
    </row>
    <row r="1278" spans="1:20" x14ac:dyDescent="0.35">
      <c r="A1278" s="1" t="s">
        <v>2610</v>
      </c>
      <c r="B1278" t="s">
        <v>12</v>
      </c>
      <c r="C1278" t="s">
        <v>47</v>
      </c>
      <c r="D1278" t="s">
        <v>2517</v>
      </c>
      <c r="E1278">
        <v>0</v>
      </c>
      <c r="F1278" t="s">
        <v>47</v>
      </c>
      <c r="G1278">
        <v>1</v>
      </c>
      <c r="H1278" t="s">
        <v>48</v>
      </c>
      <c r="I1278">
        <v>1</v>
      </c>
      <c r="J1278" t="s">
        <v>48</v>
      </c>
      <c r="K1278">
        <v>1</v>
      </c>
      <c r="L1278" t="s">
        <v>48</v>
      </c>
      <c r="M1278">
        <v>1</v>
      </c>
      <c r="N1278" t="s">
        <v>48</v>
      </c>
      <c r="O1278">
        <v>1</v>
      </c>
      <c r="P1278" t="s">
        <v>48</v>
      </c>
      <c r="Q1278">
        <v>0</v>
      </c>
      <c r="R1278" t="s">
        <v>47</v>
      </c>
      <c r="S1278">
        <v>0</v>
      </c>
      <c r="T1278" t="s">
        <v>47</v>
      </c>
    </row>
    <row r="1279" spans="1:20" x14ac:dyDescent="0.35">
      <c r="A1279" s="1" t="s">
        <v>2611</v>
      </c>
      <c r="B1279" t="s">
        <v>12</v>
      </c>
      <c r="C1279" t="s">
        <v>47</v>
      </c>
      <c r="D1279" t="s">
        <v>2518</v>
      </c>
      <c r="E1279">
        <v>0</v>
      </c>
      <c r="F1279" t="s">
        <v>47</v>
      </c>
      <c r="G1279">
        <v>1</v>
      </c>
      <c r="H1279" t="s">
        <v>48</v>
      </c>
      <c r="I1279">
        <v>1</v>
      </c>
      <c r="J1279" t="s">
        <v>48</v>
      </c>
      <c r="K1279">
        <v>0</v>
      </c>
      <c r="L1279" t="s">
        <v>47</v>
      </c>
      <c r="M1279">
        <v>0</v>
      </c>
      <c r="N1279" t="s">
        <v>47</v>
      </c>
      <c r="O1279">
        <v>1</v>
      </c>
      <c r="P1279" t="s">
        <v>48</v>
      </c>
      <c r="Q1279">
        <v>0</v>
      </c>
      <c r="R1279" t="s">
        <v>47</v>
      </c>
      <c r="S1279">
        <v>0</v>
      </c>
      <c r="T1279" t="s">
        <v>47</v>
      </c>
    </row>
    <row r="1280" spans="1:20" x14ac:dyDescent="0.35">
      <c r="A1280" s="1" t="s">
        <v>2612</v>
      </c>
      <c r="B1280" t="s">
        <v>12</v>
      </c>
      <c r="C1280" t="s">
        <v>47</v>
      </c>
      <c r="D1280" t="s">
        <v>2519</v>
      </c>
      <c r="E1280">
        <v>1</v>
      </c>
      <c r="F1280" t="s">
        <v>45</v>
      </c>
      <c r="G1280">
        <v>1</v>
      </c>
      <c r="H1280" t="s">
        <v>48</v>
      </c>
      <c r="I1280">
        <v>1</v>
      </c>
      <c r="J1280" t="s">
        <v>48</v>
      </c>
      <c r="K1280">
        <v>0</v>
      </c>
      <c r="L1280" t="s">
        <v>47</v>
      </c>
      <c r="M1280">
        <v>0</v>
      </c>
      <c r="N1280" t="s">
        <v>47</v>
      </c>
      <c r="O1280">
        <v>1</v>
      </c>
      <c r="P1280" t="s">
        <v>48</v>
      </c>
      <c r="Q1280">
        <v>0</v>
      </c>
      <c r="R1280" t="s">
        <v>47</v>
      </c>
      <c r="S1280">
        <v>0</v>
      </c>
      <c r="T1280" t="s">
        <v>47</v>
      </c>
    </row>
    <row r="1281" spans="1:20" x14ac:dyDescent="0.35">
      <c r="A1281" s="1" t="s">
        <v>2613</v>
      </c>
      <c r="B1281" t="s">
        <v>12</v>
      </c>
      <c r="C1281" t="s">
        <v>47</v>
      </c>
      <c r="D1281" t="s">
        <v>2520</v>
      </c>
      <c r="E1281">
        <v>0</v>
      </c>
      <c r="F1281" t="s">
        <v>47</v>
      </c>
      <c r="G1281">
        <v>1</v>
      </c>
      <c r="H1281" t="s">
        <v>48</v>
      </c>
      <c r="I1281">
        <v>1</v>
      </c>
      <c r="J1281" t="s">
        <v>48</v>
      </c>
      <c r="K1281">
        <v>0</v>
      </c>
      <c r="L1281" t="s">
        <v>47</v>
      </c>
      <c r="M1281">
        <v>0</v>
      </c>
      <c r="N1281" t="s">
        <v>47</v>
      </c>
      <c r="O1281">
        <v>1</v>
      </c>
      <c r="P1281" t="s">
        <v>48</v>
      </c>
      <c r="Q1281">
        <v>0</v>
      </c>
      <c r="R1281" t="s">
        <v>47</v>
      </c>
      <c r="S1281">
        <v>0</v>
      </c>
      <c r="T1281" t="s">
        <v>47</v>
      </c>
    </row>
    <row r="1282" spans="1:20" x14ac:dyDescent="0.35">
      <c r="A1282" s="1" t="s">
        <v>2614</v>
      </c>
      <c r="B1282" t="s">
        <v>12</v>
      </c>
      <c r="C1282" t="s">
        <v>47</v>
      </c>
      <c r="D1282" t="s">
        <v>2521</v>
      </c>
      <c r="E1282">
        <v>0</v>
      </c>
      <c r="F1282" t="s">
        <v>47</v>
      </c>
      <c r="G1282">
        <v>1</v>
      </c>
      <c r="H1282" t="s">
        <v>48</v>
      </c>
      <c r="I1282">
        <v>0</v>
      </c>
      <c r="J1282" t="s">
        <v>47</v>
      </c>
      <c r="K1282">
        <v>0</v>
      </c>
      <c r="L1282" t="s">
        <v>47</v>
      </c>
      <c r="M1282">
        <v>0</v>
      </c>
      <c r="N1282" t="s">
        <v>47</v>
      </c>
      <c r="O1282">
        <v>1</v>
      </c>
      <c r="P1282" t="s">
        <v>48</v>
      </c>
      <c r="Q1282">
        <v>0</v>
      </c>
      <c r="R1282" t="s">
        <v>47</v>
      </c>
      <c r="S1282">
        <v>0</v>
      </c>
      <c r="T1282" t="s">
        <v>47</v>
      </c>
    </row>
    <row r="1283" spans="1:20" x14ac:dyDescent="0.35">
      <c r="A1283" s="1" t="s">
        <v>2615</v>
      </c>
      <c r="B1283" t="s">
        <v>12</v>
      </c>
      <c r="C1283" t="s">
        <v>47</v>
      </c>
      <c r="D1283" t="s">
        <v>2522</v>
      </c>
      <c r="E1283">
        <v>0</v>
      </c>
      <c r="F1283" t="s">
        <v>47</v>
      </c>
      <c r="G1283">
        <v>1</v>
      </c>
      <c r="H1283" t="s">
        <v>48</v>
      </c>
      <c r="I1283">
        <v>0</v>
      </c>
      <c r="J1283" t="s">
        <v>47</v>
      </c>
      <c r="K1283">
        <v>0</v>
      </c>
      <c r="L1283" t="s">
        <v>47</v>
      </c>
      <c r="M1283">
        <v>0</v>
      </c>
      <c r="N1283" t="s">
        <v>47</v>
      </c>
      <c r="O1283">
        <v>0</v>
      </c>
      <c r="P1283" t="s">
        <v>47</v>
      </c>
      <c r="Q1283">
        <v>0</v>
      </c>
      <c r="R1283" t="s">
        <v>47</v>
      </c>
      <c r="S1283">
        <v>0</v>
      </c>
      <c r="T1283" t="s">
        <v>47</v>
      </c>
    </row>
    <row r="1284" spans="1:20" x14ac:dyDescent="0.35">
      <c r="A1284" s="1" t="s">
        <v>2616</v>
      </c>
      <c r="B1284" t="s">
        <v>12</v>
      </c>
      <c r="C1284" t="s">
        <v>47</v>
      </c>
      <c r="D1284" t="s">
        <v>2523</v>
      </c>
      <c r="E1284">
        <v>0</v>
      </c>
      <c r="F1284" t="s">
        <v>47</v>
      </c>
      <c r="G1284">
        <v>1</v>
      </c>
      <c r="H1284" t="s">
        <v>48</v>
      </c>
      <c r="I1284">
        <v>0</v>
      </c>
      <c r="J1284" t="s">
        <v>47</v>
      </c>
      <c r="K1284">
        <v>0</v>
      </c>
      <c r="L1284" t="s">
        <v>47</v>
      </c>
      <c r="M1284">
        <v>0</v>
      </c>
      <c r="N1284" t="s">
        <v>47</v>
      </c>
      <c r="O1284">
        <v>0</v>
      </c>
      <c r="P1284" t="s">
        <v>47</v>
      </c>
      <c r="Q1284">
        <v>0</v>
      </c>
      <c r="R1284" t="s">
        <v>47</v>
      </c>
      <c r="S1284">
        <v>0</v>
      </c>
      <c r="T1284" t="s">
        <v>47</v>
      </c>
    </row>
    <row r="1285" spans="1:20" x14ac:dyDescent="0.35">
      <c r="A1285" s="1" t="s">
        <v>2617</v>
      </c>
      <c r="B1285" t="s">
        <v>12</v>
      </c>
      <c r="C1285" t="s">
        <v>47</v>
      </c>
      <c r="D1285" t="s">
        <v>2524</v>
      </c>
      <c r="E1285">
        <v>1</v>
      </c>
      <c r="F1285" t="s">
        <v>48</v>
      </c>
      <c r="G1285">
        <v>1</v>
      </c>
      <c r="H1285" t="s">
        <v>48</v>
      </c>
      <c r="I1285">
        <v>0</v>
      </c>
      <c r="J1285" t="s">
        <v>47</v>
      </c>
      <c r="K1285">
        <v>0</v>
      </c>
      <c r="L1285" t="s">
        <v>47</v>
      </c>
      <c r="M1285">
        <v>0</v>
      </c>
      <c r="N1285" t="s">
        <v>47</v>
      </c>
      <c r="O1285">
        <v>0</v>
      </c>
      <c r="P1285" t="s">
        <v>47</v>
      </c>
      <c r="Q1285">
        <v>0</v>
      </c>
      <c r="R1285" t="s">
        <v>47</v>
      </c>
      <c r="S1285">
        <v>0</v>
      </c>
      <c r="T1285" t="s">
        <v>47</v>
      </c>
    </row>
    <row r="1286" spans="1:20" x14ac:dyDescent="0.35">
      <c r="A1286" s="1" t="s">
        <v>2618</v>
      </c>
      <c r="B1286" t="s">
        <v>12</v>
      </c>
      <c r="C1286" t="s">
        <v>47</v>
      </c>
      <c r="D1286" t="s">
        <v>2525</v>
      </c>
      <c r="E1286">
        <v>1</v>
      </c>
      <c r="F1286" t="s">
        <v>48</v>
      </c>
      <c r="G1286">
        <v>1</v>
      </c>
      <c r="H1286" t="s">
        <v>48</v>
      </c>
      <c r="I1286">
        <v>0</v>
      </c>
      <c r="J1286" t="s">
        <v>47</v>
      </c>
      <c r="K1286">
        <v>1</v>
      </c>
      <c r="L1286" t="s">
        <v>48</v>
      </c>
      <c r="M1286">
        <v>0</v>
      </c>
      <c r="N1286" t="s">
        <v>47</v>
      </c>
      <c r="O1286">
        <v>0</v>
      </c>
      <c r="P1286" t="s">
        <v>47</v>
      </c>
      <c r="Q1286">
        <v>0</v>
      </c>
      <c r="R1286" t="s">
        <v>47</v>
      </c>
      <c r="S1286">
        <v>0</v>
      </c>
      <c r="T1286" t="s">
        <v>47</v>
      </c>
    </row>
    <row r="1287" spans="1:20" x14ac:dyDescent="0.35">
      <c r="A1287" s="1" t="s">
        <v>2619</v>
      </c>
      <c r="B1287" t="s">
        <v>12</v>
      </c>
      <c r="C1287" t="s">
        <v>47</v>
      </c>
      <c r="D1287" t="s">
        <v>2526</v>
      </c>
      <c r="E1287">
        <v>1</v>
      </c>
      <c r="F1287" t="s">
        <v>48</v>
      </c>
      <c r="G1287">
        <v>1</v>
      </c>
      <c r="H1287" t="s">
        <v>48</v>
      </c>
      <c r="I1287">
        <v>0</v>
      </c>
      <c r="J1287" t="s">
        <v>47</v>
      </c>
      <c r="K1287">
        <v>0</v>
      </c>
      <c r="L1287" t="s">
        <v>47</v>
      </c>
      <c r="M1287">
        <v>1</v>
      </c>
      <c r="N1287" t="s">
        <v>48</v>
      </c>
      <c r="O1287">
        <v>0</v>
      </c>
      <c r="P1287" t="s">
        <v>47</v>
      </c>
      <c r="Q1287">
        <v>1</v>
      </c>
      <c r="R1287" t="s">
        <v>48</v>
      </c>
      <c r="S1287">
        <v>0</v>
      </c>
      <c r="T1287" t="s">
        <v>47</v>
      </c>
    </row>
    <row r="1288" spans="1:20" x14ac:dyDescent="0.35">
      <c r="A1288" s="1" t="s">
        <v>2620</v>
      </c>
      <c r="B1288" t="s">
        <v>12</v>
      </c>
      <c r="C1288" t="s">
        <v>47</v>
      </c>
      <c r="D1288" t="s">
        <v>2527</v>
      </c>
      <c r="E1288">
        <v>1</v>
      </c>
      <c r="F1288" t="s">
        <v>48</v>
      </c>
      <c r="G1288">
        <v>0</v>
      </c>
      <c r="H1288" t="s">
        <v>47</v>
      </c>
      <c r="I1288">
        <v>0</v>
      </c>
      <c r="J1288" t="s">
        <v>47</v>
      </c>
      <c r="K1288">
        <v>0</v>
      </c>
      <c r="L1288" t="s">
        <v>47</v>
      </c>
      <c r="M1288">
        <v>1</v>
      </c>
      <c r="N1288" t="s">
        <v>48</v>
      </c>
      <c r="O1288">
        <v>0</v>
      </c>
      <c r="P1288" t="s">
        <v>47</v>
      </c>
      <c r="Q1288">
        <v>0</v>
      </c>
      <c r="R1288" t="s">
        <v>47</v>
      </c>
      <c r="S1288">
        <v>0</v>
      </c>
      <c r="T1288" t="s">
        <v>47</v>
      </c>
    </row>
    <row r="1289" spans="1:20" x14ac:dyDescent="0.35">
      <c r="A1289" s="1" t="s">
        <v>2621</v>
      </c>
      <c r="B1289" t="s">
        <v>12</v>
      </c>
      <c r="C1289" t="s">
        <v>47</v>
      </c>
      <c r="D1289" t="s">
        <v>2528</v>
      </c>
      <c r="E1289">
        <v>1</v>
      </c>
      <c r="F1289" t="s">
        <v>48</v>
      </c>
      <c r="G1289">
        <v>0</v>
      </c>
      <c r="H1289" t="s">
        <v>47</v>
      </c>
      <c r="I1289">
        <v>0</v>
      </c>
      <c r="J1289" t="s">
        <v>47</v>
      </c>
      <c r="K1289">
        <v>0</v>
      </c>
      <c r="L1289" t="s">
        <v>47</v>
      </c>
      <c r="M1289">
        <v>0</v>
      </c>
      <c r="N1289" t="s">
        <v>47</v>
      </c>
      <c r="O1289">
        <v>0</v>
      </c>
      <c r="P1289" t="s">
        <v>47</v>
      </c>
      <c r="Q1289">
        <v>0</v>
      </c>
      <c r="R1289" t="s">
        <v>47</v>
      </c>
      <c r="S1289">
        <v>0</v>
      </c>
      <c r="T1289" t="s">
        <v>47</v>
      </c>
    </row>
    <row r="1290" spans="1:20" x14ac:dyDescent="0.35">
      <c r="A1290" s="1" t="s">
        <v>2622</v>
      </c>
      <c r="B1290" t="s">
        <v>12</v>
      </c>
      <c r="C1290" t="s">
        <v>47</v>
      </c>
      <c r="D1290" t="s">
        <v>2529</v>
      </c>
      <c r="E1290">
        <v>1</v>
      </c>
      <c r="F1290" t="s">
        <v>48</v>
      </c>
      <c r="G1290">
        <v>1</v>
      </c>
      <c r="H1290" t="s">
        <v>48</v>
      </c>
      <c r="I1290">
        <v>0</v>
      </c>
      <c r="J1290" t="s">
        <v>47</v>
      </c>
      <c r="K1290">
        <v>1</v>
      </c>
      <c r="L1290" t="s">
        <v>48</v>
      </c>
      <c r="M1290">
        <v>0</v>
      </c>
      <c r="N1290" t="s">
        <v>47</v>
      </c>
      <c r="O1290">
        <v>0</v>
      </c>
      <c r="P1290" t="s">
        <v>47</v>
      </c>
      <c r="Q1290">
        <v>0</v>
      </c>
      <c r="R1290" t="s">
        <v>47</v>
      </c>
      <c r="S1290">
        <v>0</v>
      </c>
      <c r="T1290" t="s">
        <v>47</v>
      </c>
    </row>
    <row r="1291" spans="1:20" x14ac:dyDescent="0.35">
      <c r="A1291" s="1" t="s">
        <v>2623</v>
      </c>
      <c r="B1291" t="s">
        <v>12</v>
      </c>
      <c r="C1291" t="s">
        <v>47</v>
      </c>
      <c r="D1291" t="s">
        <v>2530</v>
      </c>
      <c r="E1291">
        <v>1</v>
      </c>
      <c r="F1291" t="s">
        <v>48</v>
      </c>
      <c r="G1291">
        <v>1</v>
      </c>
      <c r="H1291" t="s">
        <v>48</v>
      </c>
      <c r="I1291">
        <v>0</v>
      </c>
      <c r="J1291" t="s">
        <v>47</v>
      </c>
      <c r="K1291">
        <v>0</v>
      </c>
      <c r="L1291" t="s">
        <v>47</v>
      </c>
      <c r="M1291">
        <v>1</v>
      </c>
      <c r="N1291" t="s">
        <v>48</v>
      </c>
      <c r="O1291">
        <v>1</v>
      </c>
      <c r="P1291" t="s">
        <v>48</v>
      </c>
      <c r="Q1291">
        <v>1</v>
      </c>
      <c r="R1291" t="s">
        <v>45</v>
      </c>
      <c r="S1291">
        <v>0</v>
      </c>
      <c r="T1291" t="s">
        <v>47</v>
      </c>
    </row>
    <row r="1292" spans="1:20" x14ac:dyDescent="0.35">
      <c r="A1292" s="1" t="s">
        <v>2624</v>
      </c>
      <c r="B1292" t="s">
        <v>12</v>
      </c>
      <c r="C1292" t="s">
        <v>47</v>
      </c>
      <c r="D1292" t="s">
        <v>2531</v>
      </c>
      <c r="E1292">
        <v>1</v>
      </c>
      <c r="F1292" t="s">
        <v>48</v>
      </c>
      <c r="G1292">
        <v>1</v>
      </c>
      <c r="H1292" t="s">
        <v>48</v>
      </c>
      <c r="I1292">
        <v>0</v>
      </c>
      <c r="J1292" t="s">
        <v>47</v>
      </c>
      <c r="K1292">
        <v>1</v>
      </c>
      <c r="L1292" t="s">
        <v>48</v>
      </c>
      <c r="M1292">
        <v>0</v>
      </c>
      <c r="N1292" t="s">
        <v>47</v>
      </c>
      <c r="O1292">
        <v>0</v>
      </c>
      <c r="P1292" t="s">
        <v>47</v>
      </c>
      <c r="Q1292">
        <v>0</v>
      </c>
      <c r="R1292" t="s">
        <v>47</v>
      </c>
      <c r="S1292">
        <v>0</v>
      </c>
      <c r="T1292" t="s">
        <v>47</v>
      </c>
    </row>
    <row r="1293" spans="1:20" x14ac:dyDescent="0.35">
      <c r="A1293" s="1" t="s">
        <v>2625</v>
      </c>
      <c r="B1293" t="s">
        <v>12</v>
      </c>
      <c r="C1293" t="s">
        <v>47</v>
      </c>
      <c r="D1293" t="s">
        <v>2532</v>
      </c>
      <c r="E1293">
        <v>1</v>
      </c>
      <c r="F1293" t="s">
        <v>55</v>
      </c>
      <c r="G1293">
        <v>1</v>
      </c>
      <c r="H1293" t="s">
        <v>48</v>
      </c>
      <c r="I1293">
        <v>0</v>
      </c>
      <c r="J1293" t="s">
        <v>47</v>
      </c>
      <c r="K1293">
        <v>0</v>
      </c>
      <c r="L1293" t="s">
        <v>47</v>
      </c>
      <c r="M1293">
        <v>0</v>
      </c>
      <c r="N1293" t="s">
        <v>47</v>
      </c>
      <c r="O1293">
        <v>0</v>
      </c>
      <c r="P1293" t="s">
        <v>47</v>
      </c>
      <c r="Q1293">
        <v>0</v>
      </c>
      <c r="R1293" t="s">
        <v>47</v>
      </c>
      <c r="S1293">
        <v>0</v>
      </c>
      <c r="T1293" t="s">
        <v>47</v>
      </c>
    </row>
    <row r="1294" spans="1:20" x14ac:dyDescent="0.35">
      <c r="A1294" s="1" t="s">
        <v>2626</v>
      </c>
      <c r="B1294" t="s">
        <v>12</v>
      </c>
      <c r="C1294" t="s">
        <v>47</v>
      </c>
      <c r="D1294" t="s">
        <v>2533</v>
      </c>
      <c r="E1294">
        <v>1</v>
      </c>
      <c r="F1294" t="s">
        <v>48</v>
      </c>
      <c r="G1294">
        <v>1</v>
      </c>
      <c r="H1294" t="s">
        <v>48</v>
      </c>
      <c r="I1294">
        <v>0</v>
      </c>
      <c r="J1294" t="s">
        <v>47</v>
      </c>
      <c r="K1294">
        <v>0</v>
      </c>
      <c r="L1294" t="s">
        <v>47</v>
      </c>
      <c r="M1294">
        <v>0</v>
      </c>
      <c r="N1294" t="s">
        <v>47</v>
      </c>
      <c r="O1294">
        <v>0</v>
      </c>
      <c r="P1294" t="s">
        <v>47</v>
      </c>
      <c r="Q1294">
        <v>0</v>
      </c>
      <c r="R1294" t="s">
        <v>47</v>
      </c>
      <c r="S1294">
        <v>1</v>
      </c>
      <c r="T1294" t="s">
        <v>45</v>
      </c>
    </row>
    <row r="1295" spans="1:20" x14ac:dyDescent="0.35">
      <c r="A1295" s="1" t="s">
        <v>2627</v>
      </c>
      <c r="B1295" t="s">
        <v>12</v>
      </c>
      <c r="C1295" t="s">
        <v>47</v>
      </c>
      <c r="D1295" t="s">
        <v>2534</v>
      </c>
      <c r="E1295">
        <v>1</v>
      </c>
      <c r="F1295" t="s">
        <v>48</v>
      </c>
      <c r="G1295">
        <v>1</v>
      </c>
      <c r="H1295" t="s">
        <v>48</v>
      </c>
      <c r="I1295">
        <v>0</v>
      </c>
      <c r="J1295" t="s">
        <v>47</v>
      </c>
      <c r="K1295">
        <v>0</v>
      </c>
      <c r="L1295" t="s">
        <v>47</v>
      </c>
      <c r="M1295">
        <v>0</v>
      </c>
      <c r="N1295" t="s">
        <v>47</v>
      </c>
      <c r="O1295">
        <v>1</v>
      </c>
      <c r="P1295" t="s">
        <v>48</v>
      </c>
      <c r="Q1295">
        <v>1</v>
      </c>
      <c r="R1295" t="s">
        <v>48</v>
      </c>
      <c r="S1295">
        <v>0</v>
      </c>
      <c r="T1295" t="s">
        <v>47</v>
      </c>
    </row>
    <row r="1296" spans="1:20" x14ac:dyDescent="0.35">
      <c r="A1296" s="1" t="s">
        <v>2628</v>
      </c>
      <c r="B1296" t="s">
        <v>12</v>
      </c>
      <c r="C1296" t="s">
        <v>47</v>
      </c>
      <c r="D1296" t="s">
        <v>2535</v>
      </c>
      <c r="E1296">
        <v>0</v>
      </c>
      <c r="F1296" t="s">
        <v>47</v>
      </c>
      <c r="G1296">
        <v>1</v>
      </c>
      <c r="H1296" t="s">
        <v>48</v>
      </c>
      <c r="I1296">
        <v>1</v>
      </c>
      <c r="J1296" t="s">
        <v>48</v>
      </c>
      <c r="K1296">
        <v>0</v>
      </c>
      <c r="L1296" t="s">
        <v>47</v>
      </c>
      <c r="M1296">
        <v>1</v>
      </c>
      <c r="N1296" t="s">
        <v>48</v>
      </c>
      <c r="O1296">
        <v>0</v>
      </c>
      <c r="P1296" t="s">
        <v>47</v>
      </c>
      <c r="Q1296">
        <v>0</v>
      </c>
      <c r="R1296" t="s">
        <v>47</v>
      </c>
      <c r="S1296">
        <v>0</v>
      </c>
      <c r="T1296" t="s">
        <v>47</v>
      </c>
    </row>
    <row r="1297" spans="1:20" x14ac:dyDescent="0.35">
      <c r="A1297" s="1" t="s">
        <v>2629</v>
      </c>
      <c r="B1297" t="s">
        <v>12</v>
      </c>
      <c r="C1297" t="s">
        <v>47</v>
      </c>
      <c r="D1297" t="s">
        <v>2536</v>
      </c>
      <c r="E1297">
        <v>1</v>
      </c>
      <c r="F1297" t="s">
        <v>55</v>
      </c>
      <c r="G1297">
        <v>1</v>
      </c>
      <c r="H1297" t="s">
        <v>48</v>
      </c>
      <c r="I1297">
        <v>0</v>
      </c>
      <c r="J1297" t="s">
        <v>47</v>
      </c>
      <c r="K1297">
        <v>0</v>
      </c>
      <c r="L1297" t="s">
        <v>47</v>
      </c>
      <c r="M1297">
        <v>0</v>
      </c>
      <c r="N1297" t="s">
        <v>47</v>
      </c>
      <c r="O1297">
        <v>0</v>
      </c>
      <c r="P1297" t="s">
        <v>47</v>
      </c>
      <c r="Q1297">
        <v>1</v>
      </c>
      <c r="R1297" t="s">
        <v>45</v>
      </c>
      <c r="S1297">
        <v>1</v>
      </c>
      <c r="T1297" t="s">
        <v>48</v>
      </c>
    </row>
    <row r="1298" spans="1:20" x14ac:dyDescent="0.35">
      <c r="A1298" s="1" t="s">
        <v>2630</v>
      </c>
      <c r="B1298" t="s">
        <v>12</v>
      </c>
      <c r="C1298" t="s">
        <v>47</v>
      </c>
      <c r="D1298" t="s">
        <v>2537</v>
      </c>
      <c r="E1298">
        <v>0</v>
      </c>
      <c r="F1298" t="s">
        <v>47</v>
      </c>
      <c r="G1298">
        <v>1</v>
      </c>
      <c r="H1298" t="s">
        <v>48</v>
      </c>
      <c r="I1298">
        <v>0</v>
      </c>
      <c r="J1298" t="s">
        <v>47</v>
      </c>
      <c r="K1298">
        <v>0</v>
      </c>
      <c r="L1298" t="s">
        <v>47</v>
      </c>
      <c r="M1298">
        <v>0</v>
      </c>
      <c r="N1298" t="s">
        <v>47</v>
      </c>
      <c r="O1298">
        <v>1</v>
      </c>
      <c r="P1298" t="s">
        <v>48</v>
      </c>
      <c r="Q1298">
        <v>0</v>
      </c>
      <c r="R1298" t="s">
        <v>47</v>
      </c>
      <c r="S1298">
        <v>0</v>
      </c>
      <c r="T1298" t="s">
        <v>47</v>
      </c>
    </row>
    <row r="1299" spans="1:20" x14ac:dyDescent="0.35">
      <c r="A1299" s="1" t="s">
        <v>2631</v>
      </c>
      <c r="B1299" t="s">
        <v>12</v>
      </c>
      <c r="C1299" t="s">
        <v>47</v>
      </c>
      <c r="D1299" t="s">
        <v>2538</v>
      </c>
      <c r="E1299">
        <v>0</v>
      </c>
      <c r="F1299" t="s">
        <v>47</v>
      </c>
      <c r="G1299">
        <v>0</v>
      </c>
      <c r="H1299" t="s">
        <v>47</v>
      </c>
      <c r="I1299">
        <v>0</v>
      </c>
      <c r="J1299" t="s">
        <v>47</v>
      </c>
      <c r="K1299">
        <v>0</v>
      </c>
      <c r="L1299" t="s">
        <v>47</v>
      </c>
      <c r="M1299">
        <v>0</v>
      </c>
      <c r="N1299" t="s">
        <v>47</v>
      </c>
      <c r="O1299">
        <v>0</v>
      </c>
      <c r="P1299" t="s">
        <v>47</v>
      </c>
      <c r="Q1299">
        <v>1</v>
      </c>
      <c r="R1299" t="s">
        <v>48</v>
      </c>
      <c r="S1299">
        <v>0</v>
      </c>
      <c r="T1299" t="s">
        <v>47</v>
      </c>
    </row>
    <row r="1300" spans="1:20" x14ac:dyDescent="0.35">
      <c r="A1300" s="1" t="s">
        <v>2632</v>
      </c>
      <c r="B1300" t="s">
        <v>12</v>
      </c>
      <c r="C1300" t="s">
        <v>47</v>
      </c>
      <c r="D1300" t="s">
        <v>2539</v>
      </c>
      <c r="E1300">
        <v>1</v>
      </c>
      <c r="F1300" t="s">
        <v>48</v>
      </c>
      <c r="G1300">
        <v>1</v>
      </c>
      <c r="H1300" t="s">
        <v>48</v>
      </c>
      <c r="I1300">
        <v>0</v>
      </c>
      <c r="J1300" t="s">
        <v>47</v>
      </c>
      <c r="K1300">
        <v>0</v>
      </c>
      <c r="L1300" t="s">
        <v>47</v>
      </c>
      <c r="M1300">
        <v>1</v>
      </c>
      <c r="N1300" t="s">
        <v>48</v>
      </c>
      <c r="O1300">
        <v>0</v>
      </c>
      <c r="P1300" t="s">
        <v>47</v>
      </c>
      <c r="Q1300">
        <v>1</v>
      </c>
      <c r="R1300" t="s">
        <v>48</v>
      </c>
      <c r="S1300">
        <v>0</v>
      </c>
      <c r="T1300" t="s">
        <v>47</v>
      </c>
    </row>
    <row r="1301" spans="1:20" x14ac:dyDescent="0.35">
      <c r="A1301" s="1" t="s">
        <v>2639</v>
      </c>
      <c r="B1301" t="s">
        <v>12</v>
      </c>
      <c r="C1301" t="s">
        <v>47</v>
      </c>
      <c r="D1301" t="s">
        <v>2634</v>
      </c>
      <c r="E1301">
        <v>1</v>
      </c>
      <c r="F1301" t="s">
        <v>45</v>
      </c>
      <c r="G1301">
        <v>1</v>
      </c>
      <c r="H1301" t="s">
        <v>48</v>
      </c>
      <c r="I1301">
        <v>0</v>
      </c>
      <c r="J1301" t="s">
        <v>47</v>
      </c>
      <c r="K1301">
        <v>0</v>
      </c>
      <c r="L1301" t="s">
        <v>47</v>
      </c>
      <c r="M1301">
        <v>1</v>
      </c>
      <c r="N1301" t="s">
        <v>55</v>
      </c>
      <c r="O1301">
        <v>1</v>
      </c>
      <c r="P1301" t="s">
        <v>48</v>
      </c>
      <c r="Q1301">
        <v>0</v>
      </c>
      <c r="R1301" t="s">
        <v>47</v>
      </c>
      <c r="S1301">
        <v>0</v>
      </c>
      <c r="T1301" t="s">
        <v>47</v>
      </c>
    </row>
    <row r="1302" spans="1:20" x14ac:dyDescent="0.35">
      <c r="A1302" s="1" t="s">
        <v>2640</v>
      </c>
      <c r="B1302" t="s">
        <v>12</v>
      </c>
      <c r="C1302" t="s">
        <v>47</v>
      </c>
      <c r="D1302" t="s">
        <v>2635</v>
      </c>
      <c r="E1302">
        <v>1</v>
      </c>
      <c r="F1302" t="s">
        <v>45</v>
      </c>
      <c r="G1302">
        <v>1</v>
      </c>
      <c r="H1302" t="s">
        <v>48</v>
      </c>
      <c r="I1302">
        <v>0</v>
      </c>
      <c r="J1302" t="s">
        <v>47</v>
      </c>
      <c r="K1302">
        <v>0</v>
      </c>
      <c r="L1302" t="s">
        <v>47</v>
      </c>
      <c r="M1302">
        <v>0</v>
      </c>
      <c r="N1302" t="s">
        <v>47</v>
      </c>
      <c r="O1302">
        <v>0</v>
      </c>
      <c r="P1302" t="s">
        <v>47</v>
      </c>
      <c r="Q1302">
        <v>0</v>
      </c>
      <c r="R1302" t="s">
        <v>47</v>
      </c>
      <c r="S1302">
        <v>0</v>
      </c>
      <c r="T1302" t="s">
        <v>47</v>
      </c>
    </row>
    <row r="1303" spans="1:20" x14ac:dyDescent="0.35">
      <c r="A1303" s="1" t="s">
        <v>2641</v>
      </c>
      <c r="B1303" t="s">
        <v>12</v>
      </c>
      <c r="C1303" t="s">
        <v>47</v>
      </c>
      <c r="D1303" t="s">
        <v>2636</v>
      </c>
      <c r="E1303">
        <v>1</v>
      </c>
      <c r="F1303" t="s">
        <v>48</v>
      </c>
      <c r="G1303">
        <v>1</v>
      </c>
      <c r="H1303" t="s">
        <v>48</v>
      </c>
      <c r="I1303">
        <v>0</v>
      </c>
      <c r="J1303" t="s">
        <v>47</v>
      </c>
      <c r="K1303">
        <v>0</v>
      </c>
      <c r="L1303" t="s">
        <v>47</v>
      </c>
      <c r="M1303">
        <v>0</v>
      </c>
      <c r="N1303" t="s">
        <v>47</v>
      </c>
      <c r="O1303">
        <v>1</v>
      </c>
      <c r="P1303" t="s">
        <v>48</v>
      </c>
      <c r="Q1303">
        <v>1</v>
      </c>
      <c r="R1303" t="s">
        <v>45</v>
      </c>
      <c r="S1303">
        <v>0</v>
      </c>
      <c r="T1303" t="s">
        <v>47</v>
      </c>
    </row>
    <row r="1304" spans="1:20" x14ac:dyDescent="0.35">
      <c r="A1304" s="1" t="s">
        <v>2642</v>
      </c>
      <c r="B1304" t="s">
        <v>12</v>
      </c>
      <c r="C1304" t="s">
        <v>47</v>
      </c>
      <c r="D1304" t="s">
        <v>2637</v>
      </c>
      <c r="E1304">
        <v>1</v>
      </c>
      <c r="F1304" t="s">
        <v>48</v>
      </c>
      <c r="G1304">
        <v>0</v>
      </c>
      <c r="H1304" t="s">
        <v>47</v>
      </c>
      <c r="I1304">
        <v>0</v>
      </c>
      <c r="J1304" t="s">
        <v>47</v>
      </c>
      <c r="K1304">
        <v>0</v>
      </c>
      <c r="L1304" t="s">
        <v>47</v>
      </c>
      <c r="M1304">
        <v>1</v>
      </c>
      <c r="N1304" t="s">
        <v>48</v>
      </c>
      <c r="O1304">
        <v>0</v>
      </c>
      <c r="P1304" t="s">
        <v>47</v>
      </c>
      <c r="Q1304">
        <v>0</v>
      </c>
      <c r="R1304" t="s">
        <v>47</v>
      </c>
      <c r="S1304">
        <v>0</v>
      </c>
      <c r="T1304" t="s">
        <v>47</v>
      </c>
    </row>
    <row r="1305" spans="1:20" x14ac:dyDescent="0.35">
      <c r="A1305" s="1" t="s">
        <v>2643</v>
      </c>
      <c r="B1305" t="s">
        <v>12</v>
      </c>
      <c r="C1305" t="s">
        <v>47</v>
      </c>
      <c r="D1305" t="s">
        <v>2638</v>
      </c>
      <c r="E1305">
        <v>1</v>
      </c>
      <c r="F1305" t="s">
        <v>45</v>
      </c>
      <c r="G1305">
        <v>0</v>
      </c>
      <c r="H1305" t="s">
        <v>47</v>
      </c>
      <c r="I1305">
        <v>0</v>
      </c>
      <c r="J1305" t="s">
        <v>47</v>
      </c>
      <c r="K1305">
        <v>1</v>
      </c>
      <c r="L1305" t="s">
        <v>48</v>
      </c>
      <c r="M1305">
        <v>0</v>
      </c>
      <c r="N1305" t="s">
        <v>47</v>
      </c>
      <c r="O1305">
        <v>0</v>
      </c>
      <c r="P1305" t="s">
        <v>47</v>
      </c>
      <c r="Q1305">
        <v>0</v>
      </c>
      <c r="R1305" t="s">
        <v>47</v>
      </c>
      <c r="S1305">
        <v>0</v>
      </c>
      <c r="T1305" t="s">
        <v>47</v>
      </c>
    </row>
    <row r="1306" spans="1:20" x14ac:dyDescent="0.35">
      <c r="A1306" s="1" t="s">
        <v>2891</v>
      </c>
      <c r="B1306" s="20" t="s">
        <v>12</v>
      </c>
      <c r="C1306" s="18" t="s">
        <v>47</v>
      </c>
      <c r="D1306" s="18" t="s">
        <v>2644</v>
      </c>
      <c r="E1306" s="18">
        <v>0</v>
      </c>
      <c r="F1306" s="18" t="s">
        <v>47</v>
      </c>
      <c r="G1306" s="18">
        <v>1</v>
      </c>
      <c r="H1306" s="18" t="s">
        <v>48</v>
      </c>
      <c r="I1306" s="18">
        <v>1</v>
      </c>
      <c r="J1306" s="18" t="s">
        <v>48</v>
      </c>
      <c r="K1306" s="18">
        <v>0</v>
      </c>
      <c r="L1306" s="18" t="s">
        <v>47</v>
      </c>
      <c r="M1306" s="18">
        <v>1</v>
      </c>
      <c r="N1306" s="18" t="s">
        <v>48</v>
      </c>
      <c r="O1306" s="18">
        <v>0</v>
      </c>
      <c r="P1306" s="18" t="s">
        <v>47</v>
      </c>
      <c r="Q1306" s="18">
        <v>0</v>
      </c>
      <c r="R1306" s="18" t="s">
        <v>47</v>
      </c>
      <c r="S1306" s="18">
        <v>0</v>
      </c>
      <c r="T1306" s="21" t="s">
        <v>47</v>
      </c>
    </row>
    <row r="1307" spans="1:20" x14ac:dyDescent="0.35">
      <c r="A1307" s="1" t="s">
        <v>2892</v>
      </c>
      <c r="B1307" s="22" t="s">
        <v>12</v>
      </c>
      <c r="C1307" s="19" t="s">
        <v>47</v>
      </c>
      <c r="D1307" s="19" t="s">
        <v>2645</v>
      </c>
      <c r="E1307" s="19">
        <v>1</v>
      </c>
      <c r="F1307" s="19" t="s">
        <v>55</v>
      </c>
      <c r="G1307" s="19">
        <v>0</v>
      </c>
      <c r="H1307" s="19" t="s">
        <v>47</v>
      </c>
      <c r="I1307" s="19">
        <v>0</v>
      </c>
      <c r="J1307" s="19" t="s">
        <v>47</v>
      </c>
      <c r="K1307" s="19">
        <v>0</v>
      </c>
      <c r="L1307" s="19" t="s">
        <v>47</v>
      </c>
      <c r="M1307" s="19">
        <v>0</v>
      </c>
      <c r="N1307" s="19" t="s">
        <v>47</v>
      </c>
      <c r="O1307" s="19">
        <v>0</v>
      </c>
      <c r="P1307" s="19" t="s">
        <v>47</v>
      </c>
      <c r="Q1307" s="19">
        <v>0</v>
      </c>
      <c r="R1307" s="19" t="s">
        <v>47</v>
      </c>
      <c r="S1307" s="19">
        <v>0</v>
      </c>
      <c r="T1307" s="23" t="s">
        <v>47</v>
      </c>
    </row>
    <row r="1308" spans="1:20" x14ac:dyDescent="0.35">
      <c r="A1308" s="1" t="s">
        <v>2893</v>
      </c>
      <c r="B1308" s="20" t="s">
        <v>12</v>
      </c>
      <c r="C1308" s="18" t="s">
        <v>47</v>
      </c>
      <c r="D1308" s="18" t="s">
        <v>2739</v>
      </c>
      <c r="E1308" s="18">
        <v>1</v>
      </c>
      <c r="F1308" s="18" t="s">
        <v>48</v>
      </c>
      <c r="G1308" s="18">
        <v>0</v>
      </c>
      <c r="H1308" s="18" t="s">
        <v>47</v>
      </c>
      <c r="I1308" s="18">
        <v>0</v>
      </c>
      <c r="J1308" s="18" t="s">
        <v>47</v>
      </c>
      <c r="K1308" s="18">
        <v>0</v>
      </c>
      <c r="L1308" s="18" t="s">
        <v>47</v>
      </c>
      <c r="M1308" s="18">
        <v>1</v>
      </c>
      <c r="N1308" s="18" t="s">
        <v>48</v>
      </c>
      <c r="O1308" s="18">
        <v>0</v>
      </c>
      <c r="P1308" s="18" t="s">
        <v>47</v>
      </c>
      <c r="Q1308" s="18">
        <v>0</v>
      </c>
      <c r="R1308" s="18" t="s">
        <v>47</v>
      </c>
      <c r="S1308" s="18">
        <v>0</v>
      </c>
      <c r="T1308" s="21" t="s">
        <v>47</v>
      </c>
    </row>
    <row r="1309" spans="1:20" x14ac:dyDescent="0.35">
      <c r="A1309" s="1" t="s">
        <v>2894</v>
      </c>
      <c r="B1309" s="22" t="s">
        <v>12</v>
      </c>
      <c r="C1309" s="19" t="s">
        <v>47</v>
      </c>
      <c r="D1309" s="19" t="s">
        <v>2646</v>
      </c>
      <c r="E1309" s="19">
        <v>1</v>
      </c>
      <c r="F1309" s="19" t="s">
        <v>45</v>
      </c>
      <c r="G1309" s="19">
        <v>0</v>
      </c>
      <c r="H1309" s="19" t="s">
        <v>47</v>
      </c>
      <c r="I1309" s="19">
        <v>0</v>
      </c>
      <c r="J1309" s="19" t="s">
        <v>47</v>
      </c>
      <c r="K1309" s="19">
        <v>1</v>
      </c>
      <c r="L1309" s="19" t="s">
        <v>48</v>
      </c>
      <c r="M1309" s="19">
        <v>0</v>
      </c>
      <c r="N1309" s="19" t="s">
        <v>47</v>
      </c>
      <c r="O1309" s="19">
        <v>0</v>
      </c>
      <c r="P1309" s="19" t="s">
        <v>47</v>
      </c>
      <c r="Q1309" s="19">
        <v>0</v>
      </c>
      <c r="R1309" s="19" t="s">
        <v>47</v>
      </c>
      <c r="S1309" s="19">
        <v>0</v>
      </c>
      <c r="T1309" s="23" t="s">
        <v>47</v>
      </c>
    </row>
    <row r="1310" spans="1:20" x14ac:dyDescent="0.35">
      <c r="A1310" s="1" t="s">
        <v>2895</v>
      </c>
      <c r="B1310" s="20" t="s">
        <v>12</v>
      </c>
      <c r="C1310" s="18" t="s">
        <v>47</v>
      </c>
      <c r="D1310" s="18" t="s">
        <v>2647</v>
      </c>
      <c r="E1310" s="18">
        <v>1</v>
      </c>
      <c r="F1310" s="18" t="s">
        <v>55</v>
      </c>
      <c r="G1310" s="18">
        <v>1</v>
      </c>
      <c r="H1310" s="18" t="s">
        <v>45</v>
      </c>
      <c r="I1310" s="18">
        <v>0</v>
      </c>
      <c r="J1310" s="18" t="s">
        <v>47</v>
      </c>
      <c r="K1310" s="18">
        <v>0</v>
      </c>
      <c r="L1310" s="18" t="s">
        <v>47</v>
      </c>
      <c r="M1310" s="18">
        <v>1</v>
      </c>
      <c r="N1310" s="18" t="s">
        <v>45</v>
      </c>
      <c r="O1310" s="18">
        <v>0</v>
      </c>
      <c r="P1310" s="18" t="s">
        <v>47</v>
      </c>
      <c r="Q1310" s="18">
        <v>1</v>
      </c>
      <c r="R1310" s="18" t="s">
        <v>45</v>
      </c>
      <c r="S1310" s="18">
        <v>0</v>
      </c>
      <c r="T1310" s="21" t="s">
        <v>47</v>
      </c>
    </row>
    <row r="1311" spans="1:20" x14ac:dyDescent="0.35">
      <c r="A1311" s="1" t="s">
        <v>2896</v>
      </c>
      <c r="B1311" s="22" t="s">
        <v>12</v>
      </c>
      <c r="C1311" s="19" t="s">
        <v>47</v>
      </c>
      <c r="D1311" s="19" t="s">
        <v>2740</v>
      </c>
      <c r="E1311" s="19">
        <v>0</v>
      </c>
      <c r="F1311" s="19" t="s">
        <v>47</v>
      </c>
      <c r="G1311" s="19">
        <v>1</v>
      </c>
      <c r="H1311" s="19" t="s">
        <v>48</v>
      </c>
      <c r="I1311" s="19">
        <v>0</v>
      </c>
      <c r="J1311" s="19" t="s">
        <v>47</v>
      </c>
      <c r="K1311" s="19">
        <v>0</v>
      </c>
      <c r="L1311" s="19" t="s">
        <v>47</v>
      </c>
      <c r="M1311" s="19">
        <v>0</v>
      </c>
      <c r="N1311" s="19" t="s">
        <v>47</v>
      </c>
      <c r="O1311" s="19">
        <v>1</v>
      </c>
      <c r="P1311" s="19" t="s">
        <v>48</v>
      </c>
      <c r="Q1311" s="19">
        <v>0</v>
      </c>
      <c r="R1311" s="19" t="s">
        <v>47</v>
      </c>
      <c r="S1311" s="19">
        <v>0</v>
      </c>
      <c r="T1311" s="23" t="s">
        <v>47</v>
      </c>
    </row>
    <row r="1312" spans="1:20" x14ac:dyDescent="0.35">
      <c r="A1312" s="1" t="s">
        <v>2897</v>
      </c>
      <c r="B1312" s="20" t="s">
        <v>12</v>
      </c>
      <c r="C1312" s="18" t="s">
        <v>47</v>
      </c>
      <c r="D1312" s="18" t="s">
        <v>2741</v>
      </c>
      <c r="E1312" s="18">
        <v>1</v>
      </c>
      <c r="F1312" s="18" t="s">
        <v>45</v>
      </c>
      <c r="G1312" s="18">
        <v>1</v>
      </c>
      <c r="H1312" s="18" t="s">
        <v>48</v>
      </c>
      <c r="I1312" s="18">
        <v>1</v>
      </c>
      <c r="J1312" s="18" t="s">
        <v>48</v>
      </c>
      <c r="K1312" s="18">
        <v>0</v>
      </c>
      <c r="L1312" s="18" t="s">
        <v>47</v>
      </c>
      <c r="M1312" s="18">
        <v>0</v>
      </c>
      <c r="N1312" s="18" t="s">
        <v>47</v>
      </c>
      <c r="O1312" s="18">
        <v>0</v>
      </c>
      <c r="P1312" s="18" t="s">
        <v>47</v>
      </c>
      <c r="Q1312" s="18">
        <v>0</v>
      </c>
      <c r="R1312" s="18" t="s">
        <v>47</v>
      </c>
      <c r="S1312" s="18">
        <v>0</v>
      </c>
      <c r="T1312" s="21" t="s">
        <v>47</v>
      </c>
    </row>
    <row r="1313" spans="1:20" x14ac:dyDescent="0.35">
      <c r="A1313" s="1" t="s">
        <v>2898</v>
      </c>
      <c r="B1313" s="22" t="s">
        <v>12</v>
      </c>
      <c r="C1313" s="19" t="s">
        <v>47</v>
      </c>
      <c r="D1313" s="19" t="s">
        <v>2742</v>
      </c>
      <c r="E1313" s="19">
        <v>1</v>
      </c>
      <c r="F1313" s="19" t="s">
        <v>45</v>
      </c>
      <c r="G1313" s="19">
        <v>1</v>
      </c>
      <c r="H1313" s="19" t="s">
        <v>48</v>
      </c>
      <c r="I1313" s="19">
        <v>0</v>
      </c>
      <c r="J1313" s="19" t="s">
        <v>47</v>
      </c>
      <c r="K1313" s="19">
        <v>0</v>
      </c>
      <c r="L1313" s="19" t="s">
        <v>47</v>
      </c>
      <c r="M1313" s="19">
        <v>0</v>
      </c>
      <c r="N1313" s="19" t="s">
        <v>47</v>
      </c>
      <c r="O1313" s="19">
        <v>0</v>
      </c>
      <c r="P1313" s="19" t="s">
        <v>47</v>
      </c>
      <c r="Q1313" s="19">
        <v>0</v>
      </c>
      <c r="R1313" s="19" t="s">
        <v>47</v>
      </c>
      <c r="S1313" s="19">
        <v>0</v>
      </c>
      <c r="T1313" s="23" t="s">
        <v>47</v>
      </c>
    </row>
    <row r="1314" spans="1:20" x14ac:dyDescent="0.35">
      <c r="A1314" s="1" t="s">
        <v>2899</v>
      </c>
      <c r="B1314" s="20" t="s">
        <v>12</v>
      </c>
      <c r="C1314" s="18" t="s">
        <v>47</v>
      </c>
      <c r="D1314" s="18" t="s">
        <v>2743</v>
      </c>
      <c r="E1314" s="18">
        <v>1</v>
      </c>
      <c r="F1314" s="18" t="s">
        <v>55</v>
      </c>
      <c r="G1314" s="18">
        <v>1</v>
      </c>
      <c r="H1314" s="18" t="s">
        <v>45</v>
      </c>
      <c r="I1314" s="18">
        <v>0</v>
      </c>
      <c r="J1314" s="18" t="s">
        <v>47</v>
      </c>
      <c r="K1314" s="18">
        <v>1</v>
      </c>
      <c r="L1314" s="18" t="s">
        <v>45</v>
      </c>
      <c r="M1314" s="18">
        <v>1</v>
      </c>
      <c r="N1314" s="18" t="s">
        <v>45</v>
      </c>
      <c r="O1314" s="18">
        <v>0</v>
      </c>
      <c r="P1314" s="18" t="s">
        <v>47</v>
      </c>
      <c r="Q1314" s="18">
        <v>1</v>
      </c>
      <c r="R1314" s="18" t="s">
        <v>55</v>
      </c>
      <c r="S1314" s="18">
        <v>0</v>
      </c>
      <c r="T1314" s="21" t="s">
        <v>47</v>
      </c>
    </row>
    <row r="1315" spans="1:20" x14ac:dyDescent="0.35">
      <c r="A1315" s="1" t="s">
        <v>2900</v>
      </c>
      <c r="B1315" s="22" t="s">
        <v>12</v>
      </c>
      <c r="C1315" s="19" t="s">
        <v>47</v>
      </c>
      <c r="D1315" s="19" t="s">
        <v>2744</v>
      </c>
      <c r="E1315" s="19">
        <v>1</v>
      </c>
      <c r="F1315" s="19" t="s">
        <v>45</v>
      </c>
      <c r="G1315" s="19">
        <v>0</v>
      </c>
      <c r="H1315" s="19" t="s">
        <v>47</v>
      </c>
      <c r="I1315" s="19">
        <v>0</v>
      </c>
      <c r="J1315" s="19" t="s">
        <v>47</v>
      </c>
      <c r="K1315" s="19">
        <v>0</v>
      </c>
      <c r="L1315" s="19" t="s">
        <v>47</v>
      </c>
      <c r="M1315" s="19">
        <v>1</v>
      </c>
      <c r="N1315" s="19" t="s">
        <v>48</v>
      </c>
      <c r="O1315" s="19">
        <v>1</v>
      </c>
      <c r="P1315" s="19" t="s">
        <v>48</v>
      </c>
      <c r="Q1315" s="19">
        <v>1</v>
      </c>
      <c r="R1315" s="19" t="s">
        <v>48</v>
      </c>
      <c r="S1315" s="19">
        <v>0</v>
      </c>
      <c r="T1315" s="23" t="s">
        <v>47</v>
      </c>
    </row>
    <row r="1316" spans="1:20" x14ac:dyDescent="0.35">
      <c r="A1316" s="1" t="s">
        <v>2901</v>
      </c>
      <c r="B1316" s="20" t="s">
        <v>12</v>
      </c>
      <c r="C1316" s="18" t="s">
        <v>47</v>
      </c>
      <c r="D1316" s="18" t="s">
        <v>2745</v>
      </c>
      <c r="E1316" s="18">
        <v>1</v>
      </c>
      <c r="F1316" s="18" t="s">
        <v>48</v>
      </c>
      <c r="G1316" s="18">
        <v>0</v>
      </c>
      <c r="H1316" s="18" t="s">
        <v>47</v>
      </c>
      <c r="I1316" s="18">
        <v>0</v>
      </c>
      <c r="J1316" s="18" t="s">
        <v>47</v>
      </c>
      <c r="K1316" s="18">
        <v>0</v>
      </c>
      <c r="L1316" s="18" t="s">
        <v>47</v>
      </c>
      <c r="M1316" s="18">
        <v>0</v>
      </c>
      <c r="N1316" s="18" t="s">
        <v>47</v>
      </c>
      <c r="O1316" s="18">
        <v>0</v>
      </c>
      <c r="P1316" s="18" t="s">
        <v>47</v>
      </c>
      <c r="Q1316" s="18">
        <v>1</v>
      </c>
      <c r="R1316" s="18" t="s">
        <v>45</v>
      </c>
      <c r="S1316" s="18">
        <v>0</v>
      </c>
      <c r="T1316" s="21" t="s">
        <v>47</v>
      </c>
    </row>
    <row r="1317" spans="1:20" x14ac:dyDescent="0.35">
      <c r="A1317" s="1" t="s">
        <v>2902</v>
      </c>
      <c r="B1317" s="22" t="s">
        <v>12</v>
      </c>
      <c r="C1317" s="19" t="s">
        <v>47</v>
      </c>
      <c r="D1317" s="19" t="s">
        <v>2648</v>
      </c>
      <c r="E1317" s="19">
        <v>1</v>
      </c>
      <c r="F1317" s="19" t="s">
        <v>55</v>
      </c>
      <c r="G1317" s="19">
        <v>1</v>
      </c>
      <c r="H1317" s="19" t="s">
        <v>48</v>
      </c>
      <c r="I1317" s="19">
        <v>0</v>
      </c>
      <c r="J1317" s="19" t="s">
        <v>47</v>
      </c>
      <c r="K1317" s="19">
        <v>0</v>
      </c>
      <c r="L1317" s="19" t="s">
        <v>47</v>
      </c>
      <c r="M1317" s="19">
        <v>1</v>
      </c>
      <c r="N1317" s="19" t="s">
        <v>45</v>
      </c>
      <c r="O1317" s="19">
        <v>0</v>
      </c>
      <c r="P1317" s="19" t="s">
        <v>47</v>
      </c>
      <c r="Q1317" s="19">
        <v>0</v>
      </c>
      <c r="R1317" s="19" t="s">
        <v>47</v>
      </c>
      <c r="S1317" s="19">
        <v>0</v>
      </c>
      <c r="T1317" s="23" t="s">
        <v>47</v>
      </c>
    </row>
    <row r="1318" spans="1:20" x14ac:dyDescent="0.35">
      <c r="A1318" s="1" t="s">
        <v>2903</v>
      </c>
      <c r="B1318" s="20" t="s">
        <v>12</v>
      </c>
      <c r="C1318" s="18" t="s">
        <v>47</v>
      </c>
      <c r="D1318" s="18" t="s">
        <v>2746</v>
      </c>
      <c r="E1318" s="18">
        <v>1</v>
      </c>
      <c r="F1318" s="18" t="s">
        <v>48</v>
      </c>
      <c r="G1318" s="18">
        <v>0</v>
      </c>
      <c r="H1318" s="18" t="s">
        <v>47</v>
      </c>
      <c r="I1318" s="18">
        <v>0</v>
      </c>
      <c r="J1318" s="18" t="s">
        <v>47</v>
      </c>
      <c r="K1318" s="18">
        <v>0</v>
      </c>
      <c r="L1318" s="18" t="s">
        <v>47</v>
      </c>
      <c r="M1318" s="18">
        <v>0</v>
      </c>
      <c r="N1318" s="18" t="s">
        <v>47</v>
      </c>
      <c r="O1318" s="18">
        <v>0</v>
      </c>
      <c r="P1318" s="18" t="s">
        <v>47</v>
      </c>
      <c r="Q1318" s="18">
        <v>0</v>
      </c>
      <c r="R1318" s="18" t="s">
        <v>47</v>
      </c>
      <c r="S1318" s="18">
        <v>0</v>
      </c>
      <c r="T1318" s="21" t="s">
        <v>47</v>
      </c>
    </row>
    <row r="1319" spans="1:20" x14ac:dyDescent="0.35">
      <c r="A1319" s="1" t="s">
        <v>2904</v>
      </c>
      <c r="B1319" s="22" t="s">
        <v>12</v>
      </c>
      <c r="C1319" s="19" t="s">
        <v>47</v>
      </c>
      <c r="D1319" s="19" t="s">
        <v>2649</v>
      </c>
      <c r="E1319" s="19">
        <v>1</v>
      </c>
      <c r="F1319" s="19" t="s">
        <v>48</v>
      </c>
      <c r="G1319" s="19">
        <v>0</v>
      </c>
      <c r="H1319" s="19" t="s">
        <v>47</v>
      </c>
      <c r="I1319" s="19">
        <v>0</v>
      </c>
      <c r="J1319" s="19" t="s">
        <v>47</v>
      </c>
      <c r="K1319" s="19">
        <v>0</v>
      </c>
      <c r="L1319" s="19" t="s">
        <v>47</v>
      </c>
      <c r="M1319" s="19">
        <v>1</v>
      </c>
      <c r="N1319" s="19" t="s">
        <v>48</v>
      </c>
      <c r="O1319" s="19">
        <v>0</v>
      </c>
      <c r="P1319" s="19" t="s">
        <v>47</v>
      </c>
      <c r="Q1319" s="19">
        <v>0</v>
      </c>
      <c r="R1319" s="19" t="s">
        <v>47</v>
      </c>
      <c r="S1319" s="19">
        <v>0</v>
      </c>
      <c r="T1319" s="23" t="s">
        <v>47</v>
      </c>
    </row>
    <row r="1320" spans="1:20" x14ac:dyDescent="0.35">
      <c r="A1320" s="1" t="s">
        <v>2905</v>
      </c>
      <c r="B1320" s="20" t="s">
        <v>12</v>
      </c>
      <c r="C1320" s="18" t="s">
        <v>47</v>
      </c>
      <c r="D1320" s="18" t="s">
        <v>2650</v>
      </c>
      <c r="E1320" s="18">
        <v>1</v>
      </c>
      <c r="F1320" s="18" t="s">
        <v>48</v>
      </c>
      <c r="G1320" s="18">
        <v>1</v>
      </c>
      <c r="H1320" s="18" t="s">
        <v>48</v>
      </c>
      <c r="I1320" s="18">
        <v>0</v>
      </c>
      <c r="J1320" s="18" t="s">
        <v>47</v>
      </c>
      <c r="K1320" s="18">
        <v>0</v>
      </c>
      <c r="L1320" s="18" t="s">
        <v>47</v>
      </c>
      <c r="M1320" s="18">
        <v>0</v>
      </c>
      <c r="N1320" s="18" t="s">
        <v>47</v>
      </c>
      <c r="O1320" s="18">
        <v>0</v>
      </c>
      <c r="P1320" s="18" t="s">
        <v>47</v>
      </c>
      <c r="Q1320" s="18">
        <v>0</v>
      </c>
      <c r="R1320" s="18" t="s">
        <v>47</v>
      </c>
      <c r="S1320" s="18">
        <v>0</v>
      </c>
      <c r="T1320" s="21" t="s">
        <v>47</v>
      </c>
    </row>
    <row r="1321" spans="1:20" x14ac:dyDescent="0.35">
      <c r="A1321" s="1" t="s">
        <v>2906</v>
      </c>
      <c r="B1321" s="22" t="s">
        <v>12</v>
      </c>
      <c r="C1321" s="19" t="s">
        <v>47</v>
      </c>
      <c r="D1321" s="19" t="s">
        <v>2747</v>
      </c>
      <c r="E1321" s="19">
        <v>1</v>
      </c>
      <c r="F1321" s="19" t="s">
        <v>48</v>
      </c>
      <c r="G1321" s="19">
        <v>1</v>
      </c>
      <c r="H1321" s="19" t="s">
        <v>48</v>
      </c>
      <c r="I1321" s="19">
        <v>0</v>
      </c>
      <c r="J1321" s="19" t="s">
        <v>47</v>
      </c>
      <c r="K1321" s="19">
        <v>0</v>
      </c>
      <c r="L1321" s="19" t="s">
        <v>47</v>
      </c>
      <c r="M1321" s="19">
        <v>0</v>
      </c>
      <c r="N1321" s="19" t="s">
        <v>47</v>
      </c>
      <c r="O1321" s="19">
        <v>0</v>
      </c>
      <c r="P1321" s="19" t="s">
        <v>47</v>
      </c>
      <c r="Q1321" s="19">
        <v>1</v>
      </c>
      <c r="R1321" s="19" t="s">
        <v>48</v>
      </c>
      <c r="S1321" s="19">
        <v>0</v>
      </c>
      <c r="T1321" s="23" t="s">
        <v>47</v>
      </c>
    </row>
    <row r="1322" spans="1:20" x14ac:dyDescent="0.35">
      <c r="A1322" s="1" t="s">
        <v>2907</v>
      </c>
      <c r="B1322" s="20" t="s">
        <v>12</v>
      </c>
      <c r="C1322" s="18" t="s">
        <v>47</v>
      </c>
      <c r="D1322" s="18" t="s">
        <v>2748</v>
      </c>
      <c r="E1322" s="18">
        <v>1</v>
      </c>
      <c r="F1322" s="18" t="s">
        <v>48</v>
      </c>
      <c r="G1322" s="18">
        <v>1</v>
      </c>
      <c r="H1322" s="18" t="s">
        <v>48</v>
      </c>
      <c r="I1322" s="18">
        <v>0</v>
      </c>
      <c r="J1322" s="18" t="s">
        <v>47</v>
      </c>
      <c r="K1322" s="18">
        <v>0</v>
      </c>
      <c r="L1322" s="18" t="s">
        <v>47</v>
      </c>
      <c r="M1322" s="18">
        <v>0</v>
      </c>
      <c r="N1322" s="18" t="s">
        <v>47</v>
      </c>
      <c r="O1322" s="18">
        <v>0</v>
      </c>
      <c r="P1322" s="18" t="s">
        <v>47</v>
      </c>
      <c r="Q1322" s="18">
        <v>1</v>
      </c>
      <c r="R1322" s="18" t="s">
        <v>48</v>
      </c>
      <c r="S1322" s="18">
        <v>1</v>
      </c>
      <c r="T1322" s="21" t="s">
        <v>45</v>
      </c>
    </row>
    <row r="1323" spans="1:20" x14ac:dyDescent="0.35">
      <c r="A1323" s="1" t="s">
        <v>2908</v>
      </c>
      <c r="B1323" s="22" t="s">
        <v>12</v>
      </c>
      <c r="C1323" s="19" t="s">
        <v>47</v>
      </c>
      <c r="D1323" s="19" t="s">
        <v>2651</v>
      </c>
      <c r="E1323" s="19">
        <v>0</v>
      </c>
      <c r="F1323" s="19" t="s">
        <v>47</v>
      </c>
      <c r="G1323" s="19">
        <v>1</v>
      </c>
      <c r="H1323" s="19" t="s">
        <v>48</v>
      </c>
      <c r="I1323" s="19">
        <v>0</v>
      </c>
      <c r="J1323" s="19" t="s">
        <v>47</v>
      </c>
      <c r="K1323" s="19">
        <v>0</v>
      </c>
      <c r="L1323" s="19" t="s">
        <v>47</v>
      </c>
      <c r="M1323" s="19">
        <v>0</v>
      </c>
      <c r="N1323" s="19" t="s">
        <v>47</v>
      </c>
      <c r="O1323" s="19">
        <v>0</v>
      </c>
      <c r="P1323" s="19" t="s">
        <v>47</v>
      </c>
      <c r="Q1323" s="19">
        <v>0</v>
      </c>
      <c r="R1323" s="19" t="s">
        <v>47</v>
      </c>
      <c r="S1323" s="19">
        <v>0</v>
      </c>
      <c r="T1323" s="23" t="s">
        <v>47</v>
      </c>
    </row>
    <row r="1324" spans="1:20" x14ac:dyDescent="0.35">
      <c r="A1324" s="1" t="s">
        <v>2909</v>
      </c>
      <c r="B1324" s="20" t="s">
        <v>12</v>
      </c>
      <c r="C1324" s="18" t="s">
        <v>47</v>
      </c>
      <c r="D1324" s="18" t="s">
        <v>2652</v>
      </c>
      <c r="E1324" s="18">
        <v>1</v>
      </c>
      <c r="F1324" s="18" t="s">
        <v>55</v>
      </c>
      <c r="G1324" s="18">
        <v>0</v>
      </c>
      <c r="H1324" s="18" t="s">
        <v>47</v>
      </c>
      <c r="I1324" s="18">
        <v>0</v>
      </c>
      <c r="J1324" s="18" t="s">
        <v>47</v>
      </c>
      <c r="K1324" s="18">
        <v>0</v>
      </c>
      <c r="L1324" s="18" t="s">
        <v>47</v>
      </c>
      <c r="M1324" s="18">
        <v>1</v>
      </c>
      <c r="N1324" s="18" t="s">
        <v>48</v>
      </c>
      <c r="O1324" s="18">
        <v>0</v>
      </c>
      <c r="P1324" s="18" t="s">
        <v>47</v>
      </c>
      <c r="Q1324" s="18">
        <v>0</v>
      </c>
      <c r="R1324" s="18" t="s">
        <v>47</v>
      </c>
      <c r="S1324" s="18">
        <v>0</v>
      </c>
      <c r="T1324" s="21" t="s">
        <v>47</v>
      </c>
    </row>
    <row r="1325" spans="1:20" x14ac:dyDescent="0.35">
      <c r="A1325" s="1" t="s">
        <v>2910</v>
      </c>
      <c r="B1325" s="22" t="s">
        <v>12</v>
      </c>
      <c r="C1325" s="19" t="s">
        <v>47</v>
      </c>
      <c r="D1325" s="19" t="s">
        <v>2653</v>
      </c>
      <c r="E1325" s="19">
        <v>1</v>
      </c>
      <c r="F1325" s="19" t="s">
        <v>45</v>
      </c>
      <c r="G1325" s="19">
        <v>1</v>
      </c>
      <c r="H1325" s="19" t="s">
        <v>48</v>
      </c>
      <c r="I1325" s="19">
        <v>0</v>
      </c>
      <c r="J1325" s="19" t="s">
        <v>47</v>
      </c>
      <c r="K1325" s="19">
        <v>0</v>
      </c>
      <c r="L1325" s="19" t="s">
        <v>47</v>
      </c>
      <c r="M1325" s="19">
        <v>0</v>
      </c>
      <c r="N1325" s="19" t="s">
        <v>47</v>
      </c>
      <c r="O1325" s="19">
        <v>0</v>
      </c>
      <c r="P1325" s="19" t="s">
        <v>47</v>
      </c>
      <c r="Q1325" s="19">
        <v>1</v>
      </c>
      <c r="R1325" s="19" t="s">
        <v>45</v>
      </c>
      <c r="S1325" s="19">
        <v>0</v>
      </c>
      <c r="T1325" s="23" t="s">
        <v>47</v>
      </c>
    </row>
    <row r="1326" spans="1:20" x14ac:dyDescent="0.35">
      <c r="A1326" s="1" t="s">
        <v>2911</v>
      </c>
      <c r="B1326" s="20" t="s">
        <v>12</v>
      </c>
      <c r="C1326" s="18" t="s">
        <v>47</v>
      </c>
      <c r="D1326" s="18" t="s">
        <v>2654</v>
      </c>
      <c r="E1326" s="18">
        <v>1</v>
      </c>
      <c r="F1326" s="18" t="s">
        <v>45</v>
      </c>
      <c r="G1326" s="18">
        <v>0</v>
      </c>
      <c r="H1326" s="18" t="s">
        <v>47</v>
      </c>
      <c r="I1326" s="18">
        <v>0</v>
      </c>
      <c r="J1326" s="18" t="s">
        <v>47</v>
      </c>
      <c r="K1326" s="18">
        <v>0</v>
      </c>
      <c r="L1326" s="18" t="s">
        <v>47</v>
      </c>
      <c r="M1326" s="18">
        <v>1</v>
      </c>
      <c r="N1326" s="18" t="s">
        <v>45</v>
      </c>
      <c r="O1326" s="18">
        <v>0</v>
      </c>
      <c r="P1326" s="18" t="s">
        <v>47</v>
      </c>
      <c r="Q1326" s="18">
        <v>1</v>
      </c>
      <c r="R1326" s="18" t="s">
        <v>45</v>
      </c>
      <c r="S1326" s="18">
        <v>1</v>
      </c>
      <c r="T1326" s="21" t="s">
        <v>48</v>
      </c>
    </row>
    <row r="1327" spans="1:20" x14ac:dyDescent="0.35">
      <c r="A1327" s="1" t="s">
        <v>2912</v>
      </c>
      <c r="B1327" s="22" t="s">
        <v>12</v>
      </c>
      <c r="C1327" s="19" t="s">
        <v>47</v>
      </c>
      <c r="D1327" s="19" t="s">
        <v>2655</v>
      </c>
      <c r="E1327" s="19">
        <v>1</v>
      </c>
      <c r="F1327" s="19" t="s">
        <v>45</v>
      </c>
      <c r="G1327" s="19">
        <v>1</v>
      </c>
      <c r="H1327" s="19" t="s">
        <v>48</v>
      </c>
      <c r="I1327" s="19">
        <v>0</v>
      </c>
      <c r="J1327" s="19" t="s">
        <v>47</v>
      </c>
      <c r="K1327" s="19">
        <v>0</v>
      </c>
      <c r="L1327" s="19" t="s">
        <v>47</v>
      </c>
      <c r="M1327" s="19">
        <v>0</v>
      </c>
      <c r="N1327" s="19" t="s">
        <v>47</v>
      </c>
      <c r="O1327" s="19">
        <v>1</v>
      </c>
      <c r="P1327" s="19" t="s">
        <v>48</v>
      </c>
      <c r="Q1327" s="19">
        <v>1</v>
      </c>
      <c r="R1327" s="19" t="s">
        <v>55</v>
      </c>
      <c r="S1327" s="19">
        <v>0</v>
      </c>
      <c r="T1327" s="23" t="s">
        <v>47</v>
      </c>
    </row>
    <row r="1328" spans="1:20" x14ac:dyDescent="0.35">
      <c r="A1328" s="1" t="s">
        <v>2913</v>
      </c>
      <c r="B1328" s="20" t="s">
        <v>12</v>
      </c>
      <c r="C1328" s="18" t="s">
        <v>47</v>
      </c>
      <c r="D1328" s="18" t="s">
        <v>2656</v>
      </c>
      <c r="E1328" s="18">
        <v>1</v>
      </c>
      <c r="F1328" s="18" t="s">
        <v>45</v>
      </c>
      <c r="G1328" s="18">
        <v>0</v>
      </c>
      <c r="H1328" s="18" t="s">
        <v>47</v>
      </c>
      <c r="I1328" s="18">
        <v>0</v>
      </c>
      <c r="J1328" s="18" t="s">
        <v>47</v>
      </c>
      <c r="K1328" s="18">
        <v>0</v>
      </c>
      <c r="L1328" s="18" t="s">
        <v>47</v>
      </c>
      <c r="M1328" s="18">
        <v>0</v>
      </c>
      <c r="N1328" s="18" t="s">
        <v>47</v>
      </c>
      <c r="O1328" s="18">
        <v>0</v>
      </c>
      <c r="P1328" s="18" t="s">
        <v>47</v>
      </c>
      <c r="Q1328" s="18">
        <v>1</v>
      </c>
      <c r="R1328" s="18" t="s">
        <v>48</v>
      </c>
      <c r="S1328" s="18">
        <v>0</v>
      </c>
      <c r="T1328" s="21" t="s">
        <v>47</v>
      </c>
    </row>
    <row r="1329" spans="1:20" x14ac:dyDescent="0.35">
      <c r="A1329" s="1" t="s">
        <v>2914</v>
      </c>
      <c r="B1329" s="22" t="s">
        <v>12</v>
      </c>
      <c r="C1329" s="19" t="s">
        <v>47</v>
      </c>
      <c r="D1329" s="19" t="s">
        <v>2749</v>
      </c>
      <c r="E1329" s="19">
        <v>1</v>
      </c>
      <c r="F1329" s="19" t="s">
        <v>48</v>
      </c>
      <c r="G1329" s="19">
        <v>0</v>
      </c>
      <c r="H1329" s="19" t="s">
        <v>47</v>
      </c>
      <c r="I1329" s="19">
        <v>0</v>
      </c>
      <c r="J1329" s="19" t="s">
        <v>47</v>
      </c>
      <c r="K1329" s="19">
        <v>0</v>
      </c>
      <c r="L1329" s="19" t="s">
        <v>47</v>
      </c>
      <c r="M1329" s="19">
        <v>0</v>
      </c>
      <c r="N1329" s="19" t="s">
        <v>47</v>
      </c>
      <c r="O1329" s="19">
        <v>0</v>
      </c>
      <c r="P1329" s="19" t="s">
        <v>47</v>
      </c>
      <c r="Q1329" s="19">
        <v>0</v>
      </c>
      <c r="R1329" s="19" t="s">
        <v>47</v>
      </c>
      <c r="S1329" s="19">
        <v>0</v>
      </c>
      <c r="T1329" s="23" t="s">
        <v>47</v>
      </c>
    </row>
    <row r="1330" spans="1:20" x14ac:dyDescent="0.35">
      <c r="A1330" s="1" t="s">
        <v>2915</v>
      </c>
      <c r="B1330" s="20" t="s">
        <v>12</v>
      </c>
      <c r="C1330" s="18" t="s">
        <v>47</v>
      </c>
      <c r="D1330" s="18" t="s">
        <v>2750</v>
      </c>
      <c r="E1330" s="18">
        <v>1</v>
      </c>
      <c r="F1330" s="18" t="s">
        <v>45</v>
      </c>
      <c r="G1330" s="18">
        <v>1</v>
      </c>
      <c r="H1330" s="18" t="s">
        <v>48</v>
      </c>
      <c r="I1330" s="18">
        <v>0</v>
      </c>
      <c r="J1330" s="18" t="s">
        <v>47</v>
      </c>
      <c r="K1330" s="18">
        <v>1</v>
      </c>
      <c r="L1330" s="18" t="s">
        <v>48</v>
      </c>
      <c r="M1330" s="18">
        <v>0</v>
      </c>
      <c r="N1330" s="18" t="s">
        <v>47</v>
      </c>
      <c r="O1330" s="18">
        <v>0</v>
      </c>
      <c r="P1330" s="18" t="s">
        <v>47</v>
      </c>
      <c r="Q1330" s="18">
        <v>0</v>
      </c>
      <c r="R1330" s="18" t="s">
        <v>47</v>
      </c>
      <c r="S1330" s="18">
        <v>0</v>
      </c>
      <c r="T1330" s="21" t="s">
        <v>47</v>
      </c>
    </row>
    <row r="1331" spans="1:20" x14ac:dyDescent="0.35">
      <c r="A1331" s="1" t="s">
        <v>2916</v>
      </c>
      <c r="B1331" s="22" t="s">
        <v>12</v>
      </c>
      <c r="C1331" s="19" t="s">
        <v>47</v>
      </c>
      <c r="D1331" s="19" t="s">
        <v>2751</v>
      </c>
      <c r="E1331" s="19">
        <v>0</v>
      </c>
      <c r="F1331" s="19" t="s">
        <v>47</v>
      </c>
      <c r="G1331" s="19">
        <v>1</v>
      </c>
      <c r="H1331" s="19" t="s">
        <v>48</v>
      </c>
      <c r="I1331" s="19">
        <v>0</v>
      </c>
      <c r="J1331" s="19" t="s">
        <v>47</v>
      </c>
      <c r="K1331" s="19">
        <v>0</v>
      </c>
      <c r="L1331" s="19" t="s">
        <v>47</v>
      </c>
      <c r="M1331" s="19">
        <v>0</v>
      </c>
      <c r="N1331" s="19" t="s">
        <v>47</v>
      </c>
      <c r="O1331" s="19">
        <v>1</v>
      </c>
      <c r="P1331" s="19" t="s">
        <v>48</v>
      </c>
      <c r="Q1331" s="19">
        <v>0</v>
      </c>
      <c r="R1331" s="19" t="s">
        <v>47</v>
      </c>
      <c r="S1331" s="19">
        <v>0</v>
      </c>
      <c r="T1331" s="23" t="s">
        <v>47</v>
      </c>
    </row>
    <row r="1332" spans="1:20" x14ac:dyDescent="0.35">
      <c r="A1332" s="1" t="s">
        <v>2917</v>
      </c>
      <c r="B1332" s="20" t="s">
        <v>12</v>
      </c>
      <c r="C1332" s="18" t="s">
        <v>47</v>
      </c>
      <c r="D1332" s="18" t="s">
        <v>2752</v>
      </c>
      <c r="E1332" s="18">
        <v>1</v>
      </c>
      <c r="F1332" s="18" t="s">
        <v>55</v>
      </c>
      <c r="G1332" s="18">
        <v>1</v>
      </c>
      <c r="H1332" s="18" t="s">
        <v>48</v>
      </c>
      <c r="I1332" s="18">
        <v>0</v>
      </c>
      <c r="J1332" s="18" t="s">
        <v>47</v>
      </c>
      <c r="K1332" s="18">
        <v>0</v>
      </c>
      <c r="L1332" s="18" t="s">
        <v>47</v>
      </c>
      <c r="M1332" s="18">
        <v>1</v>
      </c>
      <c r="N1332" s="18" t="s">
        <v>48</v>
      </c>
      <c r="O1332" s="18">
        <v>0</v>
      </c>
      <c r="P1332" s="18" t="s">
        <v>47</v>
      </c>
      <c r="Q1332" s="18">
        <v>0</v>
      </c>
      <c r="R1332" s="18" t="s">
        <v>47</v>
      </c>
      <c r="S1332" s="18">
        <v>0</v>
      </c>
      <c r="T1332" s="21" t="s">
        <v>47</v>
      </c>
    </row>
    <row r="1333" spans="1:20" x14ac:dyDescent="0.35">
      <c r="A1333" s="1" t="s">
        <v>2918</v>
      </c>
      <c r="B1333" s="22" t="s">
        <v>12</v>
      </c>
      <c r="C1333" s="19" t="s">
        <v>47</v>
      </c>
      <c r="D1333" s="19" t="s">
        <v>2657</v>
      </c>
      <c r="E1333" s="19">
        <v>0</v>
      </c>
      <c r="F1333" s="19" t="s">
        <v>47</v>
      </c>
      <c r="G1333" s="19">
        <v>1</v>
      </c>
      <c r="H1333" s="19" t="s">
        <v>48</v>
      </c>
      <c r="I1333" s="19">
        <v>0</v>
      </c>
      <c r="J1333" s="19" t="s">
        <v>47</v>
      </c>
      <c r="K1333" s="19">
        <v>0</v>
      </c>
      <c r="L1333" s="19" t="s">
        <v>47</v>
      </c>
      <c r="M1333" s="19">
        <v>0</v>
      </c>
      <c r="N1333" s="19" t="s">
        <v>47</v>
      </c>
      <c r="O1333" s="19">
        <v>0</v>
      </c>
      <c r="P1333" s="19" t="s">
        <v>47</v>
      </c>
      <c r="Q1333" s="19">
        <v>1</v>
      </c>
      <c r="R1333" s="19" t="s">
        <v>48</v>
      </c>
      <c r="S1333" s="19">
        <v>0</v>
      </c>
      <c r="T1333" s="23" t="s">
        <v>47</v>
      </c>
    </row>
    <row r="1334" spans="1:20" x14ac:dyDescent="0.35">
      <c r="A1334" s="1" t="s">
        <v>2919</v>
      </c>
      <c r="B1334" s="20" t="s">
        <v>12</v>
      </c>
      <c r="C1334" s="18" t="s">
        <v>47</v>
      </c>
      <c r="D1334" s="18" t="s">
        <v>2658</v>
      </c>
      <c r="E1334" s="18">
        <v>1</v>
      </c>
      <c r="F1334" s="18" t="s">
        <v>48</v>
      </c>
      <c r="G1334" s="18">
        <v>1</v>
      </c>
      <c r="H1334" s="18" t="s">
        <v>48</v>
      </c>
      <c r="I1334" s="18">
        <v>0</v>
      </c>
      <c r="J1334" s="18" t="s">
        <v>47</v>
      </c>
      <c r="K1334" s="18">
        <v>1</v>
      </c>
      <c r="L1334" s="18" t="s">
        <v>48</v>
      </c>
      <c r="M1334" s="18">
        <v>1</v>
      </c>
      <c r="N1334" s="18" t="s">
        <v>48</v>
      </c>
      <c r="O1334" s="18">
        <v>1</v>
      </c>
      <c r="P1334" s="18" t="s">
        <v>48</v>
      </c>
      <c r="Q1334" s="18">
        <v>0</v>
      </c>
      <c r="R1334" s="18" t="s">
        <v>47</v>
      </c>
      <c r="S1334" s="18">
        <v>1</v>
      </c>
      <c r="T1334" s="21" t="s">
        <v>45</v>
      </c>
    </row>
    <row r="1335" spans="1:20" x14ac:dyDescent="0.35">
      <c r="A1335" s="1" t="s">
        <v>2920</v>
      </c>
      <c r="B1335" s="22" t="s">
        <v>12</v>
      </c>
      <c r="C1335" s="19" t="s">
        <v>47</v>
      </c>
      <c r="D1335" s="19" t="s">
        <v>2659</v>
      </c>
      <c r="E1335" s="19">
        <v>1</v>
      </c>
      <c r="F1335" s="19" t="s">
        <v>55</v>
      </c>
      <c r="G1335" s="19">
        <v>1</v>
      </c>
      <c r="H1335" s="19" t="s">
        <v>48</v>
      </c>
      <c r="I1335" s="19">
        <v>0</v>
      </c>
      <c r="J1335" s="19" t="s">
        <v>47</v>
      </c>
      <c r="K1335" s="19">
        <v>0</v>
      </c>
      <c r="L1335" s="19" t="s">
        <v>47</v>
      </c>
      <c r="M1335" s="19">
        <v>1</v>
      </c>
      <c r="N1335" s="19" t="s">
        <v>48</v>
      </c>
      <c r="O1335" s="19">
        <v>1</v>
      </c>
      <c r="P1335" s="19" t="s">
        <v>48</v>
      </c>
      <c r="Q1335" s="19">
        <v>0</v>
      </c>
      <c r="R1335" s="19" t="s">
        <v>47</v>
      </c>
      <c r="S1335" s="19">
        <v>0</v>
      </c>
      <c r="T1335" s="23" t="s">
        <v>47</v>
      </c>
    </row>
    <row r="1336" spans="1:20" x14ac:dyDescent="0.35">
      <c r="A1336" s="1" t="s">
        <v>2921</v>
      </c>
      <c r="B1336" s="20" t="s">
        <v>12</v>
      </c>
      <c r="C1336" s="18" t="s">
        <v>47</v>
      </c>
      <c r="D1336" s="18" t="s">
        <v>2753</v>
      </c>
      <c r="E1336" s="18">
        <v>1</v>
      </c>
      <c r="F1336" s="18" t="s">
        <v>48</v>
      </c>
      <c r="G1336" s="18">
        <v>1</v>
      </c>
      <c r="H1336" s="18" t="s">
        <v>48</v>
      </c>
      <c r="I1336" s="18">
        <v>0</v>
      </c>
      <c r="J1336" s="18" t="s">
        <v>47</v>
      </c>
      <c r="K1336" s="18">
        <v>0</v>
      </c>
      <c r="L1336" s="18" t="s">
        <v>47</v>
      </c>
      <c r="M1336" s="18">
        <v>1</v>
      </c>
      <c r="N1336" s="18" t="s">
        <v>48</v>
      </c>
      <c r="O1336" s="18">
        <v>1</v>
      </c>
      <c r="P1336" s="18" t="s">
        <v>48</v>
      </c>
      <c r="Q1336" s="18">
        <v>1</v>
      </c>
      <c r="R1336" s="18" t="s">
        <v>45</v>
      </c>
      <c r="S1336" s="18">
        <v>1</v>
      </c>
      <c r="T1336" s="21" t="s">
        <v>45</v>
      </c>
    </row>
    <row r="1337" spans="1:20" x14ac:dyDescent="0.35">
      <c r="A1337" s="1" t="s">
        <v>2922</v>
      </c>
      <c r="B1337" s="22" t="s">
        <v>12</v>
      </c>
      <c r="C1337" s="19" t="s">
        <v>47</v>
      </c>
      <c r="D1337" s="19" t="s">
        <v>2660</v>
      </c>
      <c r="E1337" s="19">
        <v>1</v>
      </c>
      <c r="F1337" s="19" t="s">
        <v>48</v>
      </c>
      <c r="G1337" s="19">
        <v>0</v>
      </c>
      <c r="H1337" s="19" t="s">
        <v>47</v>
      </c>
      <c r="I1337" s="19">
        <v>0</v>
      </c>
      <c r="J1337" s="19" t="s">
        <v>47</v>
      </c>
      <c r="K1337" s="19">
        <v>0</v>
      </c>
      <c r="L1337" s="19" t="s">
        <v>47</v>
      </c>
      <c r="M1337" s="19">
        <v>0</v>
      </c>
      <c r="N1337" s="19" t="s">
        <v>47</v>
      </c>
      <c r="O1337" s="19">
        <v>0</v>
      </c>
      <c r="P1337" s="19" t="s">
        <v>47</v>
      </c>
      <c r="Q1337" s="19">
        <v>0</v>
      </c>
      <c r="R1337" s="19" t="s">
        <v>47</v>
      </c>
      <c r="S1337" s="19">
        <v>0</v>
      </c>
      <c r="T1337" s="23" t="s">
        <v>47</v>
      </c>
    </row>
    <row r="1338" spans="1:20" x14ac:dyDescent="0.35">
      <c r="A1338" s="1" t="s">
        <v>2923</v>
      </c>
      <c r="B1338" s="20" t="s">
        <v>12</v>
      </c>
      <c r="C1338" s="18" t="s">
        <v>47</v>
      </c>
      <c r="D1338" s="18" t="s">
        <v>2661</v>
      </c>
      <c r="E1338" s="18">
        <v>1</v>
      </c>
      <c r="F1338" s="18" t="s">
        <v>55</v>
      </c>
      <c r="G1338" s="18">
        <v>0</v>
      </c>
      <c r="H1338" s="18" t="s">
        <v>47</v>
      </c>
      <c r="I1338" s="18">
        <v>0</v>
      </c>
      <c r="J1338" s="18" t="s">
        <v>47</v>
      </c>
      <c r="K1338" s="18">
        <v>0</v>
      </c>
      <c r="L1338" s="18" t="s">
        <v>47</v>
      </c>
      <c r="M1338" s="18">
        <v>1</v>
      </c>
      <c r="N1338" s="18" t="s">
        <v>45</v>
      </c>
      <c r="O1338" s="18">
        <v>1</v>
      </c>
      <c r="P1338" s="18" t="s">
        <v>45</v>
      </c>
      <c r="Q1338" s="18">
        <v>1</v>
      </c>
      <c r="R1338" s="18" t="s">
        <v>45</v>
      </c>
      <c r="S1338" s="18">
        <v>0</v>
      </c>
      <c r="T1338" s="21" t="s">
        <v>47</v>
      </c>
    </row>
    <row r="1339" spans="1:20" x14ac:dyDescent="0.35">
      <c r="A1339" s="1" t="s">
        <v>2924</v>
      </c>
      <c r="B1339" s="22" t="s">
        <v>12</v>
      </c>
      <c r="C1339" s="19" t="s">
        <v>47</v>
      </c>
      <c r="D1339" s="19" t="s">
        <v>2754</v>
      </c>
      <c r="E1339" s="19">
        <v>1</v>
      </c>
      <c r="F1339" s="19" t="s">
        <v>48</v>
      </c>
      <c r="G1339" s="19">
        <v>0</v>
      </c>
      <c r="H1339" s="19" t="s">
        <v>47</v>
      </c>
      <c r="I1339" s="19">
        <v>1</v>
      </c>
      <c r="J1339" s="19" t="s">
        <v>48</v>
      </c>
      <c r="K1339" s="19">
        <v>0</v>
      </c>
      <c r="L1339" s="19" t="s">
        <v>47</v>
      </c>
      <c r="M1339" s="19">
        <v>1</v>
      </c>
      <c r="N1339" s="19" t="s">
        <v>48</v>
      </c>
      <c r="O1339" s="19">
        <v>1</v>
      </c>
      <c r="P1339" s="19" t="s">
        <v>48</v>
      </c>
      <c r="Q1339" s="19">
        <v>0</v>
      </c>
      <c r="R1339" s="19" t="s">
        <v>47</v>
      </c>
      <c r="S1339" s="19">
        <v>0</v>
      </c>
      <c r="T1339" s="23" t="s">
        <v>47</v>
      </c>
    </row>
    <row r="1340" spans="1:20" x14ac:dyDescent="0.35">
      <c r="A1340" s="1" t="s">
        <v>2925</v>
      </c>
      <c r="B1340" s="20" t="s">
        <v>12</v>
      </c>
      <c r="C1340" s="18" t="s">
        <v>47</v>
      </c>
      <c r="D1340" s="18" t="s">
        <v>2755</v>
      </c>
      <c r="E1340" s="18">
        <v>1</v>
      </c>
      <c r="F1340" s="18" t="s">
        <v>48</v>
      </c>
      <c r="G1340" s="18">
        <v>1</v>
      </c>
      <c r="H1340" s="18" t="s">
        <v>48</v>
      </c>
      <c r="I1340" s="18">
        <v>0</v>
      </c>
      <c r="J1340" s="18" t="s">
        <v>47</v>
      </c>
      <c r="K1340" s="18">
        <v>1</v>
      </c>
      <c r="L1340" s="18" t="s">
        <v>48</v>
      </c>
      <c r="M1340" s="18">
        <v>0</v>
      </c>
      <c r="N1340" s="18" t="s">
        <v>47</v>
      </c>
      <c r="O1340" s="18">
        <v>0</v>
      </c>
      <c r="P1340" s="18" t="s">
        <v>47</v>
      </c>
      <c r="Q1340" s="18">
        <v>1</v>
      </c>
      <c r="R1340" s="18" t="s">
        <v>48</v>
      </c>
      <c r="S1340" s="18">
        <v>0</v>
      </c>
      <c r="T1340" s="21" t="s">
        <v>47</v>
      </c>
    </row>
    <row r="1341" spans="1:20" x14ac:dyDescent="0.35">
      <c r="A1341" s="1" t="s">
        <v>2926</v>
      </c>
      <c r="B1341" s="22" t="s">
        <v>12</v>
      </c>
      <c r="C1341" s="19" t="s">
        <v>47</v>
      </c>
      <c r="D1341" s="19" t="s">
        <v>2662</v>
      </c>
      <c r="E1341" s="19">
        <v>0</v>
      </c>
      <c r="F1341" s="19" t="s">
        <v>47</v>
      </c>
      <c r="G1341" s="19">
        <v>1</v>
      </c>
      <c r="H1341" s="19" t="s">
        <v>48</v>
      </c>
      <c r="I1341" s="19">
        <v>0</v>
      </c>
      <c r="J1341" s="19" t="s">
        <v>47</v>
      </c>
      <c r="K1341" s="19">
        <v>0</v>
      </c>
      <c r="L1341" s="19" t="s">
        <v>47</v>
      </c>
      <c r="M1341" s="19">
        <v>1</v>
      </c>
      <c r="N1341" s="19" t="s">
        <v>45</v>
      </c>
      <c r="O1341" s="19">
        <v>0</v>
      </c>
      <c r="P1341" s="19" t="s">
        <v>47</v>
      </c>
      <c r="Q1341" s="19">
        <v>0</v>
      </c>
      <c r="R1341" s="19" t="s">
        <v>47</v>
      </c>
      <c r="S1341" s="19">
        <v>0</v>
      </c>
      <c r="T1341" s="23" t="s">
        <v>47</v>
      </c>
    </row>
    <row r="1342" spans="1:20" x14ac:dyDescent="0.35">
      <c r="A1342" s="1" t="s">
        <v>2927</v>
      </c>
      <c r="B1342" s="20" t="s">
        <v>12</v>
      </c>
      <c r="C1342" s="18" t="s">
        <v>47</v>
      </c>
      <c r="D1342" s="18" t="s">
        <v>2663</v>
      </c>
      <c r="E1342" s="18">
        <v>1</v>
      </c>
      <c r="F1342" s="18" t="s">
        <v>48</v>
      </c>
      <c r="G1342" s="18">
        <v>0</v>
      </c>
      <c r="H1342" s="18" t="s">
        <v>47</v>
      </c>
      <c r="I1342" s="18">
        <v>0</v>
      </c>
      <c r="J1342" s="18" t="s">
        <v>47</v>
      </c>
      <c r="K1342" s="18">
        <v>0</v>
      </c>
      <c r="L1342" s="18" t="s">
        <v>47</v>
      </c>
      <c r="M1342" s="18">
        <v>1</v>
      </c>
      <c r="N1342" s="18" t="s">
        <v>48</v>
      </c>
      <c r="O1342" s="18">
        <v>0</v>
      </c>
      <c r="P1342" s="18" t="s">
        <v>47</v>
      </c>
      <c r="Q1342" s="18">
        <v>0</v>
      </c>
      <c r="R1342" s="18" t="s">
        <v>47</v>
      </c>
      <c r="S1342" s="18">
        <v>0</v>
      </c>
      <c r="T1342" s="21" t="s">
        <v>47</v>
      </c>
    </row>
    <row r="1343" spans="1:20" x14ac:dyDescent="0.35">
      <c r="A1343" s="1" t="s">
        <v>2928</v>
      </c>
      <c r="B1343" s="22" t="s">
        <v>12</v>
      </c>
      <c r="C1343" s="19" t="s">
        <v>47</v>
      </c>
      <c r="D1343" s="19" t="s">
        <v>2756</v>
      </c>
      <c r="E1343" s="19">
        <v>1</v>
      </c>
      <c r="F1343" s="19" t="s">
        <v>48</v>
      </c>
      <c r="G1343" s="19">
        <v>1</v>
      </c>
      <c r="H1343" s="19" t="s">
        <v>45</v>
      </c>
      <c r="I1343" s="19">
        <v>0</v>
      </c>
      <c r="J1343" s="19" t="s">
        <v>47</v>
      </c>
      <c r="K1343" s="19">
        <v>0</v>
      </c>
      <c r="L1343" s="19" t="s">
        <v>47</v>
      </c>
      <c r="M1343" s="19">
        <v>0</v>
      </c>
      <c r="N1343" s="19" t="s">
        <v>47</v>
      </c>
      <c r="O1343" s="19">
        <v>0</v>
      </c>
      <c r="P1343" s="19" t="s">
        <v>47</v>
      </c>
      <c r="Q1343" s="19">
        <v>1</v>
      </c>
      <c r="R1343" s="19" t="s">
        <v>45</v>
      </c>
      <c r="S1343" s="19">
        <v>0</v>
      </c>
      <c r="T1343" s="23" t="s">
        <v>47</v>
      </c>
    </row>
    <row r="1344" spans="1:20" x14ac:dyDescent="0.35">
      <c r="A1344" s="1" t="s">
        <v>2929</v>
      </c>
      <c r="B1344" s="20" t="s">
        <v>12</v>
      </c>
      <c r="C1344" s="18" t="s">
        <v>47</v>
      </c>
      <c r="D1344" s="18" t="s">
        <v>2757</v>
      </c>
      <c r="E1344" s="18">
        <v>0</v>
      </c>
      <c r="F1344" s="18" t="s">
        <v>47</v>
      </c>
      <c r="G1344" s="18">
        <v>0</v>
      </c>
      <c r="H1344" s="18" t="s">
        <v>47</v>
      </c>
      <c r="I1344" s="18">
        <v>0</v>
      </c>
      <c r="J1344" s="18" t="s">
        <v>47</v>
      </c>
      <c r="K1344" s="18">
        <v>1</v>
      </c>
      <c r="L1344" s="18" t="s">
        <v>48</v>
      </c>
      <c r="M1344" s="18">
        <v>0</v>
      </c>
      <c r="N1344" s="18" t="s">
        <v>47</v>
      </c>
      <c r="O1344" s="18">
        <v>0</v>
      </c>
      <c r="P1344" s="18" t="s">
        <v>47</v>
      </c>
      <c r="Q1344" s="18">
        <v>1</v>
      </c>
      <c r="R1344" s="18" t="s">
        <v>48</v>
      </c>
      <c r="S1344" s="18">
        <v>0</v>
      </c>
      <c r="T1344" s="21" t="s">
        <v>47</v>
      </c>
    </row>
    <row r="1345" spans="1:20" x14ac:dyDescent="0.35">
      <c r="A1345" s="1" t="s">
        <v>2930</v>
      </c>
      <c r="B1345" s="22" t="s">
        <v>12</v>
      </c>
      <c r="C1345" s="19" t="s">
        <v>47</v>
      </c>
      <c r="D1345" s="19" t="s">
        <v>2758</v>
      </c>
      <c r="E1345" s="19">
        <v>1</v>
      </c>
      <c r="F1345" s="19" t="s">
        <v>45</v>
      </c>
      <c r="G1345" s="19">
        <v>1</v>
      </c>
      <c r="H1345" s="19" t="s">
        <v>48</v>
      </c>
      <c r="I1345" s="19">
        <v>1</v>
      </c>
      <c r="J1345" s="19" t="s">
        <v>48</v>
      </c>
      <c r="K1345" s="19">
        <v>0</v>
      </c>
      <c r="L1345" s="19" t="s">
        <v>47</v>
      </c>
      <c r="M1345" s="19">
        <v>1</v>
      </c>
      <c r="N1345" s="19" t="s">
        <v>45</v>
      </c>
      <c r="O1345" s="19">
        <v>0</v>
      </c>
      <c r="P1345" s="19" t="s">
        <v>47</v>
      </c>
      <c r="Q1345" s="19">
        <v>1</v>
      </c>
      <c r="R1345" s="19" t="s">
        <v>45</v>
      </c>
      <c r="S1345" s="19">
        <v>0</v>
      </c>
      <c r="T1345" s="23" t="s">
        <v>47</v>
      </c>
    </row>
    <row r="1346" spans="1:20" x14ac:dyDescent="0.35">
      <c r="A1346" s="1" t="s">
        <v>2931</v>
      </c>
      <c r="B1346" s="20" t="s">
        <v>12</v>
      </c>
      <c r="C1346" s="18" t="s">
        <v>47</v>
      </c>
      <c r="D1346" s="18" t="s">
        <v>2759</v>
      </c>
      <c r="E1346" s="18">
        <v>1</v>
      </c>
      <c r="F1346" s="18" t="s">
        <v>45</v>
      </c>
      <c r="G1346" s="18">
        <v>1</v>
      </c>
      <c r="H1346" s="18" t="s">
        <v>45</v>
      </c>
      <c r="I1346" s="18">
        <v>0</v>
      </c>
      <c r="J1346" s="18" t="s">
        <v>47</v>
      </c>
      <c r="K1346" s="18">
        <v>0</v>
      </c>
      <c r="L1346" s="18" t="s">
        <v>47</v>
      </c>
      <c r="M1346" s="18">
        <v>0</v>
      </c>
      <c r="N1346" s="18" t="s">
        <v>47</v>
      </c>
      <c r="O1346" s="18">
        <v>1</v>
      </c>
      <c r="P1346" s="18" t="s">
        <v>45</v>
      </c>
      <c r="Q1346" s="18">
        <v>0</v>
      </c>
      <c r="R1346" s="18" t="s">
        <v>47</v>
      </c>
      <c r="S1346" s="18">
        <v>0</v>
      </c>
      <c r="T1346" s="21" t="s">
        <v>47</v>
      </c>
    </row>
    <row r="1347" spans="1:20" x14ac:dyDescent="0.35">
      <c r="A1347" s="1" t="s">
        <v>2932</v>
      </c>
      <c r="B1347" s="22" t="s">
        <v>12</v>
      </c>
      <c r="C1347" s="19" t="s">
        <v>47</v>
      </c>
      <c r="D1347" s="19" t="s">
        <v>2760</v>
      </c>
      <c r="E1347" s="19">
        <v>0</v>
      </c>
      <c r="F1347" s="19" t="s">
        <v>47</v>
      </c>
      <c r="G1347" s="19">
        <v>1</v>
      </c>
      <c r="H1347" s="19" t="s">
        <v>45</v>
      </c>
      <c r="I1347" s="19">
        <v>0</v>
      </c>
      <c r="J1347" s="19" t="s">
        <v>47</v>
      </c>
      <c r="K1347" s="19">
        <v>1</v>
      </c>
      <c r="L1347" s="19" t="s">
        <v>48</v>
      </c>
      <c r="M1347" s="19">
        <v>0</v>
      </c>
      <c r="N1347" s="19" t="s">
        <v>47</v>
      </c>
      <c r="O1347" s="19">
        <v>1</v>
      </c>
      <c r="P1347" s="19" t="s">
        <v>45</v>
      </c>
      <c r="Q1347" s="19">
        <v>0</v>
      </c>
      <c r="R1347" s="19" t="s">
        <v>47</v>
      </c>
      <c r="S1347" s="19">
        <v>0</v>
      </c>
      <c r="T1347" s="23" t="s">
        <v>47</v>
      </c>
    </row>
    <row r="1348" spans="1:20" x14ac:dyDescent="0.35">
      <c r="A1348" s="1" t="s">
        <v>2933</v>
      </c>
      <c r="B1348" s="20" t="s">
        <v>12</v>
      </c>
      <c r="C1348" s="18" t="s">
        <v>47</v>
      </c>
      <c r="D1348" s="18" t="s">
        <v>2761</v>
      </c>
      <c r="E1348" s="18">
        <v>1</v>
      </c>
      <c r="F1348" s="18" t="s">
        <v>48</v>
      </c>
      <c r="G1348" s="18">
        <v>1</v>
      </c>
      <c r="H1348" s="18" t="s">
        <v>48</v>
      </c>
      <c r="I1348" s="18">
        <v>0</v>
      </c>
      <c r="J1348" s="18" t="s">
        <v>47</v>
      </c>
      <c r="K1348" s="18">
        <v>0</v>
      </c>
      <c r="L1348" s="18" t="s">
        <v>47</v>
      </c>
      <c r="M1348" s="18">
        <v>1</v>
      </c>
      <c r="N1348" s="18" t="s">
        <v>48</v>
      </c>
      <c r="O1348" s="18">
        <v>1</v>
      </c>
      <c r="P1348" s="18" t="s">
        <v>48</v>
      </c>
      <c r="Q1348" s="18">
        <v>0</v>
      </c>
      <c r="R1348" s="18" t="s">
        <v>47</v>
      </c>
      <c r="S1348" s="18">
        <v>0</v>
      </c>
      <c r="T1348" s="21" t="s">
        <v>47</v>
      </c>
    </row>
    <row r="1349" spans="1:20" x14ac:dyDescent="0.35">
      <c r="A1349" s="1" t="s">
        <v>2934</v>
      </c>
      <c r="B1349" s="22" t="s">
        <v>12</v>
      </c>
      <c r="C1349" s="19" t="s">
        <v>47</v>
      </c>
      <c r="D1349" s="19" t="s">
        <v>2762</v>
      </c>
      <c r="E1349" s="19">
        <v>1</v>
      </c>
      <c r="F1349" s="19" t="s">
        <v>45</v>
      </c>
      <c r="G1349" s="19">
        <v>1</v>
      </c>
      <c r="H1349" s="19" t="s">
        <v>45</v>
      </c>
      <c r="I1349" s="19">
        <v>0</v>
      </c>
      <c r="J1349" s="19" t="s">
        <v>47</v>
      </c>
      <c r="K1349" s="19">
        <v>0</v>
      </c>
      <c r="L1349" s="19" t="s">
        <v>47</v>
      </c>
      <c r="M1349" s="19">
        <v>0</v>
      </c>
      <c r="N1349" s="19" t="s">
        <v>47</v>
      </c>
      <c r="O1349" s="19">
        <v>0</v>
      </c>
      <c r="P1349" s="19" t="s">
        <v>47</v>
      </c>
      <c r="Q1349" s="19">
        <v>1</v>
      </c>
      <c r="R1349" s="19" t="s">
        <v>45</v>
      </c>
      <c r="S1349" s="19">
        <v>0</v>
      </c>
      <c r="T1349" s="23" t="s">
        <v>47</v>
      </c>
    </row>
    <row r="1350" spans="1:20" x14ac:dyDescent="0.35">
      <c r="A1350" s="1" t="s">
        <v>2935</v>
      </c>
      <c r="B1350" s="20" t="s">
        <v>12</v>
      </c>
      <c r="C1350" s="18" t="s">
        <v>47</v>
      </c>
      <c r="D1350" s="18" t="s">
        <v>2763</v>
      </c>
      <c r="E1350" s="18">
        <v>1</v>
      </c>
      <c r="F1350" s="18" t="s">
        <v>48</v>
      </c>
      <c r="G1350" s="18">
        <v>0</v>
      </c>
      <c r="H1350" s="18" t="s">
        <v>47</v>
      </c>
      <c r="I1350" s="18">
        <v>1</v>
      </c>
      <c r="J1350" s="18" t="s">
        <v>48</v>
      </c>
      <c r="K1350" s="18">
        <v>0</v>
      </c>
      <c r="L1350" s="18" t="s">
        <v>47</v>
      </c>
      <c r="M1350" s="18">
        <v>0</v>
      </c>
      <c r="N1350" s="18" t="s">
        <v>47</v>
      </c>
      <c r="O1350" s="18">
        <v>1</v>
      </c>
      <c r="P1350" s="18" t="s">
        <v>48</v>
      </c>
      <c r="Q1350" s="18">
        <v>0</v>
      </c>
      <c r="R1350" s="18" t="s">
        <v>47</v>
      </c>
      <c r="S1350" s="18">
        <v>0</v>
      </c>
      <c r="T1350" s="21" t="s">
        <v>47</v>
      </c>
    </row>
    <row r="1351" spans="1:20" x14ac:dyDescent="0.35">
      <c r="A1351" s="1" t="s">
        <v>2936</v>
      </c>
      <c r="B1351" s="22" t="s">
        <v>12</v>
      </c>
      <c r="C1351" s="19" t="s">
        <v>47</v>
      </c>
      <c r="D1351" s="19" t="s">
        <v>2764</v>
      </c>
      <c r="E1351" s="19">
        <v>1</v>
      </c>
      <c r="F1351" s="19" t="s">
        <v>45</v>
      </c>
      <c r="G1351" s="19">
        <v>0</v>
      </c>
      <c r="H1351" s="19" t="s">
        <v>47</v>
      </c>
      <c r="I1351" s="19">
        <v>0</v>
      </c>
      <c r="J1351" s="19" t="s">
        <v>47</v>
      </c>
      <c r="K1351" s="19">
        <v>0</v>
      </c>
      <c r="L1351" s="19" t="s">
        <v>47</v>
      </c>
      <c r="M1351" s="19">
        <v>1</v>
      </c>
      <c r="N1351" s="19" t="s">
        <v>45</v>
      </c>
      <c r="O1351" s="19">
        <v>0</v>
      </c>
      <c r="P1351" s="19" t="s">
        <v>47</v>
      </c>
      <c r="Q1351" s="19">
        <v>1</v>
      </c>
      <c r="R1351" s="19" t="s">
        <v>45</v>
      </c>
      <c r="S1351" s="19">
        <v>0</v>
      </c>
      <c r="T1351" s="23" t="s">
        <v>47</v>
      </c>
    </row>
    <row r="1352" spans="1:20" x14ac:dyDescent="0.35">
      <c r="A1352" s="1" t="s">
        <v>2937</v>
      </c>
      <c r="B1352" s="20" t="s">
        <v>12</v>
      </c>
      <c r="C1352" s="18" t="s">
        <v>47</v>
      </c>
      <c r="D1352" s="18" t="s">
        <v>2765</v>
      </c>
      <c r="E1352" s="18">
        <v>1</v>
      </c>
      <c r="F1352" s="18" t="s">
        <v>55</v>
      </c>
      <c r="G1352" s="18">
        <v>0</v>
      </c>
      <c r="H1352" s="18" t="s">
        <v>47</v>
      </c>
      <c r="I1352" s="18">
        <v>0</v>
      </c>
      <c r="J1352" s="18" t="s">
        <v>47</v>
      </c>
      <c r="K1352" s="18">
        <v>0</v>
      </c>
      <c r="L1352" s="18" t="s">
        <v>47</v>
      </c>
      <c r="M1352" s="18">
        <v>0</v>
      </c>
      <c r="N1352" s="18" t="s">
        <v>47</v>
      </c>
      <c r="O1352" s="18">
        <v>0</v>
      </c>
      <c r="P1352" s="18" t="s">
        <v>47</v>
      </c>
      <c r="Q1352" s="18">
        <v>1</v>
      </c>
      <c r="R1352" s="18" t="s">
        <v>48</v>
      </c>
      <c r="S1352" s="18">
        <v>0</v>
      </c>
      <c r="T1352" s="21" t="s">
        <v>47</v>
      </c>
    </row>
    <row r="1353" spans="1:20" x14ac:dyDescent="0.35">
      <c r="A1353" s="1" t="s">
        <v>2938</v>
      </c>
      <c r="B1353" s="22" t="s">
        <v>12</v>
      </c>
      <c r="C1353" s="19" t="s">
        <v>47</v>
      </c>
      <c r="D1353" s="19" t="s">
        <v>2766</v>
      </c>
      <c r="E1353" s="19">
        <v>1</v>
      </c>
      <c r="F1353" s="19" t="s">
        <v>45</v>
      </c>
      <c r="G1353" s="19">
        <v>0</v>
      </c>
      <c r="H1353" s="19" t="s">
        <v>47</v>
      </c>
      <c r="I1353" s="19">
        <v>0</v>
      </c>
      <c r="J1353" s="19" t="s">
        <v>47</v>
      </c>
      <c r="K1353" s="19">
        <v>0</v>
      </c>
      <c r="L1353" s="19" t="s">
        <v>47</v>
      </c>
      <c r="M1353" s="19">
        <v>0</v>
      </c>
      <c r="N1353" s="19" t="s">
        <v>47</v>
      </c>
      <c r="O1353" s="19">
        <v>0</v>
      </c>
      <c r="P1353" s="19" t="s">
        <v>47</v>
      </c>
      <c r="Q1353" s="19">
        <v>1</v>
      </c>
      <c r="R1353" s="19" t="s">
        <v>45</v>
      </c>
      <c r="S1353" s="19">
        <v>1</v>
      </c>
      <c r="T1353" s="23" t="s">
        <v>45</v>
      </c>
    </row>
    <row r="1354" spans="1:20" x14ac:dyDescent="0.35">
      <c r="A1354" s="1" t="s">
        <v>2939</v>
      </c>
      <c r="B1354" s="20" t="s">
        <v>12</v>
      </c>
      <c r="C1354" s="18" t="s">
        <v>47</v>
      </c>
      <c r="D1354" s="18" t="s">
        <v>2664</v>
      </c>
      <c r="E1354" s="18">
        <v>0</v>
      </c>
      <c r="F1354" s="18" t="s">
        <v>47</v>
      </c>
      <c r="G1354" s="18">
        <v>1</v>
      </c>
      <c r="H1354" s="18" t="s">
        <v>48</v>
      </c>
      <c r="I1354" s="18">
        <v>0</v>
      </c>
      <c r="J1354" s="18" t="s">
        <v>47</v>
      </c>
      <c r="K1354" s="18">
        <v>0</v>
      </c>
      <c r="L1354" s="18" t="s">
        <v>47</v>
      </c>
      <c r="M1354" s="18">
        <v>0</v>
      </c>
      <c r="N1354" s="18" t="s">
        <v>47</v>
      </c>
      <c r="O1354" s="18">
        <v>1</v>
      </c>
      <c r="P1354" s="18" t="s">
        <v>48</v>
      </c>
      <c r="Q1354" s="18">
        <v>0</v>
      </c>
      <c r="R1354" s="18" t="s">
        <v>47</v>
      </c>
      <c r="S1354" s="18">
        <v>0</v>
      </c>
      <c r="T1354" s="21" t="s">
        <v>47</v>
      </c>
    </row>
    <row r="1355" spans="1:20" x14ac:dyDescent="0.35">
      <c r="A1355" s="1" t="s">
        <v>2940</v>
      </c>
      <c r="B1355" s="22" t="s">
        <v>12</v>
      </c>
      <c r="C1355" s="19" t="s">
        <v>47</v>
      </c>
      <c r="D1355" s="19" t="s">
        <v>2665</v>
      </c>
      <c r="E1355" s="19">
        <v>1</v>
      </c>
      <c r="F1355" s="19" t="s">
        <v>55</v>
      </c>
      <c r="G1355" s="19">
        <v>1</v>
      </c>
      <c r="H1355" s="19" t="s">
        <v>48</v>
      </c>
      <c r="I1355" s="19">
        <v>0</v>
      </c>
      <c r="J1355" s="19" t="s">
        <v>47</v>
      </c>
      <c r="K1355" s="19">
        <v>1</v>
      </c>
      <c r="L1355" s="19" t="s">
        <v>48</v>
      </c>
      <c r="M1355" s="19">
        <v>1</v>
      </c>
      <c r="N1355" s="19" t="s">
        <v>48</v>
      </c>
      <c r="O1355" s="19">
        <v>0</v>
      </c>
      <c r="P1355" s="19" t="s">
        <v>47</v>
      </c>
      <c r="Q1355" s="19">
        <v>1</v>
      </c>
      <c r="R1355" s="19" t="s">
        <v>48</v>
      </c>
      <c r="S1355" s="19">
        <v>0</v>
      </c>
      <c r="T1355" s="23" t="s">
        <v>47</v>
      </c>
    </row>
    <row r="1356" spans="1:20" x14ac:dyDescent="0.35">
      <c r="A1356" s="1" t="s">
        <v>2941</v>
      </c>
      <c r="B1356" s="20" t="s">
        <v>12</v>
      </c>
      <c r="C1356" s="18" t="s">
        <v>47</v>
      </c>
      <c r="D1356" s="18" t="s">
        <v>2666</v>
      </c>
      <c r="E1356" s="18">
        <v>1</v>
      </c>
      <c r="F1356" s="18" t="s">
        <v>45</v>
      </c>
      <c r="G1356" s="18">
        <v>1</v>
      </c>
      <c r="H1356" s="18" t="s">
        <v>48</v>
      </c>
      <c r="I1356" s="18">
        <v>0</v>
      </c>
      <c r="J1356" s="18" t="s">
        <v>47</v>
      </c>
      <c r="K1356" s="18">
        <v>0</v>
      </c>
      <c r="L1356" s="18" t="s">
        <v>47</v>
      </c>
      <c r="M1356" s="18">
        <v>1</v>
      </c>
      <c r="N1356" s="18" t="s">
        <v>48</v>
      </c>
      <c r="O1356" s="18">
        <v>0</v>
      </c>
      <c r="P1356" s="18" t="s">
        <v>47</v>
      </c>
      <c r="Q1356" s="18">
        <v>1</v>
      </c>
      <c r="R1356" s="18" t="s">
        <v>45</v>
      </c>
      <c r="S1356" s="18">
        <v>1</v>
      </c>
      <c r="T1356" s="21" t="s">
        <v>45</v>
      </c>
    </row>
    <row r="1357" spans="1:20" x14ac:dyDescent="0.35">
      <c r="A1357" s="1" t="s">
        <v>2942</v>
      </c>
      <c r="B1357" s="22" t="s">
        <v>12</v>
      </c>
      <c r="C1357" s="19" t="s">
        <v>47</v>
      </c>
      <c r="D1357" s="19" t="s">
        <v>2767</v>
      </c>
      <c r="E1357" s="19">
        <v>1</v>
      </c>
      <c r="F1357" s="19" t="s">
        <v>48</v>
      </c>
      <c r="G1357" s="19">
        <v>1</v>
      </c>
      <c r="H1357" s="19" t="s">
        <v>48</v>
      </c>
      <c r="I1357" s="19">
        <v>1</v>
      </c>
      <c r="J1357" s="19" t="s">
        <v>48</v>
      </c>
      <c r="K1357" s="19">
        <v>1</v>
      </c>
      <c r="L1357" s="19" t="s">
        <v>48</v>
      </c>
      <c r="M1357" s="19">
        <v>1</v>
      </c>
      <c r="N1357" s="19" t="s">
        <v>45</v>
      </c>
      <c r="O1357" s="19">
        <v>1</v>
      </c>
      <c r="P1357" s="19" t="s">
        <v>48</v>
      </c>
      <c r="Q1357" s="19">
        <v>0</v>
      </c>
      <c r="R1357" s="19" t="s">
        <v>47</v>
      </c>
      <c r="S1357" s="19">
        <v>0</v>
      </c>
      <c r="T1357" s="23" t="s">
        <v>47</v>
      </c>
    </row>
    <row r="1358" spans="1:20" x14ac:dyDescent="0.35">
      <c r="A1358" s="1" t="s">
        <v>2943</v>
      </c>
      <c r="B1358" s="20" t="s">
        <v>12</v>
      </c>
      <c r="C1358" s="18" t="s">
        <v>47</v>
      </c>
      <c r="D1358" s="18" t="s">
        <v>2768</v>
      </c>
      <c r="E1358" s="18">
        <v>0</v>
      </c>
      <c r="F1358" s="18" t="s">
        <v>47</v>
      </c>
      <c r="G1358" s="18">
        <v>1</v>
      </c>
      <c r="H1358" s="18" t="s">
        <v>48</v>
      </c>
      <c r="I1358" s="18">
        <v>0</v>
      </c>
      <c r="J1358" s="18" t="s">
        <v>47</v>
      </c>
      <c r="K1358" s="18">
        <v>0</v>
      </c>
      <c r="L1358" s="18" t="s">
        <v>47</v>
      </c>
      <c r="M1358" s="18">
        <v>0</v>
      </c>
      <c r="N1358" s="18" t="s">
        <v>47</v>
      </c>
      <c r="O1358" s="18">
        <v>0</v>
      </c>
      <c r="P1358" s="18" t="s">
        <v>47</v>
      </c>
      <c r="Q1358" s="18">
        <v>0</v>
      </c>
      <c r="R1358" s="18" t="s">
        <v>47</v>
      </c>
      <c r="S1358" s="18">
        <v>0</v>
      </c>
      <c r="T1358" s="21" t="s">
        <v>47</v>
      </c>
    </row>
    <row r="1359" spans="1:20" x14ac:dyDescent="0.35">
      <c r="A1359" s="1" t="s">
        <v>2944</v>
      </c>
      <c r="B1359" s="22" t="s">
        <v>12</v>
      </c>
      <c r="C1359" s="19" t="s">
        <v>47</v>
      </c>
      <c r="D1359" s="19" t="s">
        <v>2769</v>
      </c>
      <c r="E1359" s="19">
        <v>0</v>
      </c>
      <c r="F1359" s="19" t="s">
        <v>47</v>
      </c>
      <c r="G1359" s="19">
        <v>1</v>
      </c>
      <c r="H1359" s="19" t="s">
        <v>48</v>
      </c>
      <c r="I1359" s="19">
        <v>0</v>
      </c>
      <c r="J1359" s="19" t="s">
        <v>47</v>
      </c>
      <c r="K1359" s="19">
        <v>0</v>
      </c>
      <c r="L1359" s="19" t="s">
        <v>47</v>
      </c>
      <c r="M1359" s="19">
        <v>0</v>
      </c>
      <c r="N1359" s="19" t="s">
        <v>47</v>
      </c>
      <c r="O1359" s="19">
        <v>0</v>
      </c>
      <c r="P1359" s="19" t="s">
        <v>47</v>
      </c>
      <c r="Q1359" s="19">
        <v>0</v>
      </c>
      <c r="R1359" s="19" t="s">
        <v>47</v>
      </c>
      <c r="S1359" s="19">
        <v>0</v>
      </c>
      <c r="T1359" s="23" t="s">
        <v>47</v>
      </c>
    </row>
    <row r="1360" spans="1:20" x14ac:dyDescent="0.35">
      <c r="A1360" s="1" t="s">
        <v>2945</v>
      </c>
      <c r="B1360" s="20" t="s">
        <v>12</v>
      </c>
      <c r="C1360" s="18" t="s">
        <v>47</v>
      </c>
      <c r="D1360" s="18" t="s">
        <v>2667</v>
      </c>
      <c r="E1360" s="18">
        <v>0</v>
      </c>
      <c r="F1360" s="18" t="s">
        <v>47</v>
      </c>
      <c r="G1360" s="18">
        <v>1</v>
      </c>
      <c r="H1360" s="18" t="s">
        <v>48</v>
      </c>
      <c r="I1360" s="18">
        <v>1</v>
      </c>
      <c r="J1360" s="18" t="s">
        <v>48</v>
      </c>
      <c r="K1360" s="18">
        <v>0</v>
      </c>
      <c r="L1360" s="18" t="s">
        <v>47</v>
      </c>
      <c r="M1360" s="18">
        <v>0</v>
      </c>
      <c r="N1360" s="18" t="s">
        <v>47</v>
      </c>
      <c r="O1360" s="18">
        <v>1</v>
      </c>
      <c r="P1360" s="18" t="s">
        <v>48</v>
      </c>
      <c r="Q1360" s="18">
        <v>0</v>
      </c>
      <c r="R1360" s="18" t="s">
        <v>47</v>
      </c>
      <c r="S1360" s="18">
        <v>0</v>
      </c>
      <c r="T1360" s="21" t="s">
        <v>47</v>
      </c>
    </row>
    <row r="1361" spans="1:20" x14ac:dyDescent="0.35">
      <c r="A1361" s="1" t="s">
        <v>2946</v>
      </c>
      <c r="B1361" s="22" t="s">
        <v>12</v>
      </c>
      <c r="C1361" s="19" t="s">
        <v>47</v>
      </c>
      <c r="D1361" s="19" t="s">
        <v>2668</v>
      </c>
      <c r="E1361" s="19">
        <v>0</v>
      </c>
      <c r="F1361" s="19" t="s">
        <v>47</v>
      </c>
      <c r="G1361" s="19">
        <v>0</v>
      </c>
      <c r="H1361" s="19" t="s">
        <v>47</v>
      </c>
      <c r="I1361" s="19">
        <v>0</v>
      </c>
      <c r="J1361" s="19" t="s">
        <v>47</v>
      </c>
      <c r="K1361" s="19">
        <v>0</v>
      </c>
      <c r="L1361" s="19" t="s">
        <v>47</v>
      </c>
      <c r="M1361" s="19">
        <v>1</v>
      </c>
      <c r="N1361" s="19" t="s">
        <v>48</v>
      </c>
      <c r="O1361" s="19">
        <v>0</v>
      </c>
      <c r="P1361" s="19" t="s">
        <v>47</v>
      </c>
      <c r="Q1361" s="19">
        <v>1</v>
      </c>
      <c r="R1361" s="19" t="s">
        <v>48</v>
      </c>
      <c r="S1361" s="19">
        <v>0</v>
      </c>
      <c r="T1361" s="23" t="s">
        <v>47</v>
      </c>
    </row>
    <row r="1362" spans="1:20" x14ac:dyDescent="0.35">
      <c r="A1362" s="1" t="s">
        <v>2947</v>
      </c>
      <c r="B1362" s="20" t="s">
        <v>12</v>
      </c>
      <c r="C1362" s="18" t="s">
        <v>47</v>
      </c>
      <c r="D1362" s="18" t="s">
        <v>2669</v>
      </c>
      <c r="E1362" s="18">
        <v>1</v>
      </c>
      <c r="F1362" s="18" t="s">
        <v>48</v>
      </c>
      <c r="G1362" s="18">
        <v>1</v>
      </c>
      <c r="H1362" s="18" t="s">
        <v>48</v>
      </c>
      <c r="I1362" s="18">
        <v>1</v>
      </c>
      <c r="J1362" s="18" t="s">
        <v>48</v>
      </c>
      <c r="K1362" s="18">
        <v>0</v>
      </c>
      <c r="L1362" s="18" t="s">
        <v>47</v>
      </c>
      <c r="M1362" s="18">
        <v>0</v>
      </c>
      <c r="N1362" s="18" t="s">
        <v>47</v>
      </c>
      <c r="O1362" s="18">
        <v>1</v>
      </c>
      <c r="P1362" s="18" t="s">
        <v>48</v>
      </c>
      <c r="Q1362" s="18">
        <v>0</v>
      </c>
      <c r="R1362" s="18" t="s">
        <v>47</v>
      </c>
      <c r="S1362" s="18">
        <v>0</v>
      </c>
      <c r="T1362" s="21" t="s">
        <v>47</v>
      </c>
    </row>
    <row r="1363" spans="1:20" x14ac:dyDescent="0.35">
      <c r="A1363" s="1" t="s">
        <v>2948</v>
      </c>
      <c r="B1363" s="22" t="s">
        <v>12</v>
      </c>
      <c r="C1363" s="19" t="s">
        <v>47</v>
      </c>
      <c r="D1363" s="19" t="s">
        <v>2670</v>
      </c>
      <c r="E1363" s="19">
        <v>1</v>
      </c>
      <c r="F1363" s="19" t="s">
        <v>45</v>
      </c>
      <c r="G1363" s="19">
        <v>0</v>
      </c>
      <c r="H1363" s="19" t="s">
        <v>47</v>
      </c>
      <c r="I1363" s="19">
        <v>1</v>
      </c>
      <c r="J1363" s="19" t="s">
        <v>48</v>
      </c>
      <c r="K1363" s="19">
        <v>0</v>
      </c>
      <c r="L1363" s="19" t="s">
        <v>47</v>
      </c>
      <c r="M1363" s="19">
        <v>0</v>
      </c>
      <c r="N1363" s="19" t="s">
        <v>47</v>
      </c>
      <c r="O1363" s="19">
        <v>0</v>
      </c>
      <c r="P1363" s="19" t="s">
        <v>47</v>
      </c>
      <c r="Q1363" s="19">
        <v>1</v>
      </c>
      <c r="R1363" s="19" t="s">
        <v>48</v>
      </c>
      <c r="S1363" s="19">
        <v>0</v>
      </c>
      <c r="T1363" s="23" t="s">
        <v>47</v>
      </c>
    </row>
    <row r="1364" spans="1:20" x14ac:dyDescent="0.35">
      <c r="A1364" s="1" t="s">
        <v>2949</v>
      </c>
      <c r="B1364" s="20" t="s">
        <v>12</v>
      </c>
      <c r="C1364" s="18" t="s">
        <v>47</v>
      </c>
      <c r="D1364" s="18" t="s">
        <v>2671</v>
      </c>
      <c r="E1364" s="18">
        <v>1</v>
      </c>
      <c r="F1364" s="18" t="s">
        <v>45</v>
      </c>
      <c r="G1364" s="18">
        <v>1</v>
      </c>
      <c r="H1364" s="18" t="s">
        <v>45</v>
      </c>
      <c r="I1364" s="18">
        <v>0</v>
      </c>
      <c r="J1364" s="18" t="s">
        <v>47</v>
      </c>
      <c r="K1364" s="18">
        <v>1</v>
      </c>
      <c r="L1364" s="18" t="s">
        <v>48</v>
      </c>
      <c r="M1364" s="18">
        <v>1</v>
      </c>
      <c r="N1364" s="18" t="s">
        <v>48</v>
      </c>
      <c r="O1364" s="18">
        <v>0</v>
      </c>
      <c r="P1364" s="18" t="s">
        <v>47</v>
      </c>
      <c r="Q1364" s="18">
        <v>1</v>
      </c>
      <c r="R1364" s="18" t="s">
        <v>48</v>
      </c>
      <c r="S1364" s="18">
        <v>0</v>
      </c>
      <c r="T1364" s="21" t="s">
        <v>47</v>
      </c>
    </row>
    <row r="1365" spans="1:20" x14ac:dyDescent="0.35">
      <c r="A1365" s="1" t="s">
        <v>2950</v>
      </c>
      <c r="B1365" s="22" t="s">
        <v>12</v>
      </c>
      <c r="C1365" s="19" t="s">
        <v>47</v>
      </c>
      <c r="D1365" s="19" t="s">
        <v>2672</v>
      </c>
      <c r="E1365" s="19">
        <v>1</v>
      </c>
      <c r="F1365" s="19" t="s">
        <v>48</v>
      </c>
      <c r="G1365" s="19">
        <v>0</v>
      </c>
      <c r="H1365" s="19" t="s">
        <v>47</v>
      </c>
      <c r="I1365" s="19">
        <v>0</v>
      </c>
      <c r="J1365" s="19" t="s">
        <v>47</v>
      </c>
      <c r="K1365" s="19">
        <v>0</v>
      </c>
      <c r="L1365" s="19" t="s">
        <v>47</v>
      </c>
      <c r="M1365" s="19">
        <v>0</v>
      </c>
      <c r="N1365" s="19" t="s">
        <v>47</v>
      </c>
      <c r="O1365" s="19">
        <v>0</v>
      </c>
      <c r="P1365" s="19" t="s">
        <v>47</v>
      </c>
      <c r="Q1365" s="19">
        <v>1</v>
      </c>
      <c r="R1365" s="19" t="s">
        <v>48</v>
      </c>
      <c r="S1365" s="19">
        <v>0</v>
      </c>
      <c r="T1365" s="23" t="s">
        <v>47</v>
      </c>
    </row>
    <row r="1366" spans="1:20" x14ac:dyDescent="0.35">
      <c r="A1366" s="1" t="s">
        <v>2951</v>
      </c>
      <c r="B1366" s="20" t="s">
        <v>12</v>
      </c>
      <c r="C1366" s="18" t="s">
        <v>47</v>
      </c>
      <c r="D1366" s="18" t="s">
        <v>2673</v>
      </c>
      <c r="E1366" s="18">
        <v>0</v>
      </c>
      <c r="F1366" s="18" t="s">
        <v>47</v>
      </c>
      <c r="G1366" s="18">
        <v>1</v>
      </c>
      <c r="H1366" s="18" t="s">
        <v>48</v>
      </c>
      <c r="I1366" s="18">
        <v>0</v>
      </c>
      <c r="J1366" s="18" t="s">
        <v>47</v>
      </c>
      <c r="K1366" s="18">
        <v>0</v>
      </c>
      <c r="L1366" s="18" t="s">
        <v>47</v>
      </c>
      <c r="M1366" s="18">
        <v>0</v>
      </c>
      <c r="N1366" s="18" t="s">
        <v>47</v>
      </c>
      <c r="O1366" s="18">
        <v>0</v>
      </c>
      <c r="P1366" s="18" t="s">
        <v>47</v>
      </c>
      <c r="Q1366" s="18">
        <v>0</v>
      </c>
      <c r="R1366" s="18" t="s">
        <v>47</v>
      </c>
      <c r="S1366" s="18">
        <v>0</v>
      </c>
      <c r="T1366" s="21" t="s">
        <v>47</v>
      </c>
    </row>
    <row r="1367" spans="1:20" x14ac:dyDescent="0.35">
      <c r="A1367" s="1" t="s">
        <v>2952</v>
      </c>
      <c r="B1367" s="22" t="s">
        <v>12</v>
      </c>
      <c r="C1367" s="19" t="s">
        <v>47</v>
      </c>
      <c r="D1367" s="19" t="s">
        <v>2770</v>
      </c>
      <c r="E1367" s="19">
        <v>1</v>
      </c>
      <c r="F1367" s="19" t="s">
        <v>55</v>
      </c>
      <c r="G1367" s="19">
        <v>1</v>
      </c>
      <c r="H1367" s="19" t="s">
        <v>55</v>
      </c>
      <c r="I1367" s="19">
        <v>1</v>
      </c>
      <c r="J1367" s="19" t="s">
        <v>45</v>
      </c>
      <c r="K1367" s="19">
        <v>0</v>
      </c>
      <c r="L1367" s="19" t="s">
        <v>47</v>
      </c>
      <c r="M1367" s="19">
        <v>1</v>
      </c>
      <c r="N1367" s="19" t="s">
        <v>48</v>
      </c>
      <c r="O1367" s="19">
        <v>0</v>
      </c>
      <c r="P1367" s="19" t="s">
        <v>47</v>
      </c>
      <c r="Q1367" s="19">
        <v>1</v>
      </c>
      <c r="R1367" s="19" t="s">
        <v>45</v>
      </c>
      <c r="S1367" s="19">
        <v>0</v>
      </c>
      <c r="T1367" s="23" t="s">
        <v>47</v>
      </c>
    </row>
    <row r="1368" spans="1:20" x14ac:dyDescent="0.35">
      <c r="A1368" s="1" t="s">
        <v>2953</v>
      </c>
      <c r="B1368" s="20" t="s">
        <v>12</v>
      </c>
      <c r="C1368" s="18" t="s">
        <v>47</v>
      </c>
      <c r="D1368" s="18" t="s">
        <v>2674</v>
      </c>
      <c r="E1368" s="18">
        <v>1</v>
      </c>
      <c r="F1368" s="18" t="s">
        <v>48</v>
      </c>
      <c r="G1368" s="18">
        <v>1</v>
      </c>
      <c r="H1368" s="18" t="s">
        <v>48</v>
      </c>
      <c r="I1368" s="18">
        <v>0</v>
      </c>
      <c r="J1368" s="18" t="s">
        <v>47</v>
      </c>
      <c r="K1368" s="18">
        <v>1</v>
      </c>
      <c r="L1368" s="18" t="s">
        <v>48</v>
      </c>
      <c r="M1368" s="18">
        <v>0</v>
      </c>
      <c r="N1368" s="18" t="s">
        <v>47</v>
      </c>
      <c r="O1368" s="18">
        <v>0</v>
      </c>
      <c r="P1368" s="18" t="s">
        <v>47</v>
      </c>
      <c r="Q1368" s="18">
        <v>0</v>
      </c>
      <c r="R1368" s="18" t="s">
        <v>47</v>
      </c>
      <c r="S1368" s="18">
        <v>0</v>
      </c>
      <c r="T1368" s="21" t="s">
        <v>47</v>
      </c>
    </row>
    <row r="1369" spans="1:20" x14ac:dyDescent="0.35">
      <c r="A1369" s="1" t="s">
        <v>2954</v>
      </c>
      <c r="B1369" s="22" t="s">
        <v>12</v>
      </c>
      <c r="C1369" s="19" t="s">
        <v>47</v>
      </c>
      <c r="D1369" s="19" t="s">
        <v>2771</v>
      </c>
      <c r="E1369" s="19">
        <v>0</v>
      </c>
      <c r="F1369" s="19" t="s">
        <v>47</v>
      </c>
      <c r="G1369" s="19">
        <v>1</v>
      </c>
      <c r="H1369" s="19" t="s">
        <v>48</v>
      </c>
      <c r="I1369" s="19">
        <v>0</v>
      </c>
      <c r="J1369" s="19" t="s">
        <v>47</v>
      </c>
      <c r="K1369" s="19">
        <v>0</v>
      </c>
      <c r="L1369" s="19" t="s">
        <v>47</v>
      </c>
      <c r="M1369" s="19">
        <v>0</v>
      </c>
      <c r="N1369" s="19" t="s">
        <v>47</v>
      </c>
      <c r="O1369" s="19">
        <v>1</v>
      </c>
      <c r="P1369" s="19" t="s">
        <v>48</v>
      </c>
      <c r="Q1369" s="19">
        <v>1</v>
      </c>
      <c r="R1369" s="19" t="s">
        <v>48</v>
      </c>
      <c r="S1369" s="19">
        <v>0</v>
      </c>
      <c r="T1369" s="23" t="s">
        <v>47</v>
      </c>
    </row>
    <row r="1370" spans="1:20" x14ac:dyDescent="0.35">
      <c r="A1370" s="1" t="s">
        <v>2955</v>
      </c>
      <c r="B1370" s="20" t="s">
        <v>12</v>
      </c>
      <c r="C1370" s="18" t="s">
        <v>47</v>
      </c>
      <c r="D1370" s="18" t="s">
        <v>2772</v>
      </c>
      <c r="E1370" s="18">
        <v>1</v>
      </c>
      <c r="F1370" s="18" t="s">
        <v>48</v>
      </c>
      <c r="G1370" s="18">
        <v>0</v>
      </c>
      <c r="H1370" s="18" t="s">
        <v>47</v>
      </c>
      <c r="I1370" s="18">
        <v>0</v>
      </c>
      <c r="J1370" s="18" t="s">
        <v>47</v>
      </c>
      <c r="K1370" s="18">
        <v>0</v>
      </c>
      <c r="L1370" s="18" t="s">
        <v>47</v>
      </c>
      <c r="M1370" s="18">
        <v>0</v>
      </c>
      <c r="N1370" s="18" t="s">
        <v>47</v>
      </c>
      <c r="O1370" s="18">
        <v>0</v>
      </c>
      <c r="P1370" s="18" t="s">
        <v>47</v>
      </c>
      <c r="Q1370" s="18">
        <v>0</v>
      </c>
      <c r="R1370" s="18" t="s">
        <v>47</v>
      </c>
      <c r="S1370" s="18">
        <v>0</v>
      </c>
      <c r="T1370" s="21" t="s">
        <v>47</v>
      </c>
    </row>
    <row r="1371" spans="1:20" x14ac:dyDescent="0.35">
      <c r="A1371" s="1" t="s">
        <v>2956</v>
      </c>
      <c r="B1371" s="22" t="s">
        <v>12</v>
      </c>
      <c r="C1371" s="19" t="s">
        <v>47</v>
      </c>
      <c r="D1371" s="19" t="s">
        <v>2675</v>
      </c>
      <c r="E1371" s="19">
        <v>1</v>
      </c>
      <c r="F1371" s="19" t="s">
        <v>48</v>
      </c>
      <c r="G1371" s="19">
        <v>1</v>
      </c>
      <c r="H1371" s="19" t="s">
        <v>55</v>
      </c>
      <c r="I1371" s="19">
        <v>0</v>
      </c>
      <c r="J1371" s="19" t="s">
        <v>47</v>
      </c>
      <c r="K1371" s="19">
        <v>0</v>
      </c>
      <c r="L1371" s="19" t="s">
        <v>47</v>
      </c>
      <c r="M1371" s="19">
        <v>0</v>
      </c>
      <c r="N1371" s="19" t="s">
        <v>47</v>
      </c>
      <c r="O1371" s="19">
        <v>0</v>
      </c>
      <c r="P1371" s="19" t="s">
        <v>47</v>
      </c>
      <c r="Q1371" s="19">
        <v>0</v>
      </c>
      <c r="R1371" s="19" t="s">
        <v>47</v>
      </c>
      <c r="S1371" s="19">
        <v>0</v>
      </c>
      <c r="T1371" s="23" t="s">
        <v>47</v>
      </c>
    </row>
    <row r="1372" spans="1:20" x14ac:dyDescent="0.35">
      <c r="A1372" s="1" t="s">
        <v>2957</v>
      </c>
      <c r="B1372" s="20" t="s">
        <v>12</v>
      </c>
      <c r="C1372" s="18" t="s">
        <v>47</v>
      </c>
      <c r="D1372" s="18" t="s">
        <v>2676</v>
      </c>
      <c r="E1372" s="18">
        <v>1</v>
      </c>
      <c r="F1372" s="18" t="s">
        <v>55</v>
      </c>
      <c r="G1372" s="18">
        <v>0</v>
      </c>
      <c r="H1372" s="18" t="s">
        <v>47</v>
      </c>
      <c r="I1372" s="18">
        <v>0</v>
      </c>
      <c r="J1372" s="18" t="s">
        <v>47</v>
      </c>
      <c r="K1372" s="18">
        <v>0</v>
      </c>
      <c r="L1372" s="18" t="s">
        <v>47</v>
      </c>
      <c r="M1372" s="18">
        <v>1</v>
      </c>
      <c r="N1372" s="18" t="s">
        <v>45</v>
      </c>
      <c r="O1372" s="18">
        <v>0</v>
      </c>
      <c r="P1372" s="18" t="s">
        <v>47</v>
      </c>
      <c r="Q1372" s="18">
        <v>0</v>
      </c>
      <c r="R1372" s="18" t="s">
        <v>47</v>
      </c>
      <c r="S1372" s="18">
        <v>1</v>
      </c>
      <c r="T1372" s="21" t="s">
        <v>55</v>
      </c>
    </row>
    <row r="1373" spans="1:20" x14ac:dyDescent="0.35">
      <c r="A1373" s="1" t="s">
        <v>2958</v>
      </c>
      <c r="B1373" s="22" t="s">
        <v>12</v>
      </c>
      <c r="C1373" s="19" t="s">
        <v>47</v>
      </c>
      <c r="D1373" s="19" t="s">
        <v>2677</v>
      </c>
      <c r="E1373" s="19">
        <v>1</v>
      </c>
      <c r="F1373" s="19" t="s">
        <v>48</v>
      </c>
      <c r="G1373" s="19">
        <v>0</v>
      </c>
      <c r="H1373" s="19" t="s">
        <v>47</v>
      </c>
      <c r="I1373" s="19">
        <v>0</v>
      </c>
      <c r="J1373" s="19" t="s">
        <v>47</v>
      </c>
      <c r="K1373" s="19">
        <v>0</v>
      </c>
      <c r="L1373" s="19" t="s">
        <v>47</v>
      </c>
      <c r="M1373" s="19">
        <v>1</v>
      </c>
      <c r="N1373" s="19" t="s">
        <v>55</v>
      </c>
      <c r="O1373" s="19">
        <v>0</v>
      </c>
      <c r="P1373" s="19" t="s">
        <v>47</v>
      </c>
      <c r="Q1373" s="19">
        <v>1</v>
      </c>
      <c r="R1373" s="19" t="s">
        <v>48</v>
      </c>
      <c r="S1373" s="19">
        <v>0</v>
      </c>
      <c r="T1373" s="23" t="s">
        <v>47</v>
      </c>
    </row>
    <row r="1374" spans="1:20" x14ac:dyDescent="0.35">
      <c r="A1374" s="1" t="s">
        <v>2959</v>
      </c>
      <c r="B1374" s="20" t="s">
        <v>12</v>
      </c>
      <c r="C1374" s="18" t="s">
        <v>47</v>
      </c>
      <c r="D1374" s="18" t="s">
        <v>2773</v>
      </c>
      <c r="E1374" s="18">
        <v>1</v>
      </c>
      <c r="F1374" s="18" t="s">
        <v>48</v>
      </c>
      <c r="G1374" s="18">
        <v>1</v>
      </c>
      <c r="H1374" s="18" t="s">
        <v>48</v>
      </c>
      <c r="I1374" s="18">
        <v>1</v>
      </c>
      <c r="J1374" s="18" t="s">
        <v>48</v>
      </c>
      <c r="K1374" s="18">
        <v>0</v>
      </c>
      <c r="L1374" s="18" t="s">
        <v>47</v>
      </c>
      <c r="M1374" s="18">
        <v>1</v>
      </c>
      <c r="N1374" s="18" t="s">
        <v>48</v>
      </c>
      <c r="O1374" s="18">
        <v>0</v>
      </c>
      <c r="P1374" s="18" t="s">
        <v>47</v>
      </c>
      <c r="Q1374" s="18">
        <v>0</v>
      </c>
      <c r="R1374" s="18" t="s">
        <v>47</v>
      </c>
      <c r="S1374" s="18">
        <v>0</v>
      </c>
      <c r="T1374" s="21" t="s">
        <v>47</v>
      </c>
    </row>
    <row r="1375" spans="1:20" x14ac:dyDescent="0.35">
      <c r="A1375" s="1" t="s">
        <v>2960</v>
      </c>
      <c r="B1375" s="22" t="s">
        <v>12</v>
      </c>
      <c r="C1375" s="19" t="s">
        <v>47</v>
      </c>
      <c r="D1375" s="19" t="s">
        <v>2774</v>
      </c>
      <c r="E1375" s="19">
        <v>0</v>
      </c>
      <c r="F1375" s="19" t="s">
        <v>47</v>
      </c>
      <c r="G1375" s="19">
        <v>1</v>
      </c>
      <c r="H1375" s="19" t="s">
        <v>48</v>
      </c>
      <c r="I1375" s="19">
        <v>0</v>
      </c>
      <c r="J1375" s="19" t="s">
        <v>47</v>
      </c>
      <c r="K1375" s="19">
        <v>1</v>
      </c>
      <c r="L1375" s="19" t="s">
        <v>48</v>
      </c>
      <c r="M1375" s="19">
        <v>0</v>
      </c>
      <c r="N1375" s="19" t="s">
        <v>47</v>
      </c>
      <c r="O1375" s="19">
        <v>0</v>
      </c>
      <c r="P1375" s="19" t="s">
        <v>47</v>
      </c>
      <c r="Q1375" s="19">
        <v>0</v>
      </c>
      <c r="R1375" s="19" t="s">
        <v>47</v>
      </c>
      <c r="S1375" s="19">
        <v>0</v>
      </c>
      <c r="T1375" s="23" t="s">
        <v>47</v>
      </c>
    </row>
    <row r="1376" spans="1:20" x14ac:dyDescent="0.35">
      <c r="A1376" s="1" t="s">
        <v>2961</v>
      </c>
      <c r="B1376" s="20" t="s">
        <v>12</v>
      </c>
      <c r="C1376" s="18" t="s">
        <v>47</v>
      </c>
      <c r="D1376" s="18" t="s">
        <v>2775</v>
      </c>
      <c r="E1376" s="18">
        <v>1</v>
      </c>
      <c r="F1376" s="18" t="s">
        <v>48</v>
      </c>
      <c r="G1376" s="18">
        <v>1</v>
      </c>
      <c r="H1376" s="18" t="s">
        <v>48</v>
      </c>
      <c r="I1376" s="18">
        <v>0</v>
      </c>
      <c r="J1376" s="18" t="s">
        <v>47</v>
      </c>
      <c r="K1376" s="18">
        <v>1</v>
      </c>
      <c r="L1376" s="18" t="s">
        <v>48</v>
      </c>
      <c r="M1376" s="18">
        <v>1</v>
      </c>
      <c r="N1376" s="18" t="s">
        <v>48</v>
      </c>
      <c r="O1376" s="18">
        <v>1</v>
      </c>
      <c r="P1376" s="18" t="s">
        <v>48</v>
      </c>
      <c r="Q1376" s="18">
        <v>1</v>
      </c>
      <c r="R1376" s="18" t="s">
        <v>48</v>
      </c>
      <c r="S1376" s="18">
        <v>0</v>
      </c>
      <c r="T1376" s="21" t="s">
        <v>47</v>
      </c>
    </row>
    <row r="1377" spans="1:20" x14ac:dyDescent="0.35">
      <c r="A1377" s="1" t="s">
        <v>2962</v>
      </c>
      <c r="B1377" s="22" t="s">
        <v>12</v>
      </c>
      <c r="C1377" s="19" t="s">
        <v>47</v>
      </c>
      <c r="D1377" s="19" t="s">
        <v>2776</v>
      </c>
      <c r="E1377" s="19">
        <v>1</v>
      </c>
      <c r="F1377" s="19" t="s">
        <v>55</v>
      </c>
      <c r="G1377" s="19">
        <v>1</v>
      </c>
      <c r="H1377" s="19" t="s">
        <v>45</v>
      </c>
      <c r="I1377" s="19">
        <v>1</v>
      </c>
      <c r="J1377" s="19" t="s">
        <v>48</v>
      </c>
      <c r="K1377" s="19">
        <v>0</v>
      </c>
      <c r="L1377" s="19" t="s">
        <v>47</v>
      </c>
      <c r="M1377" s="19">
        <v>0</v>
      </c>
      <c r="N1377" s="19" t="s">
        <v>47</v>
      </c>
      <c r="O1377" s="19">
        <v>1</v>
      </c>
      <c r="P1377" s="19" t="s">
        <v>48</v>
      </c>
      <c r="Q1377" s="19">
        <v>1</v>
      </c>
      <c r="R1377" s="19" t="s">
        <v>45</v>
      </c>
      <c r="S1377" s="19">
        <v>1</v>
      </c>
      <c r="T1377" s="23" t="s">
        <v>45</v>
      </c>
    </row>
    <row r="1378" spans="1:20" x14ac:dyDescent="0.35">
      <c r="A1378" s="1" t="s">
        <v>2963</v>
      </c>
      <c r="B1378" s="20" t="s">
        <v>12</v>
      </c>
      <c r="C1378" s="18" t="s">
        <v>47</v>
      </c>
      <c r="D1378" s="18" t="s">
        <v>2777</v>
      </c>
      <c r="E1378" s="18">
        <v>1</v>
      </c>
      <c r="F1378" s="18" t="s">
        <v>55</v>
      </c>
      <c r="G1378" s="18">
        <v>1</v>
      </c>
      <c r="H1378" s="18" t="s">
        <v>48</v>
      </c>
      <c r="I1378" s="18">
        <v>0</v>
      </c>
      <c r="J1378" s="18" t="s">
        <v>47</v>
      </c>
      <c r="K1378" s="18">
        <v>1</v>
      </c>
      <c r="L1378" s="18" t="s">
        <v>48</v>
      </c>
      <c r="M1378" s="18">
        <v>0</v>
      </c>
      <c r="N1378" s="18" t="s">
        <v>47</v>
      </c>
      <c r="O1378" s="18">
        <v>0</v>
      </c>
      <c r="P1378" s="18" t="s">
        <v>47</v>
      </c>
      <c r="Q1378" s="18">
        <v>1</v>
      </c>
      <c r="R1378" s="18" t="s">
        <v>48</v>
      </c>
      <c r="S1378" s="18">
        <v>0</v>
      </c>
      <c r="T1378" s="21" t="s">
        <v>47</v>
      </c>
    </row>
    <row r="1379" spans="1:20" x14ac:dyDescent="0.35">
      <c r="A1379" s="1" t="s">
        <v>2964</v>
      </c>
      <c r="B1379" s="22" t="s">
        <v>12</v>
      </c>
      <c r="C1379" s="19" t="s">
        <v>47</v>
      </c>
      <c r="D1379" s="19" t="s">
        <v>2678</v>
      </c>
      <c r="E1379" s="19">
        <v>1</v>
      </c>
      <c r="F1379" s="19" t="s">
        <v>45</v>
      </c>
      <c r="G1379" s="19">
        <v>1</v>
      </c>
      <c r="H1379" s="19" t="s">
        <v>48</v>
      </c>
      <c r="I1379" s="19">
        <v>1</v>
      </c>
      <c r="J1379" s="19" t="s">
        <v>48</v>
      </c>
      <c r="K1379" s="19">
        <v>0</v>
      </c>
      <c r="L1379" s="19" t="s">
        <v>47</v>
      </c>
      <c r="M1379" s="19">
        <v>0</v>
      </c>
      <c r="N1379" s="19" t="s">
        <v>47</v>
      </c>
      <c r="O1379" s="19">
        <v>1</v>
      </c>
      <c r="P1379" s="19" t="s">
        <v>48</v>
      </c>
      <c r="Q1379" s="19">
        <v>1</v>
      </c>
      <c r="R1379" s="19" t="s">
        <v>45</v>
      </c>
      <c r="S1379" s="19">
        <v>0</v>
      </c>
      <c r="T1379" s="23" t="s">
        <v>47</v>
      </c>
    </row>
    <row r="1380" spans="1:20" x14ac:dyDescent="0.35">
      <c r="A1380" s="1" t="s">
        <v>2965</v>
      </c>
      <c r="B1380" s="20" t="s">
        <v>12</v>
      </c>
      <c r="C1380" s="18" t="s">
        <v>47</v>
      </c>
      <c r="D1380" s="18" t="s">
        <v>2679</v>
      </c>
      <c r="E1380" s="18">
        <v>1</v>
      </c>
      <c r="F1380" s="18" t="s">
        <v>45</v>
      </c>
      <c r="G1380" s="18">
        <v>0</v>
      </c>
      <c r="H1380" s="18" t="s">
        <v>47</v>
      </c>
      <c r="I1380" s="18">
        <v>0</v>
      </c>
      <c r="J1380" s="18" t="s">
        <v>47</v>
      </c>
      <c r="K1380" s="18">
        <v>0</v>
      </c>
      <c r="L1380" s="18" t="s">
        <v>47</v>
      </c>
      <c r="M1380" s="18">
        <v>0</v>
      </c>
      <c r="N1380" s="18" t="s">
        <v>47</v>
      </c>
      <c r="O1380" s="18">
        <v>0</v>
      </c>
      <c r="P1380" s="18" t="s">
        <v>47</v>
      </c>
      <c r="Q1380" s="18">
        <v>1</v>
      </c>
      <c r="R1380" s="18" t="s">
        <v>45</v>
      </c>
      <c r="S1380" s="18">
        <v>1</v>
      </c>
      <c r="T1380" s="21" t="s">
        <v>48</v>
      </c>
    </row>
    <row r="1381" spans="1:20" x14ac:dyDescent="0.35">
      <c r="A1381" s="1" t="s">
        <v>2966</v>
      </c>
      <c r="B1381" s="22" t="s">
        <v>12</v>
      </c>
      <c r="C1381" s="19" t="s">
        <v>47</v>
      </c>
      <c r="D1381" s="19" t="s">
        <v>2778</v>
      </c>
      <c r="E1381" s="19">
        <v>1</v>
      </c>
      <c r="F1381" s="19" t="s">
        <v>45</v>
      </c>
      <c r="G1381" s="19">
        <v>0</v>
      </c>
      <c r="H1381" s="19" t="s">
        <v>47</v>
      </c>
      <c r="I1381" s="19">
        <v>0</v>
      </c>
      <c r="J1381" s="19" t="s">
        <v>47</v>
      </c>
      <c r="K1381" s="19">
        <v>0</v>
      </c>
      <c r="L1381" s="19" t="s">
        <v>47</v>
      </c>
      <c r="M1381" s="19">
        <v>0</v>
      </c>
      <c r="N1381" s="19" t="s">
        <v>47</v>
      </c>
      <c r="O1381" s="19">
        <v>1</v>
      </c>
      <c r="P1381" s="19" t="s">
        <v>48</v>
      </c>
      <c r="Q1381" s="19">
        <v>0</v>
      </c>
      <c r="R1381" s="19" t="s">
        <v>47</v>
      </c>
      <c r="S1381" s="19">
        <v>0</v>
      </c>
      <c r="T1381" s="23" t="s">
        <v>47</v>
      </c>
    </row>
    <row r="1382" spans="1:20" x14ac:dyDescent="0.35">
      <c r="A1382" s="1" t="s">
        <v>2967</v>
      </c>
      <c r="B1382" s="20" t="s">
        <v>12</v>
      </c>
      <c r="C1382" s="18" t="s">
        <v>47</v>
      </c>
      <c r="D1382" s="18" t="s">
        <v>2680</v>
      </c>
      <c r="E1382" s="18">
        <v>1</v>
      </c>
      <c r="F1382" s="18" t="s">
        <v>48</v>
      </c>
      <c r="G1382" s="18">
        <v>1</v>
      </c>
      <c r="H1382" s="18" t="s">
        <v>48</v>
      </c>
      <c r="I1382" s="18">
        <v>0</v>
      </c>
      <c r="J1382" s="18" t="s">
        <v>47</v>
      </c>
      <c r="K1382" s="18">
        <v>1</v>
      </c>
      <c r="L1382" s="18" t="s">
        <v>45</v>
      </c>
      <c r="M1382" s="18">
        <v>0</v>
      </c>
      <c r="N1382" s="18" t="s">
        <v>47</v>
      </c>
      <c r="O1382" s="18">
        <v>0</v>
      </c>
      <c r="P1382" s="18" t="s">
        <v>47</v>
      </c>
      <c r="Q1382" s="18">
        <v>0</v>
      </c>
      <c r="R1382" s="18" t="s">
        <v>47</v>
      </c>
      <c r="S1382" s="18">
        <v>1</v>
      </c>
      <c r="T1382" s="21" t="s">
        <v>45</v>
      </c>
    </row>
    <row r="1383" spans="1:20" x14ac:dyDescent="0.35">
      <c r="A1383" s="1" t="s">
        <v>2968</v>
      </c>
      <c r="B1383" s="22" t="s">
        <v>12</v>
      </c>
      <c r="C1383" s="19" t="s">
        <v>47</v>
      </c>
      <c r="D1383" s="19" t="s">
        <v>2779</v>
      </c>
      <c r="E1383" s="19">
        <v>1</v>
      </c>
      <c r="F1383" s="19" t="s">
        <v>48</v>
      </c>
      <c r="G1383" s="19">
        <v>1</v>
      </c>
      <c r="H1383" s="19" t="s">
        <v>48</v>
      </c>
      <c r="I1383" s="19">
        <v>0</v>
      </c>
      <c r="J1383" s="19" t="s">
        <v>47</v>
      </c>
      <c r="K1383" s="19">
        <v>0</v>
      </c>
      <c r="L1383" s="19" t="s">
        <v>47</v>
      </c>
      <c r="M1383" s="19">
        <v>0</v>
      </c>
      <c r="N1383" s="19" t="s">
        <v>47</v>
      </c>
      <c r="O1383" s="19">
        <v>0</v>
      </c>
      <c r="P1383" s="19" t="s">
        <v>47</v>
      </c>
      <c r="Q1383" s="19">
        <v>0</v>
      </c>
      <c r="R1383" s="19" t="s">
        <v>47</v>
      </c>
      <c r="S1383" s="19">
        <v>0</v>
      </c>
      <c r="T1383" s="23" t="s">
        <v>47</v>
      </c>
    </row>
    <row r="1384" spans="1:20" x14ac:dyDescent="0.35">
      <c r="A1384" s="1" t="s">
        <v>2969</v>
      </c>
      <c r="B1384" s="20" t="s">
        <v>12</v>
      </c>
      <c r="C1384" s="18" t="s">
        <v>47</v>
      </c>
      <c r="D1384" s="18" t="s">
        <v>2780</v>
      </c>
      <c r="E1384" s="18">
        <v>1</v>
      </c>
      <c r="F1384" s="18" t="s">
        <v>48</v>
      </c>
      <c r="G1384" s="18">
        <v>0</v>
      </c>
      <c r="H1384" s="18" t="s">
        <v>47</v>
      </c>
      <c r="I1384" s="18">
        <v>0</v>
      </c>
      <c r="J1384" s="18" t="s">
        <v>47</v>
      </c>
      <c r="K1384" s="18">
        <v>0</v>
      </c>
      <c r="L1384" s="18" t="s">
        <v>47</v>
      </c>
      <c r="M1384" s="18">
        <v>1</v>
      </c>
      <c r="N1384" s="18" t="s">
        <v>48</v>
      </c>
      <c r="O1384" s="18">
        <v>0</v>
      </c>
      <c r="P1384" s="18" t="s">
        <v>47</v>
      </c>
      <c r="Q1384" s="18">
        <v>0</v>
      </c>
      <c r="R1384" s="18" t="s">
        <v>47</v>
      </c>
      <c r="S1384" s="18">
        <v>0</v>
      </c>
      <c r="T1384" s="21" t="s">
        <v>47</v>
      </c>
    </row>
    <row r="1385" spans="1:20" x14ac:dyDescent="0.35">
      <c r="A1385" s="1" t="s">
        <v>2970</v>
      </c>
      <c r="B1385" s="22" t="s">
        <v>12</v>
      </c>
      <c r="C1385" s="19" t="s">
        <v>47</v>
      </c>
      <c r="D1385" s="19" t="s">
        <v>2781</v>
      </c>
      <c r="E1385" s="19">
        <v>1</v>
      </c>
      <c r="F1385" s="19" t="s">
        <v>48</v>
      </c>
      <c r="G1385" s="19">
        <v>1</v>
      </c>
      <c r="H1385" s="19" t="s">
        <v>48</v>
      </c>
      <c r="I1385" s="19">
        <v>1</v>
      </c>
      <c r="J1385" s="19" t="s">
        <v>48</v>
      </c>
      <c r="K1385" s="19">
        <v>0</v>
      </c>
      <c r="L1385" s="19" t="s">
        <v>47</v>
      </c>
      <c r="M1385" s="19">
        <v>0</v>
      </c>
      <c r="N1385" s="19" t="s">
        <v>47</v>
      </c>
      <c r="O1385" s="19">
        <v>1</v>
      </c>
      <c r="P1385" s="19" t="s">
        <v>48</v>
      </c>
      <c r="Q1385" s="19">
        <v>1</v>
      </c>
      <c r="R1385" s="19" t="s">
        <v>45</v>
      </c>
      <c r="S1385" s="19">
        <v>0</v>
      </c>
      <c r="T1385" s="23" t="s">
        <v>47</v>
      </c>
    </row>
    <row r="1386" spans="1:20" x14ac:dyDescent="0.35">
      <c r="A1386" s="1" t="s">
        <v>2971</v>
      </c>
      <c r="B1386" s="20" t="s">
        <v>12</v>
      </c>
      <c r="C1386" s="18" t="s">
        <v>47</v>
      </c>
      <c r="D1386" s="18" t="s">
        <v>2782</v>
      </c>
      <c r="E1386" s="18">
        <v>1</v>
      </c>
      <c r="F1386" s="18" t="s">
        <v>48</v>
      </c>
      <c r="G1386" s="18">
        <v>0</v>
      </c>
      <c r="H1386" s="18" t="s">
        <v>47</v>
      </c>
      <c r="I1386" s="18">
        <v>0</v>
      </c>
      <c r="J1386" s="18" t="s">
        <v>47</v>
      </c>
      <c r="K1386" s="18">
        <v>0</v>
      </c>
      <c r="L1386" s="18" t="s">
        <v>47</v>
      </c>
      <c r="M1386" s="18">
        <v>1</v>
      </c>
      <c r="N1386" s="18" t="s">
        <v>48</v>
      </c>
      <c r="O1386" s="18">
        <v>0</v>
      </c>
      <c r="P1386" s="18" t="s">
        <v>47</v>
      </c>
      <c r="Q1386" s="18">
        <v>0</v>
      </c>
      <c r="R1386" s="18" t="s">
        <v>47</v>
      </c>
      <c r="S1386" s="18">
        <v>0</v>
      </c>
      <c r="T1386" s="21" t="s">
        <v>47</v>
      </c>
    </row>
    <row r="1387" spans="1:20" x14ac:dyDescent="0.35">
      <c r="A1387" s="1" t="s">
        <v>2972</v>
      </c>
      <c r="B1387" s="22" t="s">
        <v>12</v>
      </c>
      <c r="C1387" s="19" t="s">
        <v>47</v>
      </c>
      <c r="D1387" s="19" t="s">
        <v>2681</v>
      </c>
      <c r="E1387" s="19">
        <v>1</v>
      </c>
      <c r="F1387" s="19" t="s">
        <v>48</v>
      </c>
      <c r="G1387" s="19">
        <v>0</v>
      </c>
      <c r="H1387" s="19" t="s">
        <v>47</v>
      </c>
      <c r="I1387" s="19">
        <v>0</v>
      </c>
      <c r="J1387" s="19" t="s">
        <v>47</v>
      </c>
      <c r="K1387" s="19">
        <v>0</v>
      </c>
      <c r="L1387" s="19" t="s">
        <v>47</v>
      </c>
      <c r="M1387" s="19">
        <v>0</v>
      </c>
      <c r="N1387" s="19" t="s">
        <v>47</v>
      </c>
      <c r="O1387" s="19">
        <v>0</v>
      </c>
      <c r="P1387" s="19" t="s">
        <v>47</v>
      </c>
      <c r="Q1387" s="19">
        <v>1</v>
      </c>
      <c r="R1387" s="19" t="s">
        <v>45</v>
      </c>
      <c r="S1387" s="19">
        <v>0</v>
      </c>
      <c r="T1387" s="23" t="s">
        <v>47</v>
      </c>
    </row>
    <row r="1388" spans="1:20" x14ac:dyDescent="0.35">
      <c r="A1388" s="1" t="s">
        <v>2973</v>
      </c>
      <c r="B1388" s="20" t="s">
        <v>12</v>
      </c>
      <c r="C1388" s="18" t="s">
        <v>47</v>
      </c>
      <c r="D1388" s="18" t="s">
        <v>2682</v>
      </c>
      <c r="E1388" s="18">
        <v>0</v>
      </c>
      <c r="F1388" s="18" t="s">
        <v>47</v>
      </c>
      <c r="G1388" s="18">
        <v>1</v>
      </c>
      <c r="H1388" s="18" t="s">
        <v>48</v>
      </c>
      <c r="I1388" s="18">
        <v>1</v>
      </c>
      <c r="J1388" s="18" t="s">
        <v>48</v>
      </c>
      <c r="K1388" s="18">
        <v>0</v>
      </c>
      <c r="L1388" s="18" t="s">
        <v>47</v>
      </c>
      <c r="M1388" s="18">
        <v>0</v>
      </c>
      <c r="N1388" s="18" t="s">
        <v>47</v>
      </c>
      <c r="O1388" s="18">
        <v>0</v>
      </c>
      <c r="P1388" s="18" t="s">
        <v>47</v>
      </c>
      <c r="Q1388" s="18">
        <v>0</v>
      </c>
      <c r="R1388" s="18" t="s">
        <v>47</v>
      </c>
      <c r="S1388" s="18">
        <v>0</v>
      </c>
      <c r="T1388" s="21" t="s">
        <v>47</v>
      </c>
    </row>
    <row r="1389" spans="1:20" x14ac:dyDescent="0.35">
      <c r="A1389" s="1" t="s">
        <v>2974</v>
      </c>
      <c r="B1389" s="22" t="s">
        <v>12</v>
      </c>
      <c r="C1389" s="19" t="s">
        <v>47</v>
      </c>
      <c r="D1389" s="19" t="s">
        <v>2783</v>
      </c>
      <c r="E1389" s="19">
        <v>1</v>
      </c>
      <c r="F1389" s="19" t="s">
        <v>48</v>
      </c>
      <c r="G1389" s="19">
        <v>1</v>
      </c>
      <c r="H1389" s="19" t="s">
        <v>48</v>
      </c>
      <c r="I1389" s="19">
        <v>0</v>
      </c>
      <c r="J1389" s="19" t="s">
        <v>47</v>
      </c>
      <c r="K1389" s="19">
        <v>0</v>
      </c>
      <c r="L1389" s="19" t="s">
        <v>47</v>
      </c>
      <c r="M1389" s="19">
        <v>0</v>
      </c>
      <c r="N1389" s="19" t="s">
        <v>47</v>
      </c>
      <c r="O1389" s="19">
        <v>0</v>
      </c>
      <c r="P1389" s="19" t="s">
        <v>47</v>
      </c>
      <c r="Q1389" s="19">
        <v>0</v>
      </c>
      <c r="R1389" s="19" t="s">
        <v>47</v>
      </c>
      <c r="S1389" s="19">
        <v>0</v>
      </c>
      <c r="T1389" s="23" t="s">
        <v>47</v>
      </c>
    </row>
    <row r="1390" spans="1:20" x14ac:dyDescent="0.35">
      <c r="A1390" s="1" t="s">
        <v>2975</v>
      </c>
      <c r="B1390" s="20" t="s">
        <v>12</v>
      </c>
      <c r="C1390" s="18" t="s">
        <v>47</v>
      </c>
      <c r="D1390" s="18" t="s">
        <v>2784</v>
      </c>
      <c r="E1390" s="18">
        <v>1</v>
      </c>
      <c r="F1390" s="18" t="s">
        <v>48</v>
      </c>
      <c r="G1390" s="18">
        <v>1</v>
      </c>
      <c r="H1390" s="18" t="s">
        <v>48</v>
      </c>
      <c r="I1390" s="18">
        <v>0</v>
      </c>
      <c r="J1390" s="18" t="s">
        <v>47</v>
      </c>
      <c r="K1390" s="18">
        <v>1</v>
      </c>
      <c r="L1390" s="18" t="s">
        <v>48</v>
      </c>
      <c r="M1390" s="18">
        <v>0</v>
      </c>
      <c r="N1390" s="18" t="s">
        <v>47</v>
      </c>
      <c r="O1390" s="18">
        <v>0</v>
      </c>
      <c r="P1390" s="18" t="s">
        <v>47</v>
      </c>
      <c r="Q1390" s="18">
        <v>1</v>
      </c>
      <c r="R1390" s="18" t="s">
        <v>48</v>
      </c>
      <c r="S1390" s="18">
        <v>0</v>
      </c>
      <c r="T1390" s="21" t="s">
        <v>47</v>
      </c>
    </row>
    <row r="1391" spans="1:20" x14ac:dyDescent="0.35">
      <c r="A1391" s="1" t="s">
        <v>2976</v>
      </c>
      <c r="B1391" s="22" t="s">
        <v>12</v>
      </c>
      <c r="C1391" s="19" t="s">
        <v>47</v>
      </c>
      <c r="D1391" s="19" t="s">
        <v>2683</v>
      </c>
      <c r="E1391" s="19">
        <v>1</v>
      </c>
      <c r="F1391" s="19" t="s">
        <v>48</v>
      </c>
      <c r="G1391" s="19">
        <v>1</v>
      </c>
      <c r="H1391" s="19" t="s">
        <v>48</v>
      </c>
      <c r="I1391" s="19">
        <v>0</v>
      </c>
      <c r="J1391" s="19" t="s">
        <v>47</v>
      </c>
      <c r="K1391" s="19">
        <v>0</v>
      </c>
      <c r="L1391" s="19" t="s">
        <v>47</v>
      </c>
      <c r="M1391" s="19">
        <v>0</v>
      </c>
      <c r="N1391" s="19" t="s">
        <v>47</v>
      </c>
      <c r="O1391" s="19">
        <v>1</v>
      </c>
      <c r="P1391" s="19" t="s">
        <v>48</v>
      </c>
      <c r="Q1391" s="19">
        <v>0</v>
      </c>
      <c r="R1391" s="19" t="s">
        <v>47</v>
      </c>
      <c r="S1391" s="19">
        <v>0</v>
      </c>
      <c r="T1391" s="23" t="s">
        <v>47</v>
      </c>
    </row>
    <row r="1392" spans="1:20" x14ac:dyDescent="0.35">
      <c r="A1392" s="1" t="s">
        <v>2977</v>
      </c>
      <c r="B1392" s="20" t="s">
        <v>12</v>
      </c>
      <c r="C1392" s="18" t="s">
        <v>47</v>
      </c>
      <c r="D1392" s="18" t="s">
        <v>2785</v>
      </c>
      <c r="E1392" s="18">
        <v>1</v>
      </c>
      <c r="F1392" s="18" t="s">
        <v>45</v>
      </c>
      <c r="G1392" s="18">
        <v>1</v>
      </c>
      <c r="H1392" s="18" t="s">
        <v>48</v>
      </c>
      <c r="I1392" s="18">
        <v>1</v>
      </c>
      <c r="J1392" s="18" t="s">
        <v>55</v>
      </c>
      <c r="K1392" s="18">
        <v>0</v>
      </c>
      <c r="L1392" s="18" t="s">
        <v>47</v>
      </c>
      <c r="M1392" s="18">
        <v>0</v>
      </c>
      <c r="N1392" s="18" t="s">
        <v>47</v>
      </c>
      <c r="O1392" s="18">
        <v>1</v>
      </c>
      <c r="P1392" s="18" t="s">
        <v>48</v>
      </c>
      <c r="Q1392" s="18">
        <v>1</v>
      </c>
      <c r="R1392" s="18" t="s">
        <v>45</v>
      </c>
      <c r="S1392" s="18">
        <v>0</v>
      </c>
      <c r="T1392" s="21" t="s">
        <v>47</v>
      </c>
    </row>
    <row r="1393" spans="1:20" x14ac:dyDescent="0.35">
      <c r="A1393" s="1" t="s">
        <v>2978</v>
      </c>
      <c r="B1393" s="22" t="s">
        <v>12</v>
      </c>
      <c r="C1393" s="19" t="s">
        <v>47</v>
      </c>
      <c r="D1393" s="19" t="s">
        <v>2684</v>
      </c>
      <c r="E1393" s="19">
        <v>1</v>
      </c>
      <c r="F1393" s="19" t="s">
        <v>48</v>
      </c>
      <c r="G1393" s="19">
        <v>0</v>
      </c>
      <c r="H1393" s="19" t="s">
        <v>47</v>
      </c>
      <c r="I1393" s="19">
        <v>0</v>
      </c>
      <c r="J1393" s="19" t="s">
        <v>47</v>
      </c>
      <c r="K1393" s="19">
        <v>1</v>
      </c>
      <c r="L1393" s="19" t="s">
        <v>48</v>
      </c>
      <c r="M1393" s="19">
        <v>0</v>
      </c>
      <c r="N1393" s="19" t="s">
        <v>47</v>
      </c>
      <c r="O1393" s="19">
        <v>1</v>
      </c>
      <c r="P1393" s="19" t="s">
        <v>48</v>
      </c>
      <c r="Q1393" s="19">
        <v>1</v>
      </c>
      <c r="R1393" s="19" t="s">
        <v>48</v>
      </c>
      <c r="S1393" s="19">
        <v>0</v>
      </c>
      <c r="T1393" s="23" t="s">
        <v>47</v>
      </c>
    </row>
    <row r="1394" spans="1:20" x14ac:dyDescent="0.35">
      <c r="A1394" s="1" t="s">
        <v>2979</v>
      </c>
      <c r="B1394" s="20" t="s">
        <v>12</v>
      </c>
      <c r="C1394" s="18" t="s">
        <v>47</v>
      </c>
      <c r="D1394" s="18" t="s">
        <v>2685</v>
      </c>
      <c r="E1394" s="18">
        <v>1</v>
      </c>
      <c r="F1394" s="18" t="s">
        <v>48</v>
      </c>
      <c r="G1394" s="18">
        <v>1</v>
      </c>
      <c r="H1394" s="18" t="s">
        <v>48</v>
      </c>
      <c r="I1394" s="18">
        <v>1</v>
      </c>
      <c r="J1394" s="18" t="s">
        <v>48</v>
      </c>
      <c r="K1394" s="18">
        <v>0</v>
      </c>
      <c r="L1394" s="18" t="s">
        <v>47</v>
      </c>
      <c r="M1394" s="18">
        <v>0</v>
      </c>
      <c r="N1394" s="18" t="s">
        <v>47</v>
      </c>
      <c r="O1394" s="18">
        <v>1</v>
      </c>
      <c r="P1394" s="18" t="s">
        <v>48</v>
      </c>
      <c r="Q1394" s="18">
        <v>1</v>
      </c>
      <c r="R1394" s="18" t="s">
        <v>45</v>
      </c>
      <c r="S1394" s="18">
        <v>1</v>
      </c>
      <c r="T1394" s="21" t="s">
        <v>45</v>
      </c>
    </row>
    <row r="1395" spans="1:20" x14ac:dyDescent="0.35">
      <c r="A1395" s="1" t="s">
        <v>2980</v>
      </c>
      <c r="B1395" s="22" t="s">
        <v>12</v>
      </c>
      <c r="C1395" s="19" t="s">
        <v>47</v>
      </c>
      <c r="D1395" s="19" t="s">
        <v>2686</v>
      </c>
      <c r="E1395" s="19">
        <v>1</v>
      </c>
      <c r="F1395" s="19" t="s">
        <v>48</v>
      </c>
      <c r="G1395" s="19">
        <v>1</v>
      </c>
      <c r="H1395" s="19" t="s">
        <v>48</v>
      </c>
      <c r="I1395" s="19">
        <v>0</v>
      </c>
      <c r="J1395" s="19" t="s">
        <v>47</v>
      </c>
      <c r="K1395" s="19">
        <v>0</v>
      </c>
      <c r="L1395" s="19" t="s">
        <v>47</v>
      </c>
      <c r="M1395" s="19">
        <v>0</v>
      </c>
      <c r="N1395" s="19" t="s">
        <v>47</v>
      </c>
      <c r="O1395" s="19">
        <v>1</v>
      </c>
      <c r="P1395" s="19" t="s">
        <v>48</v>
      </c>
      <c r="Q1395" s="19">
        <v>1</v>
      </c>
      <c r="R1395" s="19" t="s">
        <v>48</v>
      </c>
      <c r="S1395" s="19">
        <v>0</v>
      </c>
      <c r="T1395" s="23" t="s">
        <v>47</v>
      </c>
    </row>
    <row r="1396" spans="1:20" x14ac:dyDescent="0.35">
      <c r="A1396" s="1" t="s">
        <v>2981</v>
      </c>
      <c r="B1396" s="20" t="s">
        <v>12</v>
      </c>
      <c r="C1396" s="18" t="s">
        <v>47</v>
      </c>
      <c r="D1396" s="18" t="s">
        <v>2687</v>
      </c>
      <c r="E1396" s="18">
        <v>1</v>
      </c>
      <c r="F1396" s="18" t="s">
        <v>48</v>
      </c>
      <c r="G1396" s="18">
        <v>1</v>
      </c>
      <c r="H1396" s="18" t="s">
        <v>45</v>
      </c>
      <c r="I1396" s="18">
        <v>0</v>
      </c>
      <c r="J1396" s="18" t="s">
        <v>47</v>
      </c>
      <c r="K1396" s="18">
        <v>0</v>
      </c>
      <c r="L1396" s="18" t="s">
        <v>47</v>
      </c>
      <c r="M1396" s="18">
        <v>0</v>
      </c>
      <c r="N1396" s="18" t="s">
        <v>47</v>
      </c>
      <c r="O1396" s="18">
        <v>0</v>
      </c>
      <c r="P1396" s="18" t="s">
        <v>47</v>
      </c>
      <c r="Q1396" s="18">
        <v>0</v>
      </c>
      <c r="R1396" s="18" t="s">
        <v>47</v>
      </c>
      <c r="S1396" s="18">
        <v>0</v>
      </c>
      <c r="T1396" s="21" t="s">
        <v>47</v>
      </c>
    </row>
    <row r="1397" spans="1:20" x14ac:dyDescent="0.35">
      <c r="A1397" s="1" t="s">
        <v>2982</v>
      </c>
      <c r="B1397" s="22" t="s">
        <v>12</v>
      </c>
      <c r="C1397" s="19" t="s">
        <v>47</v>
      </c>
      <c r="D1397" s="19" t="s">
        <v>2687</v>
      </c>
      <c r="E1397" s="19">
        <v>1</v>
      </c>
      <c r="F1397" s="19" t="s">
        <v>48</v>
      </c>
      <c r="G1397" s="19">
        <v>1</v>
      </c>
      <c r="H1397" s="19" t="s">
        <v>45</v>
      </c>
      <c r="I1397" s="19">
        <v>0</v>
      </c>
      <c r="J1397" s="19" t="s">
        <v>47</v>
      </c>
      <c r="K1397" s="19">
        <v>0</v>
      </c>
      <c r="L1397" s="19" t="s">
        <v>47</v>
      </c>
      <c r="M1397" s="19">
        <v>1</v>
      </c>
      <c r="N1397" s="19" t="s">
        <v>48</v>
      </c>
      <c r="O1397" s="19">
        <v>0</v>
      </c>
      <c r="P1397" s="19" t="s">
        <v>47</v>
      </c>
      <c r="Q1397" s="19">
        <v>0</v>
      </c>
      <c r="R1397" s="19" t="s">
        <v>47</v>
      </c>
      <c r="S1397" s="19">
        <v>0</v>
      </c>
      <c r="T1397" s="23" t="s">
        <v>47</v>
      </c>
    </row>
    <row r="1398" spans="1:20" x14ac:dyDescent="0.35">
      <c r="A1398" s="1" t="s">
        <v>2983</v>
      </c>
      <c r="B1398" s="20" t="s">
        <v>12</v>
      </c>
      <c r="C1398" s="18" t="s">
        <v>47</v>
      </c>
      <c r="D1398" s="18" t="s">
        <v>2688</v>
      </c>
      <c r="E1398" s="18">
        <v>1</v>
      </c>
      <c r="F1398" s="18" t="s">
        <v>55</v>
      </c>
      <c r="G1398" s="18">
        <v>1</v>
      </c>
      <c r="H1398" s="18" t="s">
        <v>48</v>
      </c>
      <c r="I1398" s="18">
        <v>0</v>
      </c>
      <c r="J1398" s="18" t="s">
        <v>47</v>
      </c>
      <c r="K1398" s="18">
        <v>0</v>
      </c>
      <c r="L1398" s="18" t="s">
        <v>47</v>
      </c>
      <c r="M1398" s="18">
        <v>0</v>
      </c>
      <c r="N1398" s="18" t="s">
        <v>47</v>
      </c>
      <c r="O1398" s="18">
        <v>0</v>
      </c>
      <c r="P1398" s="18" t="s">
        <v>47</v>
      </c>
      <c r="Q1398" s="18">
        <v>1</v>
      </c>
      <c r="R1398" s="18" t="s">
        <v>45</v>
      </c>
      <c r="S1398" s="18">
        <v>0</v>
      </c>
      <c r="T1398" s="21" t="s">
        <v>47</v>
      </c>
    </row>
    <row r="1399" spans="1:20" x14ac:dyDescent="0.35">
      <c r="A1399" s="1" t="s">
        <v>2984</v>
      </c>
      <c r="B1399" s="22" t="s">
        <v>12</v>
      </c>
      <c r="C1399" s="19" t="s">
        <v>47</v>
      </c>
      <c r="D1399" s="19" t="s">
        <v>2689</v>
      </c>
      <c r="E1399" s="19">
        <v>1</v>
      </c>
      <c r="F1399" s="19" t="s">
        <v>48</v>
      </c>
      <c r="G1399" s="19">
        <v>1</v>
      </c>
      <c r="H1399" s="19" t="s">
        <v>45</v>
      </c>
      <c r="I1399" s="19">
        <v>0</v>
      </c>
      <c r="J1399" s="19" t="s">
        <v>47</v>
      </c>
      <c r="K1399" s="19">
        <v>0</v>
      </c>
      <c r="L1399" s="19" t="s">
        <v>47</v>
      </c>
      <c r="M1399" s="19">
        <v>0</v>
      </c>
      <c r="N1399" s="19" t="s">
        <v>47</v>
      </c>
      <c r="O1399" s="19">
        <v>0</v>
      </c>
      <c r="P1399" s="19" t="s">
        <v>47</v>
      </c>
      <c r="Q1399" s="19">
        <v>1</v>
      </c>
      <c r="R1399" s="19" t="s">
        <v>48</v>
      </c>
      <c r="S1399" s="19">
        <v>0</v>
      </c>
      <c r="T1399" s="23" t="s">
        <v>47</v>
      </c>
    </row>
    <row r="1400" spans="1:20" x14ac:dyDescent="0.35">
      <c r="A1400" s="1" t="s">
        <v>2985</v>
      </c>
      <c r="B1400" s="20" t="s">
        <v>12</v>
      </c>
      <c r="C1400" s="18" t="s">
        <v>47</v>
      </c>
      <c r="D1400" s="18" t="s">
        <v>2690</v>
      </c>
      <c r="E1400" s="18">
        <v>0</v>
      </c>
      <c r="F1400" s="18" t="s">
        <v>47</v>
      </c>
      <c r="G1400" s="18">
        <v>1</v>
      </c>
      <c r="H1400" s="18" t="s">
        <v>48</v>
      </c>
      <c r="I1400" s="18">
        <v>0</v>
      </c>
      <c r="J1400" s="18" t="s">
        <v>47</v>
      </c>
      <c r="K1400" s="18">
        <v>0</v>
      </c>
      <c r="L1400" s="18" t="s">
        <v>47</v>
      </c>
      <c r="M1400" s="18">
        <v>0</v>
      </c>
      <c r="N1400" s="18" t="s">
        <v>47</v>
      </c>
      <c r="O1400" s="18">
        <v>0</v>
      </c>
      <c r="P1400" s="18" t="s">
        <v>47</v>
      </c>
      <c r="Q1400" s="18">
        <v>1</v>
      </c>
      <c r="R1400" s="18" t="s">
        <v>48</v>
      </c>
      <c r="S1400" s="18">
        <v>0</v>
      </c>
      <c r="T1400" s="21" t="s">
        <v>47</v>
      </c>
    </row>
    <row r="1401" spans="1:20" x14ac:dyDescent="0.35">
      <c r="A1401" s="1" t="s">
        <v>2986</v>
      </c>
      <c r="B1401" s="22" t="s">
        <v>12</v>
      </c>
      <c r="C1401" s="19" t="s">
        <v>47</v>
      </c>
      <c r="D1401" s="19" t="s">
        <v>2691</v>
      </c>
      <c r="E1401" s="19">
        <v>1</v>
      </c>
      <c r="F1401" s="19" t="s">
        <v>55</v>
      </c>
      <c r="G1401" s="19">
        <v>1</v>
      </c>
      <c r="H1401" s="19" t="s">
        <v>45</v>
      </c>
      <c r="I1401" s="19">
        <v>0</v>
      </c>
      <c r="J1401" s="19" t="s">
        <v>47</v>
      </c>
      <c r="K1401" s="19">
        <v>0</v>
      </c>
      <c r="L1401" s="19" t="s">
        <v>47</v>
      </c>
      <c r="M1401" s="19">
        <v>1</v>
      </c>
      <c r="N1401" s="19" t="s">
        <v>48</v>
      </c>
      <c r="O1401" s="19">
        <v>1</v>
      </c>
      <c r="P1401" s="19" t="s">
        <v>48</v>
      </c>
      <c r="Q1401" s="19">
        <v>1</v>
      </c>
      <c r="R1401" s="19" t="s">
        <v>48</v>
      </c>
      <c r="S1401" s="19">
        <v>1</v>
      </c>
      <c r="T1401" s="23" t="s">
        <v>45</v>
      </c>
    </row>
    <row r="1402" spans="1:20" x14ac:dyDescent="0.35">
      <c r="A1402" s="1" t="s">
        <v>2987</v>
      </c>
      <c r="B1402" s="20" t="s">
        <v>12</v>
      </c>
      <c r="C1402" s="18" t="s">
        <v>47</v>
      </c>
      <c r="D1402" s="18" t="s">
        <v>2692</v>
      </c>
      <c r="E1402" s="18">
        <v>1</v>
      </c>
      <c r="F1402" s="18" t="s">
        <v>45</v>
      </c>
      <c r="G1402" s="18">
        <v>1</v>
      </c>
      <c r="H1402" s="18" t="s">
        <v>48</v>
      </c>
      <c r="I1402" s="18">
        <v>0</v>
      </c>
      <c r="J1402" s="18" t="s">
        <v>47</v>
      </c>
      <c r="K1402" s="18">
        <v>0</v>
      </c>
      <c r="L1402" s="18" t="s">
        <v>47</v>
      </c>
      <c r="M1402" s="18">
        <v>0</v>
      </c>
      <c r="N1402" s="18" t="s">
        <v>47</v>
      </c>
      <c r="O1402" s="18">
        <v>0</v>
      </c>
      <c r="P1402" s="18" t="s">
        <v>47</v>
      </c>
      <c r="Q1402" s="18">
        <v>0</v>
      </c>
      <c r="R1402" s="18" t="s">
        <v>47</v>
      </c>
      <c r="S1402" s="18">
        <v>0</v>
      </c>
      <c r="T1402" s="21" t="s">
        <v>47</v>
      </c>
    </row>
    <row r="1403" spans="1:20" x14ac:dyDescent="0.35">
      <c r="A1403" s="1" t="s">
        <v>2988</v>
      </c>
      <c r="B1403" s="22" t="s">
        <v>12</v>
      </c>
      <c r="C1403" s="19" t="s">
        <v>47</v>
      </c>
      <c r="D1403" s="19" t="s">
        <v>2693</v>
      </c>
      <c r="E1403" s="19">
        <v>0</v>
      </c>
      <c r="F1403" s="19" t="s">
        <v>47</v>
      </c>
      <c r="G1403" s="19">
        <v>1</v>
      </c>
      <c r="H1403" s="19" t="s">
        <v>48</v>
      </c>
      <c r="I1403" s="19">
        <v>1</v>
      </c>
      <c r="J1403" s="19" t="s">
        <v>48</v>
      </c>
      <c r="K1403" s="19">
        <v>0</v>
      </c>
      <c r="L1403" s="19" t="s">
        <v>47</v>
      </c>
      <c r="M1403" s="19">
        <v>0</v>
      </c>
      <c r="N1403" s="19" t="s">
        <v>47</v>
      </c>
      <c r="O1403" s="19">
        <v>0</v>
      </c>
      <c r="P1403" s="19" t="s">
        <v>47</v>
      </c>
      <c r="Q1403" s="19">
        <v>0</v>
      </c>
      <c r="R1403" s="19" t="s">
        <v>47</v>
      </c>
      <c r="S1403" s="19">
        <v>0</v>
      </c>
      <c r="T1403" s="23" t="s">
        <v>47</v>
      </c>
    </row>
    <row r="1404" spans="1:20" x14ac:dyDescent="0.35">
      <c r="A1404" s="1" t="s">
        <v>2989</v>
      </c>
      <c r="B1404" s="20" t="s">
        <v>12</v>
      </c>
      <c r="C1404" s="18" t="s">
        <v>47</v>
      </c>
      <c r="D1404" s="18" t="s">
        <v>2694</v>
      </c>
      <c r="E1404" s="18">
        <v>1</v>
      </c>
      <c r="F1404" s="18" t="s">
        <v>48</v>
      </c>
      <c r="G1404" s="18">
        <v>0</v>
      </c>
      <c r="H1404" s="18" t="s">
        <v>47</v>
      </c>
      <c r="I1404" s="18">
        <v>0</v>
      </c>
      <c r="J1404" s="18" t="s">
        <v>47</v>
      </c>
      <c r="K1404" s="18">
        <v>0</v>
      </c>
      <c r="L1404" s="18" t="s">
        <v>47</v>
      </c>
      <c r="M1404" s="18">
        <v>1</v>
      </c>
      <c r="N1404" s="18" t="s">
        <v>48</v>
      </c>
      <c r="O1404" s="18">
        <v>0</v>
      </c>
      <c r="P1404" s="18" t="s">
        <v>47</v>
      </c>
      <c r="Q1404" s="18">
        <v>0</v>
      </c>
      <c r="R1404" s="18" t="s">
        <v>47</v>
      </c>
      <c r="S1404" s="18">
        <v>0</v>
      </c>
      <c r="T1404" s="21" t="s">
        <v>47</v>
      </c>
    </row>
    <row r="1405" spans="1:20" x14ac:dyDescent="0.35">
      <c r="A1405" s="1" t="s">
        <v>2990</v>
      </c>
      <c r="B1405" s="22" t="s">
        <v>12</v>
      </c>
      <c r="C1405" s="19" t="s">
        <v>47</v>
      </c>
      <c r="D1405" s="19" t="s">
        <v>2786</v>
      </c>
      <c r="E1405" s="19">
        <v>1</v>
      </c>
      <c r="F1405" s="19" t="s">
        <v>48</v>
      </c>
      <c r="G1405" s="19">
        <v>1</v>
      </c>
      <c r="H1405" s="19" t="s">
        <v>48</v>
      </c>
      <c r="I1405" s="19">
        <v>0</v>
      </c>
      <c r="J1405" s="19" t="s">
        <v>47</v>
      </c>
      <c r="K1405" s="19">
        <v>0</v>
      </c>
      <c r="L1405" s="19" t="s">
        <v>47</v>
      </c>
      <c r="M1405" s="19">
        <v>0</v>
      </c>
      <c r="N1405" s="19" t="s">
        <v>47</v>
      </c>
      <c r="O1405" s="19">
        <v>1</v>
      </c>
      <c r="P1405" s="19" t="s">
        <v>48</v>
      </c>
      <c r="Q1405" s="19">
        <v>0</v>
      </c>
      <c r="R1405" s="19" t="s">
        <v>47</v>
      </c>
      <c r="S1405" s="19">
        <v>0</v>
      </c>
      <c r="T1405" s="23" t="s">
        <v>47</v>
      </c>
    </row>
    <row r="1406" spans="1:20" x14ac:dyDescent="0.35">
      <c r="A1406" s="1" t="s">
        <v>2991</v>
      </c>
      <c r="B1406" s="20" t="s">
        <v>12</v>
      </c>
      <c r="C1406" s="18" t="s">
        <v>47</v>
      </c>
      <c r="D1406" s="18" t="s">
        <v>2787</v>
      </c>
      <c r="E1406" s="18">
        <v>1</v>
      </c>
      <c r="F1406" s="18" t="s">
        <v>48</v>
      </c>
      <c r="G1406" s="18">
        <v>1</v>
      </c>
      <c r="H1406" s="18" t="s">
        <v>48</v>
      </c>
      <c r="I1406" s="18">
        <v>0</v>
      </c>
      <c r="J1406" s="18" t="s">
        <v>47</v>
      </c>
      <c r="K1406" s="18">
        <v>0</v>
      </c>
      <c r="L1406" s="18" t="s">
        <v>47</v>
      </c>
      <c r="M1406" s="18">
        <v>0</v>
      </c>
      <c r="N1406" s="18" t="s">
        <v>47</v>
      </c>
      <c r="O1406" s="18">
        <v>1</v>
      </c>
      <c r="P1406" s="18" t="s">
        <v>48</v>
      </c>
      <c r="Q1406" s="18">
        <v>0</v>
      </c>
      <c r="R1406" s="18" t="s">
        <v>47</v>
      </c>
      <c r="S1406" s="18">
        <v>0</v>
      </c>
      <c r="T1406" s="21" t="s">
        <v>47</v>
      </c>
    </row>
    <row r="1407" spans="1:20" x14ac:dyDescent="0.35">
      <c r="A1407" s="1" t="s">
        <v>2992</v>
      </c>
      <c r="B1407" s="22" t="s">
        <v>12</v>
      </c>
      <c r="C1407" s="19" t="s">
        <v>47</v>
      </c>
      <c r="D1407" s="19" t="s">
        <v>2695</v>
      </c>
      <c r="E1407" s="19">
        <v>0</v>
      </c>
      <c r="F1407" s="19" t="s">
        <v>47</v>
      </c>
      <c r="G1407" s="19">
        <v>0</v>
      </c>
      <c r="H1407" s="19" t="s">
        <v>47</v>
      </c>
      <c r="I1407" s="19">
        <v>0</v>
      </c>
      <c r="J1407" s="19" t="s">
        <v>47</v>
      </c>
      <c r="K1407" s="19">
        <v>0</v>
      </c>
      <c r="L1407" s="19" t="s">
        <v>47</v>
      </c>
      <c r="M1407" s="19">
        <v>0</v>
      </c>
      <c r="N1407" s="19" t="s">
        <v>47</v>
      </c>
      <c r="O1407" s="19">
        <v>1</v>
      </c>
      <c r="P1407" s="19" t="s">
        <v>48</v>
      </c>
      <c r="Q1407" s="19">
        <v>0</v>
      </c>
      <c r="R1407" s="19" t="s">
        <v>47</v>
      </c>
      <c r="S1407" s="19">
        <v>0</v>
      </c>
      <c r="T1407" s="23" t="s">
        <v>47</v>
      </c>
    </row>
    <row r="1408" spans="1:20" x14ac:dyDescent="0.35">
      <c r="A1408" s="1" t="s">
        <v>2993</v>
      </c>
      <c r="B1408" s="20" t="s">
        <v>12</v>
      </c>
      <c r="C1408" s="18" t="s">
        <v>47</v>
      </c>
      <c r="D1408" s="18" t="s">
        <v>2696</v>
      </c>
      <c r="E1408" s="18">
        <v>1</v>
      </c>
      <c r="F1408" s="18" t="s">
        <v>48</v>
      </c>
      <c r="G1408" s="18">
        <v>0</v>
      </c>
      <c r="H1408" s="18" t="s">
        <v>47</v>
      </c>
      <c r="I1408" s="18">
        <v>0</v>
      </c>
      <c r="J1408" s="18" t="s">
        <v>47</v>
      </c>
      <c r="K1408" s="18">
        <v>0</v>
      </c>
      <c r="L1408" s="18" t="s">
        <v>47</v>
      </c>
      <c r="M1408" s="18">
        <v>0</v>
      </c>
      <c r="N1408" s="18" t="s">
        <v>47</v>
      </c>
      <c r="O1408" s="18">
        <v>1</v>
      </c>
      <c r="P1408" s="18" t="s">
        <v>48</v>
      </c>
      <c r="Q1408" s="18">
        <v>0</v>
      </c>
      <c r="R1408" s="18" t="s">
        <v>47</v>
      </c>
      <c r="S1408" s="18">
        <v>0</v>
      </c>
      <c r="T1408" s="21" t="s">
        <v>47</v>
      </c>
    </row>
    <row r="1409" spans="1:20" x14ac:dyDescent="0.35">
      <c r="A1409" s="1" t="s">
        <v>2994</v>
      </c>
      <c r="B1409" s="22" t="s">
        <v>12</v>
      </c>
      <c r="C1409" s="19" t="s">
        <v>47</v>
      </c>
      <c r="D1409" s="19" t="s">
        <v>2697</v>
      </c>
      <c r="E1409" s="19">
        <v>1</v>
      </c>
      <c r="F1409" s="19" t="s">
        <v>48</v>
      </c>
      <c r="G1409" s="19">
        <v>0</v>
      </c>
      <c r="H1409" s="19" t="s">
        <v>47</v>
      </c>
      <c r="I1409" s="19">
        <v>0</v>
      </c>
      <c r="J1409" s="19" t="s">
        <v>47</v>
      </c>
      <c r="K1409" s="19">
        <v>0</v>
      </c>
      <c r="L1409" s="19" t="s">
        <v>47</v>
      </c>
      <c r="M1409" s="19">
        <v>1</v>
      </c>
      <c r="N1409" s="19" t="s">
        <v>55</v>
      </c>
      <c r="O1409" s="19">
        <v>0</v>
      </c>
      <c r="P1409" s="19" t="s">
        <v>47</v>
      </c>
      <c r="Q1409" s="19">
        <v>0</v>
      </c>
      <c r="R1409" s="19" t="s">
        <v>47</v>
      </c>
      <c r="S1409" s="19">
        <v>0</v>
      </c>
      <c r="T1409" s="23" t="s">
        <v>47</v>
      </c>
    </row>
    <row r="1410" spans="1:20" x14ac:dyDescent="0.35">
      <c r="A1410" s="1" t="s">
        <v>2995</v>
      </c>
      <c r="B1410" s="20" t="s">
        <v>12</v>
      </c>
      <c r="C1410" s="18" t="s">
        <v>47</v>
      </c>
      <c r="D1410" s="18" t="s">
        <v>2788</v>
      </c>
      <c r="E1410" s="18">
        <v>1</v>
      </c>
      <c r="F1410" s="18" t="s">
        <v>55</v>
      </c>
      <c r="G1410" s="18">
        <v>1</v>
      </c>
      <c r="H1410" s="18" t="s">
        <v>48</v>
      </c>
      <c r="I1410" s="18">
        <v>0</v>
      </c>
      <c r="J1410" s="18" t="s">
        <v>47</v>
      </c>
      <c r="K1410" s="18">
        <v>0</v>
      </c>
      <c r="L1410" s="18" t="s">
        <v>47</v>
      </c>
      <c r="M1410" s="18">
        <v>1</v>
      </c>
      <c r="N1410" s="18" t="s">
        <v>48</v>
      </c>
      <c r="O1410" s="18">
        <v>1</v>
      </c>
      <c r="P1410" s="18" t="s">
        <v>48</v>
      </c>
      <c r="Q1410" s="18">
        <v>1</v>
      </c>
      <c r="R1410" s="18" t="s">
        <v>45</v>
      </c>
      <c r="S1410" s="18">
        <v>0</v>
      </c>
      <c r="T1410" s="21" t="s">
        <v>47</v>
      </c>
    </row>
    <row r="1411" spans="1:20" x14ac:dyDescent="0.35">
      <c r="A1411" s="1" t="s">
        <v>2996</v>
      </c>
      <c r="B1411" s="22" t="s">
        <v>12</v>
      </c>
      <c r="C1411" s="19" t="s">
        <v>47</v>
      </c>
      <c r="D1411" s="19" t="s">
        <v>2687</v>
      </c>
      <c r="E1411" s="19">
        <v>1</v>
      </c>
      <c r="F1411" s="19" t="s">
        <v>48</v>
      </c>
      <c r="G1411" s="19">
        <v>1</v>
      </c>
      <c r="H1411" s="19" t="s">
        <v>45</v>
      </c>
      <c r="I1411" s="19">
        <v>0</v>
      </c>
      <c r="J1411" s="19" t="s">
        <v>47</v>
      </c>
      <c r="K1411" s="19">
        <v>0</v>
      </c>
      <c r="L1411" s="19" t="s">
        <v>47</v>
      </c>
      <c r="M1411" s="19">
        <v>1</v>
      </c>
      <c r="N1411" s="19" t="s">
        <v>48</v>
      </c>
      <c r="O1411" s="19">
        <v>0</v>
      </c>
      <c r="P1411" s="19" t="s">
        <v>47</v>
      </c>
      <c r="Q1411" s="19">
        <v>0</v>
      </c>
      <c r="R1411" s="19" t="s">
        <v>47</v>
      </c>
      <c r="S1411" s="19">
        <v>0</v>
      </c>
      <c r="T1411" s="23" t="s">
        <v>47</v>
      </c>
    </row>
    <row r="1412" spans="1:20" x14ac:dyDescent="0.35">
      <c r="A1412" s="1" t="s">
        <v>2997</v>
      </c>
      <c r="B1412" s="20" t="s">
        <v>12</v>
      </c>
      <c r="C1412" s="18" t="s">
        <v>47</v>
      </c>
      <c r="D1412" s="18" t="s">
        <v>2688</v>
      </c>
      <c r="E1412" s="18">
        <v>1</v>
      </c>
      <c r="F1412" s="18" t="s">
        <v>55</v>
      </c>
      <c r="G1412" s="18">
        <v>1</v>
      </c>
      <c r="H1412" s="18" t="s">
        <v>48</v>
      </c>
      <c r="I1412" s="18">
        <v>0</v>
      </c>
      <c r="J1412" s="18" t="s">
        <v>47</v>
      </c>
      <c r="K1412" s="18">
        <v>0</v>
      </c>
      <c r="L1412" s="18" t="s">
        <v>47</v>
      </c>
      <c r="M1412" s="18">
        <v>0</v>
      </c>
      <c r="N1412" s="18" t="s">
        <v>47</v>
      </c>
      <c r="O1412" s="18">
        <v>0</v>
      </c>
      <c r="P1412" s="18" t="s">
        <v>47</v>
      </c>
      <c r="Q1412" s="18">
        <v>1</v>
      </c>
      <c r="R1412" s="18" t="s">
        <v>45</v>
      </c>
      <c r="S1412" s="18">
        <v>0</v>
      </c>
      <c r="T1412" s="21" t="s">
        <v>47</v>
      </c>
    </row>
    <row r="1413" spans="1:20" x14ac:dyDescent="0.35">
      <c r="A1413" s="1" t="s">
        <v>2998</v>
      </c>
      <c r="B1413" s="22" t="s">
        <v>12</v>
      </c>
      <c r="C1413" s="19" t="s">
        <v>47</v>
      </c>
      <c r="D1413" s="19" t="s">
        <v>2689</v>
      </c>
      <c r="E1413" s="19">
        <v>1</v>
      </c>
      <c r="F1413" s="19" t="s">
        <v>48</v>
      </c>
      <c r="G1413" s="19">
        <v>1</v>
      </c>
      <c r="H1413" s="19" t="s">
        <v>45</v>
      </c>
      <c r="I1413" s="19">
        <v>0</v>
      </c>
      <c r="J1413" s="19" t="s">
        <v>47</v>
      </c>
      <c r="K1413" s="19">
        <v>0</v>
      </c>
      <c r="L1413" s="19" t="s">
        <v>47</v>
      </c>
      <c r="M1413" s="19">
        <v>0</v>
      </c>
      <c r="N1413" s="19" t="s">
        <v>47</v>
      </c>
      <c r="O1413" s="19">
        <v>0</v>
      </c>
      <c r="P1413" s="19" t="s">
        <v>47</v>
      </c>
      <c r="Q1413" s="19">
        <v>1</v>
      </c>
      <c r="R1413" s="19" t="s">
        <v>48</v>
      </c>
      <c r="S1413" s="19">
        <v>0</v>
      </c>
      <c r="T1413" s="23" t="s">
        <v>47</v>
      </c>
    </row>
    <row r="1414" spans="1:20" x14ac:dyDescent="0.35">
      <c r="A1414" s="1" t="s">
        <v>2999</v>
      </c>
      <c r="B1414" s="20" t="s">
        <v>12</v>
      </c>
      <c r="C1414" s="18" t="s">
        <v>47</v>
      </c>
      <c r="D1414" s="18" t="s">
        <v>2690</v>
      </c>
      <c r="E1414" s="18">
        <v>0</v>
      </c>
      <c r="F1414" s="18" t="s">
        <v>47</v>
      </c>
      <c r="G1414" s="18">
        <v>1</v>
      </c>
      <c r="H1414" s="18" t="s">
        <v>48</v>
      </c>
      <c r="I1414" s="18">
        <v>0</v>
      </c>
      <c r="J1414" s="18" t="s">
        <v>47</v>
      </c>
      <c r="K1414" s="18">
        <v>0</v>
      </c>
      <c r="L1414" s="18" t="s">
        <v>47</v>
      </c>
      <c r="M1414" s="18">
        <v>0</v>
      </c>
      <c r="N1414" s="18" t="s">
        <v>47</v>
      </c>
      <c r="O1414" s="18">
        <v>0</v>
      </c>
      <c r="P1414" s="18" t="s">
        <v>47</v>
      </c>
      <c r="Q1414" s="18">
        <v>1</v>
      </c>
      <c r="R1414" s="18" t="s">
        <v>48</v>
      </c>
      <c r="S1414" s="18">
        <v>0</v>
      </c>
      <c r="T1414" s="21" t="s">
        <v>47</v>
      </c>
    </row>
    <row r="1415" spans="1:20" x14ac:dyDescent="0.35">
      <c r="A1415" s="1" t="s">
        <v>3000</v>
      </c>
      <c r="B1415" s="22" t="s">
        <v>12</v>
      </c>
      <c r="C1415" s="19" t="s">
        <v>47</v>
      </c>
      <c r="D1415" s="19" t="s">
        <v>2691</v>
      </c>
      <c r="E1415" s="19">
        <v>1</v>
      </c>
      <c r="F1415" s="19" t="s">
        <v>55</v>
      </c>
      <c r="G1415" s="19">
        <v>1</v>
      </c>
      <c r="H1415" s="19" t="s">
        <v>45</v>
      </c>
      <c r="I1415" s="19">
        <v>0</v>
      </c>
      <c r="J1415" s="19" t="s">
        <v>47</v>
      </c>
      <c r="K1415" s="19">
        <v>0</v>
      </c>
      <c r="L1415" s="19" t="s">
        <v>47</v>
      </c>
      <c r="M1415" s="19">
        <v>1</v>
      </c>
      <c r="N1415" s="19" t="s">
        <v>48</v>
      </c>
      <c r="O1415" s="19">
        <v>1</v>
      </c>
      <c r="P1415" s="19" t="s">
        <v>48</v>
      </c>
      <c r="Q1415" s="19">
        <v>1</v>
      </c>
      <c r="R1415" s="19" t="s">
        <v>48</v>
      </c>
      <c r="S1415" s="19">
        <v>1</v>
      </c>
      <c r="T1415" s="23" t="s">
        <v>45</v>
      </c>
    </row>
    <row r="1416" spans="1:20" x14ac:dyDescent="0.35">
      <c r="A1416" s="1" t="s">
        <v>3001</v>
      </c>
      <c r="B1416" s="20" t="s">
        <v>12</v>
      </c>
      <c r="C1416" s="18" t="s">
        <v>47</v>
      </c>
      <c r="D1416" s="18" t="s">
        <v>2692</v>
      </c>
      <c r="E1416" s="18">
        <v>1</v>
      </c>
      <c r="F1416" s="18" t="s">
        <v>45</v>
      </c>
      <c r="G1416" s="18">
        <v>1</v>
      </c>
      <c r="H1416" s="18" t="s">
        <v>48</v>
      </c>
      <c r="I1416" s="18">
        <v>0</v>
      </c>
      <c r="J1416" s="18" t="s">
        <v>47</v>
      </c>
      <c r="K1416" s="18">
        <v>0</v>
      </c>
      <c r="L1416" s="18" t="s">
        <v>47</v>
      </c>
      <c r="M1416" s="18">
        <v>0</v>
      </c>
      <c r="N1416" s="18" t="s">
        <v>47</v>
      </c>
      <c r="O1416" s="18">
        <v>0</v>
      </c>
      <c r="P1416" s="18" t="s">
        <v>47</v>
      </c>
      <c r="Q1416" s="18">
        <v>0</v>
      </c>
      <c r="R1416" s="18" t="s">
        <v>47</v>
      </c>
      <c r="S1416" s="18">
        <v>0</v>
      </c>
      <c r="T1416" s="21" t="s">
        <v>47</v>
      </c>
    </row>
    <row r="1417" spans="1:20" x14ac:dyDescent="0.35">
      <c r="A1417" s="1" t="s">
        <v>3002</v>
      </c>
      <c r="B1417" s="22" t="s">
        <v>12</v>
      </c>
      <c r="C1417" s="19" t="s">
        <v>47</v>
      </c>
      <c r="D1417" s="19" t="s">
        <v>2693</v>
      </c>
      <c r="E1417" s="19">
        <v>0</v>
      </c>
      <c r="F1417" s="19" t="s">
        <v>47</v>
      </c>
      <c r="G1417" s="19">
        <v>1</v>
      </c>
      <c r="H1417" s="19" t="s">
        <v>48</v>
      </c>
      <c r="I1417" s="19">
        <v>1</v>
      </c>
      <c r="J1417" s="19" t="s">
        <v>48</v>
      </c>
      <c r="K1417" s="19">
        <v>0</v>
      </c>
      <c r="L1417" s="19" t="s">
        <v>47</v>
      </c>
      <c r="M1417" s="19">
        <v>0</v>
      </c>
      <c r="N1417" s="19" t="s">
        <v>47</v>
      </c>
      <c r="O1417" s="19">
        <v>0</v>
      </c>
      <c r="P1417" s="19" t="s">
        <v>47</v>
      </c>
      <c r="Q1417" s="19">
        <v>0</v>
      </c>
      <c r="R1417" s="19" t="s">
        <v>47</v>
      </c>
      <c r="S1417" s="19">
        <v>0</v>
      </c>
      <c r="T1417" s="23" t="s">
        <v>47</v>
      </c>
    </row>
    <row r="1418" spans="1:20" x14ac:dyDescent="0.35">
      <c r="A1418" s="1" t="s">
        <v>3003</v>
      </c>
      <c r="B1418" s="20" t="s">
        <v>12</v>
      </c>
      <c r="C1418" s="18" t="s">
        <v>47</v>
      </c>
      <c r="D1418" s="18" t="s">
        <v>2694</v>
      </c>
      <c r="E1418" s="18">
        <v>1</v>
      </c>
      <c r="F1418" s="18" t="s">
        <v>48</v>
      </c>
      <c r="G1418" s="18">
        <v>0</v>
      </c>
      <c r="H1418" s="18" t="s">
        <v>47</v>
      </c>
      <c r="I1418" s="18">
        <v>0</v>
      </c>
      <c r="J1418" s="18" t="s">
        <v>47</v>
      </c>
      <c r="K1418" s="18">
        <v>0</v>
      </c>
      <c r="L1418" s="18" t="s">
        <v>47</v>
      </c>
      <c r="M1418" s="18">
        <v>1</v>
      </c>
      <c r="N1418" s="18" t="s">
        <v>48</v>
      </c>
      <c r="O1418" s="18">
        <v>0</v>
      </c>
      <c r="P1418" s="18" t="s">
        <v>47</v>
      </c>
      <c r="Q1418" s="18">
        <v>0</v>
      </c>
      <c r="R1418" s="18" t="s">
        <v>47</v>
      </c>
      <c r="S1418" s="18">
        <v>0</v>
      </c>
      <c r="T1418" s="21" t="s">
        <v>47</v>
      </c>
    </row>
    <row r="1419" spans="1:20" x14ac:dyDescent="0.35">
      <c r="A1419" s="1" t="s">
        <v>3004</v>
      </c>
      <c r="B1419" s="22" t="s">
        <v>12</v>
      </c>
      <c r="C1419" s="19" t="s">
        <v>47</v>
      </c>
      <c r="D1419" s="19" t="s">
        <v>2786</v>
      </c>
      <c r="E1419" s="19">
        <v>1</v>
      </c>
      <c r="F1419" s="19" t="s">
        <v>48</v>
      </c>
      <c r="G1419" s="19">
        <v>1</v>
      </c>
      <c r="H1419" s="19" t="s">
        <v>48</v>
      </c>
      <c r="I1419" s="19">
        <v>0</v>
      </c>
      <c r="J1419" s="19" t="s">
        <v>47</v>
      </c>
      <c r="K1419" s="19">
        <v>0</v>
      </c>
      <c r="L1419" s="19" t="s">
        <v>47</v>
      </c>
      <c r="M1419" s="19">
        <v>0</v>
      </c>
      <c r="N1419" s="19" t="s">
        <v>47</v>
      </c>
      <c r="O1419" s="19">
        <v>1</v>
      </c>
      <c r="P1419" s="19" t="s">
        <v>48</v>
      </c>
      <c r="Q1419" s="19">
        <v>0</v>
      </c>
      <c r="R1419" s="19" t="s">
        <v>47</v>
      </c>
      <c r="S1419" s="19">
        <v>0</v>
      </c>
      <c r="T1419" s="23" t="s">
        <v>47</v>
      </c>
    </row>
    <row r="1420" spans="1:20" x14ac:dyDescent="0.35">
      <c r="A1420" s="1" t="s">
        <v>3005</v>
      </c>
      <c r="B1420" s="20" t="s">
        <v>12</v>
      </c>
      <c r="C1420" s="18" t="s">
        <v>47</v>
      </c>
      <c r="D1420" s="18" t="s">
        <v>2787</v>
      </c>
      <c r="E1420" s="18">
        <v>1</v>
      </c>
      <c r="F1420" s="18" t="s">
        <v>48</v>
      </c>
      <c r="G1420" s="18">
        <v>1</v>
      </c>
      <c r="H1420" s="18" t="s">
        <v>48</v>
      </c>
      <c r="I1420" s="18">
        <v>0</v>
      </c>
      <c r="J1420" s="18" t="s">
        <v>47</v>
      </c>
      <c r="K1420" s="18">
        <v>0</v>
      </c>
      <c r="L1420" s="18" t="s">
        <v>47</v>
      </c>
      <c r="M1420" s="18">
        <v>0</v>
      </c>
      <c r="N1420" s="18" t="s">
        <v>47</v>
      </c>
      <c r="O1420" s="18">
        <v>1</v>
      </c>
      <c r="P1420" s="18" t="s">
        <v>48</v>
      </c>
      <c r="Q1420" s="18">
        <v>0</v>
      </c>
      <c r="R1420" s="18" t="s">
        <v>47</v>
      </c>
      <c r="S1420" s="18">
        <v>0</v>
      </c>
      <c r="T1420" s="21" t="s">
        <v>47</v>
      </c>
    </row>
    <row r="1421" spans="1:20" x14ac:dyDescent="0.35">
      <c r="A1421" s="1" t="s">
        <v>3006</v>
      </c>
      <c r="B1421" s="22" t="s">
        <v>12</v>
      </c>
      <c r="C1421" s="19" t="s">
        <v>47</v>
      </c>
      <c r="D1421" s="19" t="s">
        <v>2695</v>
      </c>
      <c r="E1421" s="19">
        <v>0</v>
      </c>
      <c r="F1421" s="19" t="s">
        <v>47</v>
      </c>
      <c r="G1421" s="19">
        <v>0</v>
      </c>
      <c r="H1421" s="19" t="s">
        <v>47</v>
      </c>
      <c r="I1421" s="19">
        <v>0</v>
      </c>
      <c r="J1421" s="19" t="s">
        <v>47</v>
      </c>
      <c r="K1421" s="19">
        <v>0</v>
      </c>
      <c r="L1421" s="19" t="s">
        <v>47</v>
      </c>
      <c r="M1421" s="19">
        <v>0</v>
      </c>
      <c r="N1421" s="19" t="s">
        <v>47</v>
      </c>
      <c r="O1421" s="19">
        <v>1</v>
      </c>
      <c r="P1421" s="19" t="s">
        <v>48</v>
      </c>
      <c r="Q1421" s="19">
        <v>0</v>
      </c>
      <c r="R1421" s="19" t="s">
        <v>47</v>
      </c>
      <c r="S1421" s="19">
        <v>0</v>
      </c>
      <c r="T1421" s="23" t="s">
        <v>47</v>
      </c>
    </row>
    <row r="1422" spans="1:20" x14ac:dyDescent="0.35">
      <c r="A1422" s="1" t="s">
        <v>3007</v>
      </c>
      <c r="B1422" s="20" t="s">
        <v>12</v>
      </c>
      <c r="C1422" s="18" t="s">
        <v>47</v>
      </c>
      <c r="D1422" s="18" t="s">
        <v>2696</v>
      </c>
      <c r="E1422" s="18">
        <v>1</v>
      </c>
      <c r="F1422" s="18" t="s">
        <v>48</v>
      </c>
      <c r="G1422" s="18">
        <v>0</v>
      </c>
      <c r="H1422" s="18" t="s">
        <v>47</v>
      </c>
      <c r="I1422" s="18">
        <v>0</v>
      </c>
      <c r="J1422" s="18" t="s">
        <v>47</v>
      </c>
      <c r="K1422" s="18">
        <v>0</v>
      </c>
      <c r="L1422" s="18" t="s">
        <v>47</v>
      </c>
      <c r="M1422" s="18">
        <v>0</v>
      </c>
      <c r="N1422" s="18" t="s">
        <v>47</v>
      </c>
      <c r="O1422" s="18">
        <v>1</v>
      </c>
      <c r="P1422" s="18" t="s">
        <v>48</v>
      </c>
      <c r="Q1422" s="18">
        <v>0</v>
      </c>
      <c r="R1422" s="18" t="s">
        <v>47</v>
      </c>
      <c r="S1422" s="18">
        <v>0</v>
      </c>
      <c r="T1422" s="21" t="s">
        <v>47</v>
      </c>
    </row>
    <row r="1423" spans="1:20" x14ac:dyDescent="0.35">
      <c r="A1423" s="1" t="s">
        <v>3008</v>
      </c>
      <c r="B1423" s="22" t="s">
        <v>12</v>
      </c>
      <c r="C1423" s="19" t="s">
        <v>47</v>
      </c>
      <c r="D1423" s="19" t="s">
        <v>2697</v>
      </c>
      <c r="E1423" s="19">
        <v>1</v>
      </c>
      <c r="F1423" s="19" t="s">
        <v>48</v>
      </c>
      <c r="G1423" s="19">
        <v>0</v>
      </c>
      <c r="H1423" s="19" t="s">
        <v>47</v>
      </c>
      <c r="I1423" s="19">
        <v>0</v>
      </c>
      <c r="J1423" s="19" t="s">
        <v>47</v>
      </c>
      <c r="K1423" s="19">
        <v>0</v>
      </c>
      <c r="L1423" s="19" t="s">
        <v>47</v>
      </c>
      <c r="M1423" s="19">
        <v>1</v>
      </c>
      <c r="N1423" s="19" t="s">
        <v>55</v>
      </c>
      <c r="O1423" s="19">
        <v>0</v>
      </c>
      <c r="P1423" s="19" t="s">
        <v>47</v>
      </c>
      <c r="Q1423" s="19">
        <v>0</v>
      </c>
      <c r="R1423" s="19" t="s">
        <v>47</v>
      </c>
      <c r="S1423" s="19">
        <v>0</v>
      </c>
      <c r="T1423" s="23" t="s">
        <v>47</v>
      </c>
    </row>
    <row r="1424" spans="1:20" x14ac:dyDescent="0.35">
      <c r="A1424" s="1" t="s">
        <v>3009</v>
      </c>
      <c r="B1424" s="20" t="s">
        <v>12</v>
      </c>
      <c r="C1424" s="18" t="s">
        <v>47</v>
      </c>
      <c r="D1424" s="18" t="s">
        <v>2788</v>
      </c>
      <c r="E1424" s="18">
        <v>1</v>
      </c>
      <c r="F1424" s="18" t="s">
        <v>55</v>
      </c>
      <c r="G1424" s="18">
        <v>1</v>
      </c>
      <c r="H1424" s="18" t="s">
        <v>48</v>
      </c>
      <c r="I1424" s="18">
        <v>0</v>
      </c>
      <c r="J1424" s="18" t="s">
        <v>47</v>
      </c>
      <c r="K1424" s="18">
        <v>0</v>
      </c>
      <c r="L1424" s="18" t="s">
        <v>47</v>
      </c>
      <c r="M1424" s="18">
        <v>1</v>
      </c>
      <c r="N1424" s="18" t="s">
        <v>48</v>
      </c>
      <c r="O1424" s="18">
        <v>1</v>
      </c>
      <c r="P1424" s="18" t="s">
        <v>48</v>
      </c>
      <c r="Q1424" s="18">
        <v>1</v>
      </c>
      <c r="R1424" s="18" t="s">
        <v>45</v>
      </c>
      <c r="S1424" s="18">
        <v>0</v>
      </c>
      <c r="T1424" s="21" t="s">
        <v>47</v>
      </c>
    </row>
    <row r="1425" spans="1:20" x14ac:dyDescent="0.35">
      <c r="A1425" s="1" t="s">
        <v>3010</v>
      </c>
      <c r="B1425" s="22" t="s">
        <v>12</v>
      </c>
      <c r="C1425" s="19" t="s">
        <v>47</v>
      </c>
      <c r="D1425" s="19" t="s">
        <v>2789</v>
      </c>
      <c r="E1425" s="19">
        <v>1</v>
      </c>
      <c r="F1425" s="19" t="s">
        <v>55</v>
      </c>
      <c r="G1425" s="19">
        <v>0</v>
      </c>
      <c r="H1425" s="19" t="s">
        <v>47</v>
      </c>
      <c r="I1425" s="19">
        <v>0</v>
      </c>
      <c r="J1425" s="19" t="s">
        <v>47</v>
      </c>
      <c r="K1425" s="19">
        <v>0</v>
      </c>
      <c r="L1425" s="19" t="s">
        <v>47</v>
      </c>
      <c r="M1425" s="19">
        <v>1</v>
      </c>
      <c r="N1425" s="19" t="s">
        <v>48</v>
      </c>
      <c r="O1425" s="19">
        <v>0</v>
      </c>
      <c r="P1425" s="19" t="s">
        <v>47</v>
      </c>
      <c r="Q1425" s="19">
        <v>0</v>
      </c>
      <c r="R1425" s="19" t="s">
        <v>47</v>
      </c>
      <c r="S1425" s="19">
        <v>0</v>
      </c>
      <c r="T1425" s="23" t="s">
        <v>47</v>
      </c>
    </row>
    <row r="1426" spans="1:20" x14ac:dyDescent="0.35">
      <c r="A1426" s="1" t="s">
        <v>3011</v>
      </c>
      <c r="B1426" s="20" t="s">
        <v>12</v>
      </c>
      <c r="C1426" s="18" t="s">
        <v>47</v>
      </c>
      <c r="D1426" s="18" t="s">
        <v>2698</v>
      </c>
      <c r="E1426" s="18">
        <v>1</v>
      </c>
      <c r="F1426" s="18" t="s">
        <v>55</v>
      </c>
      <c r="G1426" s="18">
        <v>1</v>
      </c>
      <c r="H1426" s="18" t="s">
        <v>45</v>
      </c>
      <c r="I1426" s="18">
        <v>0</v>
      </c>
      <c r="J1426" s="18" t="s">
        <v>47</v>
      </c>
      <c r="K1426" s="18">
        <v>0</v>
      </c>
      <c r="L1426" s="18" t="s">
        <v>47</v>
      </c>
      <c r="M1426" s="18">
        <v>0</v>
      </c>
      <c r="N1426" s="18" t="s">
        <v>47</v>
      </c>
      <c r="O1426" s="18">
        <v>0</v>
      </c>
      <c r="P1426" s="18" t="s">
        <v>47</v>
      </c>
      <c r="Q1426" s="18">
        <v>1</v>
      </c>
      <c r="R1426" s="18" t="s">
        <v>48</v>
      </c>
      <c r="S1426" s="18">
        <v>0</v>
      </c>
      <c r="T1426" s="21" t="s">
        <v>47</v>
      </c>
    </row>
    <row r="1427" spans="1:20" x14ac:dyDescent="0.35">
      <c r="A1427" s="1" t="s">
        <v>3012</v>
      </c>
      <c r="B1427" s="22" t="s">
        <v>12</v>
      </c>
      <c r="C1427" s="19" t="s">
        <v>47</v>
      </c>
      <c r="D1427" s="19" t="s">
        <v>2790</v>
      </c>
      <c r="E1427" s="19">
        <v>1</v>
      </c>
      <c r="F1427" s="19" t="s">
        <v>55</v>
      </c>
      <c r="G1427" s="19">
        <v>1</v>
      </c>
      <c r="H1427" s="19" t="s">
        <v>48</v>
      </c>
      <c r="I1427" s="19">
        <v>0</v>
      </c>
      <c r="J1427" s="19" t="s">
        <v>47</v>
      </c>
      <c r="K1427" s="19">
        <v>0</v>
      </c>
      <c r="L1427" s="19" t="s">
        <v>47</v>
      </c>
      <c r="M1427" s="19">
        <v>1</v>
      </c>
      <c r="N1427" s="19" t="s">
        <v>48</v>
      </c>
      <c r="O1427" s="19">
        <v>0</v>
      </c>
      <c r="P1427" s="19" t="s">
        <v>47</v>
      </c>
      <c r="Q1427" s="19">
        <v>0</v>
      </c>
      <c r="R1427" s="19" t="s">
        <v>47</v>
      </c>
      <c r="S1427" s="19">
        <v>0</v>
      </c>
      <c r="T1427" s="23" t="s">
        <v>47</v>
      </c>
    </row>
    <row r="1428" spans="1:20" x14ac:dyDescent="0.35">
      <c r="A1428" s="1" t="s">
        <v>3013</v>
      </c>
      <c r="B1428" s="20" t="s">
        <v>12</v>
      </c>
      <c r="C1428" s="18" t="s">
        <v>47</v>
      </c>
      <c r="D1428" s="18" t="s">
        <v>2791</v>
      </c>
      <c r="E1428" s="18">
        <v>1</v>
      </c>
      <c r="F1428" s="18" t="s">
        <v>45</v>
      </c>
      <c r="G1428" s="18">
        <v>1</v>
      </c>
      <c r="H1428" s="18" t="s">
        <v>48</v>
      </c>
      <c r="I1428" s="18">
        <v>1</v>
      </c>
      <c r="J1428" s="18" t="s">
        <v>48</v>
      </c>
      <c r="K1428" s="18">
        <v>0</v>
      </c>
      <c r="L1428" s="18" t="s">
        <v>47</v>
      </c>
      <c r="M1428" s="18">
        <v>0</v>
      </c>
      <c r="N1428" s="18" t="s">
        <v>47</v>
      </c>
      <c r="O1428" s="18">
        <v>0</v>
      </c>
      <c r="P1428" s="18" t="s">
        <v>47</v>
      </c>
      <c r="Q1428" s="18">
        <v>0</v>
      </c>
      <c r="R1428" s="18" t="s">
        <v>47</v>
      </c>
      <c r="S1428" s="18">
        <v>1</v>
      </c>
      <c r="T1428" s="21" t="s">
        <v>48</v>
      </c>
    </row>
    <row r="1429" spans="1:20" x14ac:dyDescent="0.35">
      <c r="A1429" s="1" t="s">
        <v>3014</v>
      </c>
      <c r="B1429" s="22" t="s">
        <v>12</v>
      </c>
      <c r="C1429" s="19" t="s">
        <v>47</v>
      </c>
      <c r="D1429" s="19" t="s">
        <v>2699</v>
      </c>
      <c r="E1429" s="19">
        <v>0</v>
      </c>
      <c r="F1429" s="19" t="s">
        <v>47</v>
      </c>
      <c r="G1429" s="19">
        <v>1</v>
      </c>
      <c r="H1429" s="19" t="s">
        <v>48</v>
      </c>
      <c r="I1429" s="19">
        <v>1</v>
      </c>
      <c r="J1429" s="19" t="s">
        <v>48</v>
      </c>
      <c r="K1429" s="19">
        <v>0</v>
      </c>
      <c r="L1429" s="19" t="s">
        <v>47</v>
      </c>
      <c r="M1429" s="19">
        <v>0</v>
      </c>
      <c r="N1429" s="19" t="s">
        <v>47</v>
      </c>
      <c r="O1429" s="19">
        <v>0</v>
      </c>
      <c r="P1429" s="19" t="s">
        <v>47</v>
      </c>
      <c r="Q1429" s="19">
        <v>0</v>
      </c>
      <c r="R1429" s="19" t="s">
        <v>47</v>
      </c>
      <c r="S1429" s="19">
        <v>0</v>
      </c>
      <c r="T1429" s="23" t="s">
        <v>47</v>
      </c>
    </row>
    <row r="1430" spans="1:20" x14ac:dyDescent="0.35">
      <c r="A1430" s="1" t="s">
        <v>3015</v>
      </c>
      <c r="B1430" s="20" t="s">
        <v>12</v>
      </c>
      <c r="C1430" s="18" t="s">
        <v>47</v>
      </c>
      <c r="D1430" s="18" t="s">
        <v>2700</v>
      </c>
      <c r="E1430" s="18">
        <v>1</v>
      </c>
      <c r="F1430" s="18" t="s">
        <v>55</v>
      </c>
      <c r="G1430" s="18">
        <v>1</v>
      </c>
      <c r="H1430" s="18" t="s">
        <v>45</v>
      </c>
      <c r="I1430" s="18">
        <v>1</v>
      </c>
      <c r="J1430" s="18" t="s">
        <v>45</v>
      </c>
      <c r="K1430" s="18">
        <v>0</v>
      </c>
      <c r="L1430" s="18" t="s">
        <v>47</v>
      </c>
      <c r="M1430" s="18">
        <v>0</v>
      </c>
      <c r="N1430" s="18" t="s">
        <v>47</v>
      </c>
      <c r="O1430" s="18">
        <v>0</v>
      </c>
      <c r="P1430" s="18" t="s">
        <v>47</v>
      </c>
      <c r="Q1430" s="18">
        <v>0</v>
      </c>
      <c r="R1430" s="18" t="s">
        <v>47</v>
      </c>
      <c r="S1430" s="18">
        <v>0</v>
      </c>
      <c r="T1430" s="21" t="s">
        <v>47</v>
      </c>
    </row>
    <row r="1431" spans="1:20" x14ac:dyDescent="0.35">
      <c r="A1431" s="1" t="s">
        <v>3016</v>
      </c>
      <c r="B1431" s="22" t="s">
        <v>12</v>
      </c>
      <c r="C1431" s="19" t="s">
        <v>47</v>
      </c>
      <c r="D1431" s="19" t="s">
        <v>2701</v>
      </c>
      <c r="E1431" s="19">
        <v>1</v>
      </c>
      <c r="F1431" s="19" t="s">
        <v>55</v>
      </c>
      <c r="G1431" s="19">
        <v>0</v>
      </c>
      <c r="H1431" s="19" t="s">
        <v>47</v>
      </c>
      <c r="I1431" s="19">
        <v>0</v>
      </c>
      <c r="J1431" s="19" t="s">
        <v>47</v>
      </c>
      <c r="K1431" s="19">
        <v>0</v>
      </c>
      <c r="L1431" s="19" t="s">
        <v>47</v>
      </c>
      <c r="M1431" s="19">
        <v>0</v>
      </c>
      <c r="N1431" s="19" t="s">
        <v>47</v>
      </c>
      <c r="O1431" s="19">
        <v>0</v>
      </c>
      <c r="P1431" s="19" t="s">
        <v>47</v>
      </c>
      <c r="Q1431" s="19">
        <v>0</v>
      </c>
      <c r="R1431" s="19" t="s">
        <v>47</v>
      </c>
      <c r="S1431" s="19">
        <v>0</v>
      </c>
      <c r="T1431" s="23" t="s">
        <v>47</v>
      </c>
    </row>
    <row r="1432" spans="1:20" x14ac:dyDescent="0.35">
      <c r="A1432" s="1" t="s">
        <v>3017</v>
      </c>
      <c r="B1432" s="20" t="s">
        <v>12</v>
      </c>
      <c r="C1432" s="18" t="s">
        <v>47</v>
      </c>
      <c r="D1432" s="18" t="s">
        <v>2702</v>
      </c>
      <c r="E1432" s="18">
        <v>0</v>
      </c>
      <c r="F1432" s="18" t="s">
        <v>47</v>
      </c>
      <c r="G1432" s="18">
        <v>1</v>
      </c>
      <c r="H1432" s="18" t="s">
        <v>48</v>
      </c>
      <c r="I1432" s="18">
        <v>0</v>
      </c>
      <c r="J1432" s="18" t="s">
        <v>47</v>
      </c>
      <c r="K1432" s="18">
        <v>0</v>
      </c>
      <c r="L1432" s="18" t="s">
        <v>47</v>
      </c>
      <c r="M1432" s="18">
        <v>0</v>
      </c>
      <c r="N1432" s="18" t="s">
        <v>47</v>
      </c>
      <c r="O1432" s="18">
        <v>0</v>
      </c>
      <c r="P1432" s="18" t="s">
        <v>47</v>
      </c>
      <c r="Q1432" s="18">
        <v>0</v>
      </c>
      <c r="R1432" s="18" t="s">
        <v>47</v>
      </c>
      <c r="S1432" s="18">
        <v>0</v>
      </c>
      <c r="T1432" s="21" t="s">
        <v>47</v>
      </c>
    </row>
    <row r="1433" spans="1:20" x14ac:dyDescent="0.35">
      <c r="A1433" s="1" t="s">
        <v>3018</v>
      </c>
      <c r="B1433" s="22" t="s">
        <v>12</v>
      </c>
      <c r="C1433" s="19" t="s">
        <v>47</v>
      </c>
      <c r="D1433" s="19" t="s">
        <v>2703</v>
      </c>
      <c r="E1433" s="19">
        <v>1</v>
      </c>
      <c r="F1433" s="19" t="s">
        <v>48</v>
      </c>
      <c r="G1433" s="19">
        <v>0</v>
      </c>
      <c r="H1433" s="19" t="s">
        <v>47</v>
      </c>
      <c r="I1433" s="19">
        <v>0</v>
      </c>
      <c r="J1433" s="19" t="s">
        <v>47</v>
      </c>
      <c r="K1433" s="19">
        <v>0</v>
      </c>
      <c r="L1433" s="19" t="s">
        <v>47</v>
      </c>
      <c r="M1433" s="19">
        <v>1</v>
      </c>
      <c r="N1433" s="19" t="s">
        <v>48</v>
      </c>
      <c r="O1433" s="19">
        <v>0</v>
      </c>
      <c r="P1433" s="19" t="s">
        <v>47</v>
      </c>
      <c r="Q1433" s="19">
        <v>0</v>
      </c>
      <c r="R1433" s="19" t="s">
        <v>47</v>
      </c>
      <c r="S1433" s="19">
        <v>0</v>
      </c>
      <c r="T1433" s="23" t="s">
        <v>47</v>
      </c>
    </row>
    <row r="1434" spans="1:20" x14ac:dyDescent="0.35">
      <c r="A1434" s="1" t="s">
        <v>3019</v>
      </c>
      <c r="B1434" s="20" t="s">
        <v>12</v>
      </c>
      <c r="C1434" s="18" t="s">
        <v>47</v>
      </c>
      <c r="D1434" s="18" t="s">
        <v>2792</v>
      </c>
      <c r="E1434" s="18">
        <v>1</v>
      </c>
      <c r="F1434" s="18" t="s">
        <v>48</v>
      </c>
      <c r="G1434" s="18">
        <v>1</v>
      </c>
      <c r="H1434" s="18" t="s">
        <v>48</v>
      </c>
      <c r="I1434" s="18">
        <v>0</v>
      </c>
      <c r="J1434" s="18" t="s">
        <v>47</v>
      </c>
      <c r="K1434" s="18">
        <v>0</v>
      </c>
      <c r="L1434" s="18" t="s">
        <v>47</v>
      </c>
      <c r="M1434" s="18">
        <v>0</v>
      </c>
      <c r="N1434" s="18" t="s">
        <v>47</v>
      </c>
      <c r="O1434" s="18">
        <v>1</v>
      </c>
      <c r="P1434" s="18" t="s">
        <v>48</v>
      </c>
      <c r="Q1434" s="18">
        <v>0</v>
      </c>
      <c r="R1434" s="18" t="s">
        <v>47</v>
      </c>
      <c r="S1434" s="18">
        <v>0</v>
      </c>
      <c r="T1434" s="21" t="s">
        <v>47</v>
      </c>
    </row>
    <row r="1435" spans="1:20" x14ac:dyDescent="0.35">
      <c r="A1435" s="1" t="s">
        <v>3020</v>
      </c>
      <c r="B1435" s="22" t="s">
        <v>12</v>
      </c>
      <c r="C1435" s="19" t="s">
        <v>47</v>
      </c>
      <c r="D1435" s="19" t="s">
        <v>2793</v>
      </c>
      <c r="E1435" s="19">
        <v>1</v>
      </c>
      <c r="F1435" s="19" t="s">
        <v>48</v>
      </c>
      <c r="G1435" s="19">
        <v>1</v>
      </c>
      <c r="H1435" s="19" t="s">
        <v>45</v>
      </c>
      <c r="I1435" s="19">
        <v>1</v>
      </c>
      <c r="J1435" s="19" t="s">
        <v>48</v>
      </c>
      <c r="K1435" s="19">
        <v>0</v>
      </c>
      <c r="L1435" s="19" t="s">
        <v>47</v>
      </c>
      <c r="M1435" s="19">
        <v>0</v>
      </c>
      <c r="N1435" s="19" t="s">
        <v>47</v>
      </c>
      <c r="O1435" s="19">
        <v>0</v>
      </c>
      <c r="P1435" s="19" t="s">
        <v>47</v>
      </c>
      <c r="Q1435" s="19">
        <v>0</v>
      </c>
      <c r="R1435" s="19" t="s">
        <v>47</v>
      </c>
      <c r="S1435" s="19">
        <v>0</v>
      </c>
      <c r="T1435" s="23" t="s">
        <v>47</v>
      </c>
    </row>
    <row r="1436" spans="1:20" x14ac:dyDescent="0.35">
      <c r="A1436" s="1" t="s">
        <v>3021</v>
      </c>
      <c r="B1436" s="20" t="s">
        <v>12</v>
      </c>
      <c r="C1436" s="18" t="s">
        <v>47</v>
      </c>
      <c r="D1436" s="18" t="s">
        <v>2704</v>
      </c>
      <c r="E1436" s="18">
        <v>1</v>
      </c>
      <c r="F1436" s="18" t="s">
        <v>55</v>
      </c>
      <c r="G1436" s="18">
        <v>0</v>
      </c>
      <c r="H1436" s="18" t="s">
        <v>47</v>
      </c>
      <c r="I1436" s="18">
        <v>0</v>
      </c>
      <c r="J1436" s="18" t="s">
        <v>47</v>
      </c>
      <c r="K1436" s="18">
        <v>0</v>
      </c>
      <c r="L1436" s="18" t="s">
        <v>47</v>
      </c>
      <c r="M1436" s="18">
        <v>0</v>
      </c>
      <c r="N1436" s="18" t="s">
        <v>47</v>
      </c>
      <c r="O1436" s="18">
        <v>0</v>
      </c>
      <c r="P1436" s="18" t="s">
        <v>47</v>
      </c>
      <c r="Q1436" s="18">
        <v>0</v>
      </c>
      <c r="R1436" s="18" t="s">
        <v>47</v>
      </c>
      <c r="S1436" s="18">
        <v>0</v>
      </c>
      <c r="T1436" s="21" t="s">
        <v>47</v>
      </c>
    </row>
    <row r="1437" spans="1:20" x14ac:dyDescent="0.35">
      <c r="A1437" s="1" t="s">
        <v>3022</v>
      </c>
      <c r="B1437" s="22" t="s">
        <v>12</v>
      </c>
      <c r="C1437" s="19" t="s">
        <v>47</v>
      </c>
      <c r="D1437" s="19" t="s">
        <v>2705</v>
      </c>
      <c r="E1437" s="19">
        <v>1</v>
      </c>
      <c r="F1437" s="19" t="s">
        <v>55</v>
      </c>
      <c r="G1437" s="19">
        <v>0</v>
      </c>
      <c r="H1437" s="19" t="s">
        <v>47</v>
      </c>
      <c r="I1437" s="19">
        <v>0</v>
      </c>
      <c r="J1437" s="19" t="s">
        <v>47</v>
      </c>
      <c r="K1437" s="19">
        <v>0</v>
      </c>
      <c r="L1437" s="19" t="s">
        <v>47</v>
      </c>
      <c r="M1437" s="19">
        <v>1</v>
      </c>
      <c r="N1437" s="19" t="s">
        <v>48</v>
      </c>
      <c r="O1437" s="19">
        <v>0</v>
      </c>
      <c r="P1437" s="19" t="s">
        <v>47</v>
      </c>
      <c r="Q1437" s="19">
        <v>0</v>
      </c>
      <c r="R1437" s="19" t="s">
        <v>47</v>
      </c>
      <c r="S1437" s="19">
        <v>1</v>
      </c>
      <c r="T1437" s="23" t="s">
        <v>45</v>
      </c>
    </row>
    <row r="1438" spans="1:20" x14ac:dyDescent="0.35">
      <c r="A1438" s="1" t="s">
        <v>3023</v>
      </c>
      <c r="B1438" s="20" t="s">
        <v>12</v>
      </c>
      <c r="C1438" s="18" t="s">
        <v>47</v>
      </c>
      <c r="D1438" s="18" t="s">
        <v>2706</v>
      </c>
      <c r="E1438" s="18">
        <v>1</v>
      </c>
      <c r="F1438" s="18" t="s">
        <v>48</v>
      </c>
      <c r="G1438" s="18">
        <v>1</v>
      </c>
      <c r="H1438" s="18" t="s">
        <v>48</v>
      </c>
      <c r="I1438" s="18">
        <v>0</v>
      </c>
      <c r="J1438" s="18" t="s">
        <v>47</v>
      </c>
      <c r="K1438" s="18">
        <v>1</v>
      </c>
      <c r="L1438" s="18" t="s">
        <v>48</v>
      </c>
      <c r="M1438" s="18">
        <v>0</v>
      </c>
      <c r="N1438" s="18" t="s">
        <v>47</v>
      </c>
      <c r="O1438" s="18">
        <v>0</v>
      </c>
      <c r="P1438" s="18" t="s">
        <v>47</v>
      </c>
      <c r="Q1438" s="18">
        <v>0</v>
      </c>
      <c r="R1438" s="18" t="s">
        <v>47</v>
      </c>
      <c r="S1438" s="18">
        <v>0</v>
      </c>
      <c r="T1438" s="21" t="s">
        <v>47</v>
      </c>
    </row>
    <row r="1439" spans="1:20" x14ac:dyDescent="0.35">
      <c r="A1439" s="1" t="s">
        <v>3024</v>
      </c>
      <c r="B1439" s="22" t="s">
        <v>12</v>
      </c>
      <c r="C1439" s="19" t="s">
        <v>47</v>
      </c>
      <c r="D1439" s="19" t="s">
        <v>2794</v>
      </c>
      <c r="E1439" s="19">
        <v>1</v>
      </c>
      <c r="F1439" s="19" t="s">
        <v>48</v>
      </c>
      <c r="G1439" s="19">
        <v>1</v>
      </c>
      <c r="H1439" s="19" t="s">
        <v>48</v>
      </c>
      <c r="I1439" s="19">
        <v>0</v>
      </c>
      <c r="J1439" s="19" t="s">
        <v>47</v>
      </c>
      <c r="K1439" s="19">
        <v>0</v>
      </c>
      <c r="L1439" s="19" t="s">
        <v>47</v>
      </c>
      <c r="M1439" s="19">
        <v>0</v>
      </c>
      <c r="N1439" s="19" t="s">
        <v>47</v>
      </c>
      <c r="O1439" s="19">
        <v>0</v>
      </c>
      <c r="P1439" s="19" t="s">
        <v>47</v>
      </c>
      <c r="Q1439" s="19">
        <v>1</v>
      </c>
      <c r="R1439" s="19" t="s">
        <v>45</v>
      </c>
      <c r="S1439" s="19">
        <v>0</v>
      </c>
      <c r="T1439" s="23" t="s">
        <v>47</v>
      </c>
    </row>
    <row r="1440" spans="1:20" x14ac:dyDescent="0.35">
      <c r="A1440" s="1" t="s">
        <v>3025</v>
      </c>
      <c r="B1440" s="20" t="s">
        <v>12</v>
      </c>
      <c r="C1440" s="18" t="s">
        <v>47</v>
      </c>
      <c r="D1440" s="18" t="s">
        <v>2795</v>
      </c>
      <c r="E1440" s="18">
        <v>1</v>
      </c>
      <c r="F1440" s="18" t="s">
        <v>48</v>
      </c>
      <c r="G1440" s="18">
        <v>1</v>
      </c>
      <c r="H1440" s="18" t="s">
        <v>45</v>
      </c>
      <c r="I1440" s="18">
        <v>0</v>
      </c>
      <c r="J1440" s="18" t="s">
        <v>47</v>
      </c>
      <c r="K1440" s="18">
        <v>0</v>
      </c>
      <c r="L1440" s="18" t="s">
        <v>47</v>
      </c>
      <c r="M1440" s="18">
        <v>0</v>
      </c>
      <c r="N1440" s="18" t="s">
        <v>47</v>
      </c>
      <c r="O1440" s="18">
        <v>0</v>
      </c>
      <c r="P1440" s="18" t="s">
        <v>47</v>
      </c>
      <c r="Q1440" s="18">
        <v>0</v>
      </c>
      <c r="R1440" s="18" t="s">
        <v>47</v>
      </c>
      <c r="S1440" s="18">
        <v>0</v>
      </c>
      <c r="T1440" s="21" t="s">
        <v>47</v>
      </c>
    </row>
    <row r="1441" spans="1:20" x14ac:dyDescent="0.35">
      <c r="A1441" s="1" t="s">
        <v>3026</v>
      </c>
      <c r="B1441" s="22" t="s">
        <v>12</v>
      </c>
      <c r="C1441" s="19" t="s">
        <v>47</v>
      </c>
      <c r="D1441" s="19" t="s">
        <v>2796</v>
      </c>
      <c r="E1441" s="19">
        <v>1</v>
      </c>
      <c r="F1441" s="19" t="s">
        <v>45</v>
      </c>
      <c r="G1441" s="19">
        <v>0</v>
      </c>
      <c r="H1441" s="19" t="s">
        <v>47</v>
      </c>
      <c r="I1441" s="19">
        <v>0</v>
      </c>
      <c r="J1441" s="19" t="s">
        <v>47</v>
      </c>
      <c r="K1441" s="19">
        <v>1</v>
      </c>
      <c r="L1441" s="19" t="s">
        <v>48</v>
      </c>
      <c r="M1441" s="19">
        <v>0</v>
      </c>
      <c r="N1441" s="19" t="s">
        <v>47</v>
      </c>
      <c r="O1441" s="19">
        <v>0</v>
      </c>
      <c r="P1441" s="19" t="s">
        <v>47</v>
      </c>
      <c r="Q1441" s="19">
        <v>1</v>
      </c>
      <c r="R1441" s="19" t="s">
        <v>48</v>
      </c>
      <c r="S1441" s="19">
        <v>0</v>
      </c>
      <c r="T1441" s="23" t="s">
        <v>47</v>
      </c>
    </row>
    <row r="1442" spans="1:20" x14ac:dyDescent="0.35">
      <c r="A1442" s="1" t="s">
        <v>3027</v>
      </c>
      <c r="B1442" s="20" t="s">
        <v>12</v>
      </c>
      <c r="C1442" s="18" t="s">
        <v>47</v>
      </c>
      <c r="D1442" s="18" t="s">
        <v>2797</v>
      </c>
      <c r="E1442" s="18">
        <v>1</v>
      </c>
      <c r="F1442" s="18" t="s">
        <v>48</v>
      </c>
      <c r="G1442" s="18">
        <v>1</v>
      </c>
      <c r="H1442" s="18" t="s">
        <v>48</v>
      </c>
      <c r="I1442" s="18">
        <v>0</v>
      </c>
      <c r="J1442" s="18" t="s">
        <v>47</v>
      </c>
      <c r="K1442" s="18">
        <v>0</v>
      </c>
      <c r="L1442" s="18" t="s">
        <v>47</v>
      </c>
      <c r="M1442" s="18">
        <v>0</v>
      </c>
      <c r="N1442" s="18" t="s">
        <v>47</v>
      </c>
      <c r="O1442" s="18">
        <v>0</v>
      </c>
      <c r="P1442" s="18" t="s">
        <v>47</v>
      </c>
      <c r="Q1442" s="18">
        <v>0</v>
      </c>
      <c r="R1442" s="18" t="s">
        <v>47</v>
      </c>
      <c r="S1442" s="18">
        <v>0</v>
      </c>
      <c r="T1442" s="21" t="s">
        <v>47</v>
      </c>
    </row>
    <row r="1443" spans="1:20" x14ac:dyDescent="0.35">
      <c r="A1443" s="1" t="s">
        <v>3028</v>
      </c>
      <c r="B1443" s="22" t="s">
        <v>12</v>
      </c>
      <c r="C1443" s="19" t="s">
        <v>47</v>
      </c>
      <c r="D1443" s="19" t="s">
        <v>2798</v>
      </c>
      <c r="E1443" s="19">
        <v>1</v>
      </c>
      <c r="F1443" s="19" t="s">
        <v>48</v>
      </c>
      <c r="G1443" s="19">
        <v>1</v>
      </c>
      <c r="H1443" s="19" t="s">
        <v>48</v>
      </c>
      <c r="I1443" s="19">
        <v>1</v>
      </c>
      <c r="J1443" s="19" t="s">
        <v>48</v>
      </c>
      <c r="K1443" s="19">
        <v>0</v>
      </c>
      <c r="L1443" s="19" t="s">
        <v>47</v>
      </c>
      <c r="M1443" s="19">
        <v>0</v>
      </c>
      <c r="N1443" s="19" t="s">
        <v>47</v>
      </c>
      <c r="O1443" s="19">
        <v>1</v>
      </c>
      <c r="P1443" s="19" t="s">
        <v>48</v>
      </c>
      <c r="Q1443" s="19">
        <v>0</v>
      </c>
      <c r="R1443" s="19" t="s">
        <v>47</v>
      </c>
      <c r="S1443" s="19">
        <v>0</v>
      </c>
      <c r="T1443" s="23" t="s">
        <v>47</v>
      </c>
    </row>
    <row r="1444" spans="1:20" x14ac:dyDescent="0.35">
      <c r="A1444" s="1" t="s">
        <v>3029</v>
      </c>
      <c r="B1444" s="20" t="s">
        <v>12</v>
      </c>
      <c r="C1444" s="18" t="s">
        <v>47</v>
      </c>
      <c r="D1444" s="18" t="s">
        <v>2707</v>
      </c>
      <c r="E1444" s="18">
        <v>1</v>
      </c>
      <c r="F1444" s="18" t="s">
        <v>48</v>
      </c>
      <c r="G1444" s="18">
        <v>0</v>
      </c>
      <c r="H1444" s="18" t="s">
        <v>47</v>
      </c>
      <c r="I1444" s="18">
        <v>0</v>
      </c>
      <c r="J1444" s="18" t="s">
        <v>47</v>
      </c>
      <c r="K1444" s="18">
        <v>0</v>
      </c>
      <c r="L1444" s="18" t="s">
        <v>47</v>
      </c>
      <c r="M1444" s="18">
        <v>1</v>
      </c>
      <c r="N1444" s="18" t="s">
        <v>48</v>
      </c>
      <c r="O1444" s="18">
        <v>0</v>
      </c>
      <c r="P1444" s="18" t="s">
        <v>47</v>
      </c>
      <c r="Q1444" s="18">
        <v>0</v>
      </c>
      <c r="R1444" s="18" t="s">
        <v>47</v>
      </c>
      <c r="S1444" s="18">
        <v>0</v>
      </c>
      <c r="T1444" s="21" t="s">
        <v>47</v>
      </c>
    </row>
    <row r="1445" spans="1:20" x14ac:dyDescent="0.35">
      <c r="A1445" s="1" t="s">
        <v>3030</v>
      </c>
      <c r="B1445" s="22" t="s">
        <v>12</v>
      </c>
      <c r="C1445" s="19" t="s">
        <v>47</v>
      </c>
      <c r="D1445" s="19" t="s">
        <v>2708</v>
      </c>
      <c r="E1445" s="19">
        <v>0</v>
      </c>
      <c r="F1445" s="19" t="s">
        <v>47</v>
      </c>
      <c r="G1445" s="19">
        <v>1</v>
      </c>
      <c r="H1445" s="19" t="s">
        <v>48</v>
      </c>
      <c r="I1445" s="19">
        <v>0</v>
      </c>
      <c r="J1445" s="19" t="s">
        <v>47</v>
      </c>
      <c r="K1445" s="19">
        <v>0</v>
      </c>
      <c r="L1445" s="19" t="s">
        <v>47</v>
      </c>
      <c r="M1445" s="19">
        <v>0</v>
      </c>
      <c r="N1445" s="19" t="s">
        <v>47</v>
      </c>
      <c r="O1445" s="19">
        <v>0</v>
      </c>
      <c r="P1445" s="19" t="s">
        <v>47</v>
      </c>
      <c r="Q1445" s="19">
        <v>0</v>
      </c>
      <c r="R1445" s="19" t="s">
        <v>47</v>
      </c>
      <c r="S1445" s="19">
        <v>0</v>
      </c>
      <c r="T1445" s="23" t="s">
        <v>47</v>
      </c>
    </row>
    <row r="1446" spans="1:20" x14ac:dyDescent="0.35">
      <c r="A1446" s="1" t="s">
        <v>3031</v>
      </c>
      <c r="B1446" s="20" t="s">
        <v>12</v>
      </c>
      <c r="C1446" s="18" t="s">
        <v>47</v>
      </c>
      <c r="D1446" s="18" t="s">
        <v>2799</v>
      </c>
      <c r="E1446" s="18">
        <v>1</v>
      </c>
      <c r="F1446" s="18" t="s">
        <v>55</v>
      </c>
      <c r="G1446" s="18">
        <v>0</v>
      </c>
      <c r="H1446" s="18" t="s">
        <v>47</v>
      </c>
      <c r="I1446" s="18">
        <v>0</v>
      </c>
      <c r="J1446" s="18" t="s">
        <v>47</v>
      </c>
      <c r="K1446" s="18">
        <v>0</v>
      </c>
      <c r="L1446" s="18" t="s">
        <v>47</v>
      </c>
      <c r="M1446" s="18">
        <v>0</v>
      </c>
      <c r="N1446" s="18" t="s">
        <v>47</v>
      </c>
      <c r="O1446" s="18">
        <v>0</v>
      </c>
      <c r="P1446" s="18" t="s">
        <v>47</v>
      </c>
      <c r="Q1446" s="18">
        <v>0</v>
      </c>
      <c r="R1446" s="18" t="s">
        <v>47</v>
      </c>
      <c r="S1446" s="18">
        <v>1</v>
      </c>
      <c r="T1446" s="21" t="s">
        <v>55</v>
      </c>
    </row>
    <row r="1447" spans="1:20" x14ac:dyDescent="0.35">
      <c r="A1447" s="1" t="s">
        <v>3032</v>
      </c>
      <c r="B1447" s="22" t="s">
        <v>12</v>
      </c>
      <c r="C1447" s="19" t="s">
        <v>47</v>
      </c>
      <c r="D1447" s="19" t="s">
        <v>2766</v>
      </c>
      <c r="E1447" s="19">
        <v>1</v>
      </c>
      <c r="F1447" s="19" t="s">
        <v>45</v>
      </c>
      <c r="G1447" s="19">
        <v>0</v>
      </c>
      <c r="H1447" s="19" t="s">
        <v>47</v>
      </c>
      <c r="I1447" s="19">
        <v>0</v>
      </c>
      <c r="J1447" s="19" t="s">
        <v>47</v>
      </c>
      <c r="K1447" s="19">
        <v>0</v>
      </c>
      <c r="L1447" s="19" t="s">
        <v>47</v>
      </c>
      <c r="M1447" s="19">
        <v>0</v>
      </c>
      <c r="N1447" s="19" t="s">
        <v>47</v>
      </c>
      <c r="O1447" s="19">
        <v>0</v>
      </c>
      <c r="P1447" s="19" t="s">
        <v>47</v>
      </c>
      <c r="Q1447" s="19">
        <v>0</v>
      </c>
      <c r="R1447" s="19" t="s">
        <v>47</v>
      </c>
      <c r="S1447" s="19">
        <v>1</v>
      </c>
      <c r="T1447" s="23" t="s">
        <v>45</v>
      </c>
    </row>
    <row r="1448" spans="1:20" x14ac:dyDescent="0.35">
      <c r="A1448" s="1" t="s">
        <v>3033</v>
      </c>
      <c r="B1448" s="20" t="s">
        <v>12</v>
      </c>
      <c r="C1448" s="18" t="s">
        <v>47</v>
      </c>
      <c r="D1448" s="18" t="s">
        <v>2800</v>
      </c>
      <c r="E1448" s="18">
        <v>1</v>
      </c>
      <c r="F1448" s="18" t="s">
        <v>48</v>
      </c>
      <c r="G1448" s="18">
        <v>1</v>
      </c>
      <c r="H1448" s="18" t="s">
        <v>48</v>
      </c>
      <c r="I1448" s="18">
        <v>0</v>
      </c>
      <c r="J1448" s="18" t="s">
        <v>47</v>
      </c>
      <c r="K1448" s="18">
        <v>0</v>
      </c>
      <c r="L1448" s="18" t="s">
        <v>47</v>
      </c>
      <c r="M1448" s="18">
        <v>0</v>
      </c>
      <c r="N1448" s="18" t="s">
        <v>47</v>
      </c>
      <c r="O1448" s="18">
        <v>0</v>
      </c>
      <c r="P1448" s="18" t="s">
        <v>47</v>
      </c>
      <c r="Q1448" s="18">
        <v>0</v>
      </c>
      <c r="R1448" s="18" t="s">
        <v>47</v>
      </c>
      <c r="S1448" s="18">
        <v>0</v>
      </c>
      <c r="T1448" s="21" t="s">
        <v>47</v>
      </c>
    </row>
    <row r="1449" spans="1:20" x14ac:dyDescent="0.35">
      <c r="A1449" s="1" t="s">
        <v>3034</v>
      </c>
      <c r="B1449" s="22" t="s">
        <v>12</v>
      </c>
      <c r="C1449" s="19" t="s">
        <v>47</v>
      </c>
      <c r="D1449" s="19" t="s">
        <v>2801</v>
      </c>
      <c r="E1449" s="19">
        <v>1</v>
      </c>
      <c r="F1449" s="19" t="s">
        <v>48</v>
      </c>
      <c r="G1449" s="19">
        <v>0</v>
      </c>
      <c r="H1449" s="19" t="s">
        <v>47</v>
      </c>
      <c r="I1449" s="19">
        <v>0</v>
      </c>
      <c r="J1449" s="19" t="s">
        <v>47</v>
      </c>
      <c r="K1449" s="19">
        <v>0</v>
      </c>
      <c r="L1449" s="19" t="s">
        <v>47</v>
      </c>
      <c r="M1449" s="19">
        <v>0</v>
      </c>
      <c r="N1449" s="19" t="s">
        <v>47</v>
      </c>
      <c r="O1449" s="19">
        <v>0</v>
      </c>
      <c r="P1449" s="19" t="s">
        <v>47</v>
      </c>
      <c r="Q1449" s="19">
        <v>0</v>
      </c>
      <c r="R1449" s="19" t="s">
        <v>47</v>
      </c>
      <c r="S1449" s="19">
        <v>1</v>
      </c>
      <c r="T1449" s="23" t="s">
        <v>45</v>
      </c>
    </row>
    <row r="1450" spans="1:20" x14ac:dyDescent="0.35">
      <c r="A1450" s="1" t="s">
        <v>3035</v>
      </c>
      <c r="B1450" s="20" t="s">
        <v>12</v>
      </c>
      <c r="C1450" s="18" t="s">
        <v>47</v>
      </c>
      <c r="D1450" s="18" t="s">
        <v>2802</v>
      </c>
      <c r="E1450" s="18">
        <v>1</v>
      </c>
      <c r="F1450" s="18" t="s">
        <v>45</v>
      </c>
      <c r="G1450" s="18">
        <v>1</v>
      </c>
      <c r="H1450" s="18" t="s">
        <v>48</v>
      </c>
      <c r="I1450" s="18">
        <v>1</v>
      </c>
      <c r="J1450" s="18" t="s">
        <v>48</v>
      </c>
      <c r="K1450" s="18">
        <v>0</v>
      </c>
      <c r="L1450" s="18" t="s">
        <v>47</v>
      </c>
      <c r="M1450" s="18">
        <v>1</v>
      </c>
      <c r="N1450" s="18" t="s">
        <v>48</v>
      </c>
      <c r="O1450" s="18">
        <v>0</v>
      </c>
      <c r="P1450" s="18" t="s">
        <v>47</v>
      </c>
      <c r="Q1450" s="18">
        <v>1</v>
      </c>
      <c r="R1450" s="18" t="s">
        <v>48</v>
      </c>
      <c r="S1450" s="18">
        <v>0</v>
      </c>
      <c r="T1450" s="21" t="s">
        <v>47</v>
      </c>
    </row>
    <row r="1451" spans="1:20" x14ac:dyDescent="0.35">
      <c r="A1451" s="1" t="s">
        <v>3036</v>
      </c>
      <c r="B1451" s="22" t="s">
        <v>12</v>
      </c>
      <c r="C1451" s="19" t="s">
        <v>47</v>
      </c>
      <c r="D1451" s="19" t="s">
        <v>2803</v>
      </c>
      <c r="E1451" s="19">
        <v>0</v>
      </c>
      <c r="F1451" s="19" t="s">
        <v>47</v>
      </c>
      <c r="G1451" s="19">
        <v>1</v>
      </c>
      <c r="H1451" s="19" t="s">
        <v>48</v>
      </c>
      <c r="I1451" s="19">
        <v>1</v>
      </c>
      <c r="J1451" s="19" t="s">
        <v>48</v>
      </c>
      <c r="K1451" s="19">
        <v>0</v>
      </c>
      <c r="L1451" s="19" t="s">
        <v>47</v>
      </c>
      <c r="M1451" s="19">
        <v>0</v>
      </c>
      <c r="N1451" s="19" t="s">
        <v>47</v>
      </c>
      <c r="O1451" s="19">
        <v>0</v>
      </c>
      <c r="P1451" s="19" t="s">
        <v>47</v>
      </c>
      <c r="Q1451" s="19">
        <v>0</v>
      </c>
      <c r="R1451" s="19" t="s">
        <v>47</v>
      </c>
      <c r="S1451" s="19">
        <v>0</v>
      </c>
      <c r="T1451" s="23" t="s">
        <v>47</v>
      </c>
    </row>
    <row r="1452" spans="1:20" x14ac:dyDescent="0.35">
      <c r="A1452" s="1" t="s">
        <v>3037</v>
      </c>
      <c r="B1452" s="20" t="s">
        <v>12</v>
      </c>
      <c r="C1452" s="18" t="s">
        <v>47</v>
      </c>
      <c r="D1452" s="18" t="s">
        <v>2709</v>
      </c>
      <c r="E1452" s="18">
        <v>0</v>
      </c>
      <c r="F1452" s="18" t="s">
        <v>47</v>
      </c>
      <c r="G1452" s="18">
        <v>1</v>
      </c>
      <c r="H1452" s="18" t="s">
        <v>48</v>
      </c>
      <c r="I1452" s="18">
        <v>0</v>
      </c>
      <c r="J1452" s="18" t="s">
        <v>47</v>
      </c>
      <c r="K1452" s="18">
        <v>0</v>
      </c>
      <c r="L1452" s="18" t="s">
        <v>47</v>
      </c>
      <c r="M1452" s="18">
        <v>0</v>
      </c>
      <c r="N1452" s="18" t="s">
        <v>47</v>
      </c>
      <c r="O1452" s="18">
        <v>1</v>
      </c>
      <c r="P1452" s="18" t="s">
        <v>48</v>
      </c>
      <c r="Q1452" s="18">
        <v>0</v>
      </c>
      <c r="R1452" s="18" t="s">
        <v>47</v>
      </c>
      <c r="S1452" s="18">
        <v>0</v>
      </c>
      <c r="T1452" s="21" t="s">
        <v>47</v>
      </c>
    </row>
    <row r="1453" spans="1:20" x14ac:dyDescent="0.35">
      <c r="A1453" s="1" t="s">
        <v>3038</v>
      </c>
      <c r="B1453" s="22" t="s">
        <v>12</v>
      </c>
      <c r="C1453" s="19" t="s">
        <v>47</v>
      </c>
      <c r="D1453" s="19" t="s">
        <v>2804</v>
      </c>
      <c r="E1453" s="19">
        <v>0</v>
      </c>
      <c r="F1453" s="19" t="s">
        <v>47</v>
      </c>
      <c r="G1453" s="19">
        <v>1</v>
      </c>
      <c r="H1453" s="19" t="s">
        <v>48</v>
      </c>
      <c r="I1453" s="19">
        <v>0</v>
      </c>
      <c r="J1453" s="19" t="s">
        <v>47</v>
      </c>
      <c r="K1453" s="19">
        <v>0</v>
      </c>
      <c r="L1453" s="19" t="s">
        <v>47</v>
      </c>
      <c r="M1453" s="19">
        <v>0</v>
      </c>
      <c r="N1453" s="19" t="s">
        <v>47</v>
      </c>
      <c r="O1453" s="19">
        <v>1</v>
      </c>
      <c r="P1453" s="19" t="s">
        <v>48</v>
      </c>
      <c r="Q1453" s="19">
        <v>1</v>
      </c>
      <c r="R1453" s="19" t="s">
        <v>45</v>
      </c>
      <c r="S1453" s="19">
        <v>1</v>
      </c>
      <c r="T1453" s="23" t="s">
        <v>45</v>
      </c>
    </row>
    <row r="1454" spans="1:20" x14ac:dyDescent="0.35">
      <c r="A1454" s="1" t="s">
        <v>3039</v>
      </c>
      <c r="B1454" s="20" t="s">
        <v>12</v>
      </c>
      <c r="C1454" s="18" t="s">
        <v>47</v>
      </c>
      <c r="D1454" s="18" t="s">
        <v>2805</v>
      </c>
      <c r="E1454" s="18">
        <v>0</v>
      </c>
      <c r="F1454" s="18" t="s">
        <v>47</v>
      </c>
      <c r="G1454" s="18">
        <v>1</v>
      </c>
      <c r="H1454" s="18" t="s">
        <v>48</v>
      </c>
      <c r="I1454" s="18">
        <v>1</v>
      </c>
      <c r="J1454" s="18" t="s">
        <v>48</v>
      </c>
      <c r="K1454" s="18">
        <v>0</v>
      </c>
      <c r="L1454" s="18" t="s">
        <v>47</v>
      </c>
      <c r="M1454" s="18">
        <v>0</v>
      </c>
      <c r="N1454" s="18" t="s">
        <v>47</v>
      </c>
      <c r="O1454" s="18">
        <v>1</v>
      </c>
      <c r="P1454" s="18" t="s">
        <v>48</v>
      </c>
      <c r="Q1454" s="18">
        <v>0</v>
      </c>
      <c r="R1454" s="18" t="s">
        <v>47</v>
      </c>
      <c r="S1454" s="18">
        <v>0</v>
      </c>
      <c r="T1454" s="21" t="s">
        <v>47</v>
      </c>
    </row>
    <row r="1455" spans="1:20" x14ac:dyDescent="0.35">
      <c r="A1455" s="1" t="s">
        <v>3040</v>
      </c>
      <c r="B1455" s="22" t="s">
        <v>12</v>
      </c>
      <c r="C1455" s="19" t="s">
        <v>47</v>
      </c>
      <c r="D1455" s="19" t="s">
        <v>2806</v>
      </c>
      <c r="E1455" s="19">
        <v>1</v>
      </c>
      <c r="F1455" s="19" t="s">
        <v>45</v>
      </c>
      <c r="G1455" s="19">
        <v>1</v>
      </c>
      <c r="H1455" s="19" t="s">
        <v>55</v>
      </c>
      <c r="I1455" s="19">
        <v>1</v>
      </c>
      <c r="J1455" s="19" t="s">
        <v>48</v>
      </c>
      <c r="K1455" s="19">
        <v>0</v>
      </c>
      <c r="L1455" s="19" t="s">
        <v>47</v>
      </c>
      <c r="M1455" s="19">
        <v>0</v>
      </c>
      <c r="N1455" s="19" t="s">
        <v>47</v>
      </c>
      <c r="O1455" s="19">
        <v>1</v>
      </c>
      <c r="P1455" s="19" t="s">
        <v>48</v>
      </c>
      <c r="Q1455" s="19">
        <v>1</v>
      </c>
      <c r="R1455" s="19" t="s">
        <v>45</v>
      </c>
      <c r="S1455" s="19">
        <v>0</v>
      </c>
      <c r="T1455" s="23" t="s">
        <v>47</v>
      </c>
    </row>
    <row r="1456" spans="1:20" x14ac:dyDescent="0.35">
      <c r="A1456" s="1" t="s">
        <v>3041</v>
      </c>
      <c r="B1456" s="20" t="s">
        <v>12</v>
      </c>
      <c r="C1456" s="18" t="s">
        <v>47</v>
      </c>
      <c r="D1456" s="18" t="s">
        <v>2807</v>
      </c>
      <c r="E1456" s="18">
        <v>1</v>
      </c>
      <c r="F1456" s="18" t="s">
        <v>48</v>
      </c>
      <c r="G1456" s="18">
        <v>0</v>
      </c>
      <c r="H1456" s="18" t="s">
        <v>47</v>
      </c>
      <c r="I1456" s="18">
        <v>0</v>
      </c>
      <c r="J1456" s="18" t="s">
        <v>47</v>
      </c>
      <c r="K1456" s="18">
        <v>0</v>
      </c>
      <c r="L1456" s="18" t="s">
        <v>47</v>
      </c>
      <c r="M1456" s="18">
        <v>0</v>
      </c>
      <c r="N1456" s="18" t="s">
        <v>47</v>
      </c>
      <c r="O1456" s="18">
        <v>0</v>
      </c>
      <c r="P1456" s="18" t="s">
        <v>47</v>
      </c>
      <c r="Q1456" s="18">
        <v>0</v>
      </c>
      <c r="R1456" s="18" t="s">
        <v>47</v>
      </c>
      <c r="S1456" s="18">
        <v>0</v>
      </c>
      <c r="T1456" s="21" t="s">
        <v>47</v>
      </c>
    </row>
    <row r="1457" spans="1:20" x14ac:dyDescent="0.35">
      <c r="A1457" s="1" t="s">
        <v>3042</v>
      </c>
      <c r="B1457" s="22" t="s">
        <v>12</v>
      </c>
      <c r="C1457" s="19" t="s">
        <v>47</v>
      </c>
      <c r="D1457" s="19" t="s">
        <v>2710</v>
      </c>
      <c r="E1457" s="19">
        <v>1</v>
      </c>
      <c r="F1457" s="19" t="s">
        <v>45</v>
      </c>
      <c r="G1457" s="19">
        <v>1</v>
      </c>
      <c r="H1457" s="19" t="s">
        <v>48</v>
      </c>
      <c r="I1457" s="19">
        <v>0</v>
      </c>
      <c r="J1457" s="19" t="s">
        <v>47</v>
      </c>
      <c r="K1457" s="19">
        <v>0</v>
      </c>
      <c r="L1457" s="19" t="s">
        <v>47</v>
      </c>
      <c r="M1457" s="19">
        <v>0</v>
      </c>
      <c r="N1457" s="19" t="s">
        <v>47</v>
      </c>
      <c r="O1457" s="19">
        <v>1</v>
      </c>
      <c r="P1457" s="19" t="s">
        <v>48</v>
      </c>
      <c r="Q1457" s="19">
        <v>1</v>
      </c>
      <c r="R1457" s="19" t="s">
        <v>45</v>
      </c>
      <c r="S1457" s="19">
        <v>0</v>
      </c>
      <c r="T1457" s="23" t="s">
        <v>47</v>
      </c>
    </row>
    <row r="1458" spans="1:20" x14ac:dyDescent="0.35">
      <c r="A1458" s="1" t="s">
        <v>3043</v>
      </c>
      <c r="B1458" s="20" t="s">
        <v>12</v>
      </c>
      <c r="C1458" s="18" t="s">
        <v>47</v>
      </c>
      <c r="D1458" s="18" t="s">
        <v>2808</v>
      </c>
      <c r="E1458" s="18">
        <v>1</v>
      </c>
      <c r="F1458" s="18" t="s">
        <v>45</v>
      </c>
      <c r="G1458" s="18">
        <v>0</v>
      </c>
      <c r="H1458" s="18" t="s">
        <v>47</v>
      </c>
      <c r="I1458" s="18">
        <v>0</v>
      </c>
      <c r="J1458" s="18" t="s">
        <v>47</v>
      </c>
      <c r="K1458" s="18">
        <v>0</v>
      </c>
      <c r="L1458" s="18" t="s">
        <v>47</v>
      </c>
      <c r="M1458" s="18">
        <v>1</v>
      </c>
      <c r="N1458" s="18" t="s">
        <v>45</v>
      </c>
      <c r="O1458" s="18">
        <v>0</v>
      </c>
      <c r="P1458" s="18" t="s">
        <v>47</v>
      </c>
      <c r="Q1458" s="18">
        <v>1</v>
      </c>
      <c r="R1458" s="18" t="s">
        <v>48</v>
      </c>
      <c r="S1458" s="18">
        <v>0</v>
      </c>
      <c r="T1458" s="21" t="s">
        <v>47</v>
      </c>
    </row>
    <row r="1459" spans="1:20" x14ac:dyDescent="0.35">
      <c r="A1459" s="1" t="s">
        <v>3044</v>
      </c>
      <c r="B1459" s="22" t="s">
        <v>12</v>
      </c>
      <c r="C1459" s="19" t="s">
        <v>47</v>
      </c>
      <c r="D1459" s="19" t="s">
        <v>2809</v>
      </c>
      <c r="E1459" s="19">
        <v>1</v>
      </c>
      <c r="F1459" s="19" t="s">
        <v>45</v>
      </c>
      <c r="G1459" s="19">
        <v>1</v>
      </c>
      <c r="H1459" s="19" t="s">
        <v>48</v>
      </c>
      <c r="I1459" s="19">
        <v>1</v>
      </c>
      <c r="J1459" s="19" t="s">
        <v>48</v>
      </c>
      <c r="K1459" s="19">
        <v>0</v>
      </c>
      <c r="L1459" s="19" t="s">
        <v>47</v>
      </c>
      <c r="M1459" s="19">
        <v>0</v>
      </c>
      <c r="N1459" s="19" t="s">
        <v>47</v>
      </c>
      <c r="O1459" s="19">
        <v>1</v>
      </c>
      <c r="P1459" s="19" t="s">
        <v>48</v>
      </c>
      <c r="Q1459" s="19">
        <v>0</v>
      </c>
      <c r="R1459" s="19" t="s">
        <v>47</v>
      </c>
      <c r="S1459" s="19">
        <v>0</v>
      </c>
      <c r="T1459" s="23" t="s">
        <v>47</v>
      </c>
    </row>
    <row r="1460" spans="1:20" x14ac:dyDescent="0.35">
      <c r="A1460" s="1" t="s">
        <v>3045</v>
      </c>
      <c r="B1460" s="20" t="s">
        <v>12</v>
      </c>
      <c r="C1460" s="18" t="s">
        <v>47</v>
      </c>
      <c r="D1460" s="18" t="s">
        <v>2810</v>
      </c>
      <c r="E1460" s="18">
        <v>1</v>
      </c>
      <c r="F1460" s="18" t="s">
        <v>55</v>
      </c>
      <c r="G1460" s="18">
        <v>1</v>
      </c>
      <c r="H1460" s="18" t="s">
        <v>55</v>
      </c>
      <c r="I1460" s="18">
        <v>0</v>
      </c>
      <c r="J1460" s="18" t="s">
        <v>47</v>
      </c>
      <c r="K1460" s="18">
        <v>1</v>
      </c>
      <c r="L1460" s="18" t="s">
        <v>48</v>
      </c>
      <c r="M1460" s="18">
        <v>1</v>
      </c>
      <c r="N1460" s="18" t="s">
        <v>48</v>
      </c>
      <c r="O1460" s="18">
        <v>1</v>
      </c>
      <c r="P1460" s="18" t="s">
        <v>45</v>
      </c>
      <c r="Q1460" s="18">
        <v>1</v>
      </c>
      <c r="R1460" s="18" t="s">
        <v>55</v>
      </c>
      <c r="S1460" s="18">
        <v>0</v>
      </c>
      <c r="T1460" s="21" t="s">
        <v>47</v>
      </c>
    </row>
    <row r="1461" spans="1:20" x14ac:dyDescent="0.35">
      <c r="A1461" s="1" t="s">
        <v>3046</v>
      </c>
      <c r="B1461" s="22" t="s">
        <v>12</v>
      </c>
      <c r="C1461" s="19" t="s">
        <v>47</v>
      </c>
      <c r="D1461" s="19" t="s">
        <v>2811</v>
      </c>
      <c r="E1461" s="19">
        <v>1</v>
      </c>
      <c r="F1461" s="19" t="s">
        <v>55</v>
      </c>
      <c r="G1461" s="19">
        <v>1</v>
      </c>
      <c r="H1461" s="19" t="s">
        <v>48</v>
      </c>
      <c r="I1461" s="19">
        <v>0</v>
      </c>
      <c r="J1461" s="19" t="s">
        <v>47</v>
      </c>
      <c r="K1461" s="19">
        <v>0</v>
      </c>
      <c r="L1461" s="19" t="s">
        <v>47</v>
      </c>
      <c r="M1461" s="19">
        <v>0</v>
      </c>
      <c r="N1461" s="19" t="s">
        <v>47</v>
      </c>
      <c r="O1461" s="19">
        <v>1</v>
      </c>
      <c r="P1461" s="19" t="s">
        <v>48</v>
      </c>
      <c r="Q1461" s="19">
        <v>0</v>
      </c>
      <c r="R1461" s="19" t="s">
        <v>47</v>
      </c>
      <c r="S1461" s="19">
        <v>0</v>
      </c>
      <c r="T1461" s="23" t="s">
        <v>47</v>
      </c>
    </row>
    <row r="1462" spans="1:20" x14ac:dyDescent="0.35">
      <c r="A1462" s="1" t="s">
        <v>3047</v>
      </c>
      <c r="B1462" s="20" t="s">
        <v>12</v>
      </c>
      <c r="C1462" s="18" t="s">
        <v>47</v>
      </c>
      <c r="D1462" s="18" t="s">
        <v>2711</v>
      </c>
      <c r="E1462" s="18">
        <v>1</v>
      </c>
      <c r="F1462" s="18" t="s">
        <v>45</v>
      </c>
      <c r="G1462" s="18">
        <v>1</v>
      </c>
      <c r="H1462" s="18" t="s">
        <v>48</v>
      </c>
      <c r="I1462" s="18">
        <v>1</v>
      </c>
      <c r="J1462" s="18" t="s">
        <v>48</v>
      </c>
      <c r="K1462" s="18">
        <v>1</v>
      </c>
      <c r="L1462" s="18" t="s">
        <v>48</v>
      </c>
      <c r="M1462" s="18">
        <v>0</v>
      </c>
      <c r="N1462" s="18" t="s">
        <v>47</v>
      </c>
      <c r="O1462" s="18">
        <v>0</v>
      </c>
      <c r="P1462" s="18" t="s">
        <v>47</v>
      </c>
      <c r="Q1462" s="18">
        <v>0</v>
      </c>
      <c r="R1462" s="18" t="s">
        <v>47</v>
      </c>
      <c r="S1462" s="18">
        <v>0</v>
      </c>
      <c r="T1462" s="21" t="s">
        <v>47</v>
      </c>
    </row>
    <row r="1463" spans="1:20" x14ac:dyDescent="0.35">
      <c r="A1463" s="1" t="s">
        <v>3048</v>
      </c>
      <c r="B1463" s="22" t="s">
        <v>12</v>
      </c>
      <c r="C1463" s="19" t="s">
        <v>47</v>
      </c>
      <c r="D1463" s="19" t="s">
        <v>2812</v>
      </c>
      <c r="E1463" s="19">
        <v>1</v>
      </c>
      <c r="F1463" s="19" t="s">
        <v>48</v>
      </c>
      <c r="G1463" s="19">
        <v>0</v>
      </c>
      <c r="H1463" s="19" t="s">
        <v>47</v>
      </c>
      <c r="I1463" s="19">
        <v>1</v>
      </c>
      <c r="J1463" s="19" t="s">
        <v>48</v>
      </c>
      <c r="K1463" s="19">
        <v>0</v>
      </c>
      <c r="L1463" s="19" t="s">
        <v>47</v>
      </c>
      <c r="M1463" s="19">
        <v>0</v>
      </c>
      <c r="N1463" s="19" t="s">
        <v>47</v>
      </c>
      <c r="O1463" s="19">
        <v>0</v>
      </c>
      <c r="P1463" s="19" t="s">
        <v>47</v>
      </c>
      <c r="Q1463" s="19">
        <v>0</v>
      </c>
      <c r="R1463" s="19" t="s">
        <v>47</v>
      </c>
      <c r="S1463" s="19">
        <v>0</v>
      </c>
      <c r="T1463" s="23" t="s">
        <v>47</v>
      </c>
    </row>
    <row r="1464" spans="1:20" x14ac:dyDescent="0.35">
      <c r="A1464" s="1" t="s">
        <v>3049</v>
      </c>
      <c r="B1464" s="20" t="s">
        <v>12</v>
      </c>
      <c r="C1464" s="18" t="s">
        <v>47</v>
      </c>
      <c r="D1464" s="18" t="s">
        <v>2813</v>
      </c>
      <c r="E1464" s="18">
        <v>0</v>
      </c>
      <c r="F1464" s="18" t="s">
        <v>47</v>
      </c>
      <c r="G1464" s="18">
        <v>1</v>
      </c>
      <c r="H1464" s="18" t="s">
        <v>48</v>
      </c>
      <c r="I1464" s="18">
        <v>0</v>
      </c>
      <c r="J1464" s="18" t="s">
        <v>47</v>
      </c>
      <c r="K1464" s="18">
        <v>0</v>
      </c>
      <c r="L1464" s="18" t="s">
        <v>47</v>
      </c>
      <c r="M1464" s="18">
        <v>0</v>
      </c>
      <c r="N1464" s="18" t="s">
        <v>47</v>
      </c>
      <c r="O1464" s="18">
        <v>0</v>
      </c>
      <c r="P1464" s="18" t="s">
        <v>47</v>
      </c>
      <c r="Q1464" s="18">
        <v>1</v>
      </c>
      <c r="R1464" s="18" t="s">
        <v>48</v>
      </c>
      <c r="S1464" s="18">
        <v>0</v>
      </c>
      <c r="T1464" s="21" t="s">
        <v>47</v>
      </c>
    </row>
    <row r="1465" spans="1:20" x14ac:dyDescent="0.35">
      <c r="A1465" s="1" t="s">
        <v>3050</v>
      </c>
      <c r="B1465" s="22" t="s">
        <v>12</v>
      </c>
      <c r="C1465" s="19" t="s">
        <v>47</v>
      </c>
      <c r="D1465" s="19" t="s">
        <v>2814</v>
      </c>
      <c r="E1465" s="19">
        <v>1</v>
      </c>
      <c r="F1465" s="19" t="s">
        <v>48</v>
      </c>
      <c r="G1465" s="19">
        <v>0</v>
      </c>
      <c r="H1465" s="19" t="s">
        <v>47</v>
      </c>
      <c r="I1465" s="19">
        <v>0</v>
      </c>
      <c r="J1465" s="19" t="s">
        <v>47</v>
      </c>
      <c r="K1465" s="19">
        <v>0</v>
      </c>
      <c r="L1465" s="19" t="s">
        <v>47</v>
      </c>
      <c r="M1465" s="19">
        <v>1</v>
      </c>
      <c r="N1465" s="19" t="s">
        <v>48</v>
      </c>
      <c r="O1465" s="19">
        <v>1</v>
      </c>
      <c r="P1465" s="19" t="s">
        <v>48</v>
      </c>
      <c r="Q1465" s="19">
        <v>0</v>
      </c>
      <c r="R1465" s="19" t="s">
        <v>47</v>
      </c>
      <c r="S1465" s="19">
        <v>0</v>
      </c>
      <c r="T1465" s="23" t="s">
        <v>47</v>
      </c>
    </row>
    <row r="1466" spans="1:20" x14ac:dyDescent="0.35">
      <c r="A1466" s="1" t="s">
        <v>3051</v>
      </c>
      <c r="B1466" s="20" t="s">
        <v>12</v>
      </c>
      <c r="C1466" s="18" t="s">
        <v>47</v>
      </c>
      <c r="D1466" s="18" t="s">
        <v>2712</v>
      </c>
      <c r="E1466" s="18">
        <v>1</v>
      </c>
      <c r="F1466" s="18" t="s">
        <v>48</v>
      </c>
      <c r="G1466" s="18">
        <v>0</v>
      </c>
      <c r="H1466" s="18" t="s">
        <v>47</v>
      </c>
      <c r="I1466" s="18">
        <v>0</v>
      </c>
      <c r="J1466" s="18" t="s">
        <v>47</v>
      </c>
      <c r="K1466" s="18">
        <v>0</v>
      </c>
      <c r="L1466" s="18" t="s">
        <v>47</v>
      </c>
      <c r="M1466" s="18">
        <v>1</v>
      </c>
      <c r="N1466" s="18" t="s">
        <v>55</v>
      </c>
      <c r="O1466" s="18">
        <v>1</v>
      </c>
      <c r="P1466" s="18" t="s">
        <v>48</v>
      </c>
      <c r="Q1466" s="18">
        <v>0</v>
      </c>
      <c r="R1466" s="18" t="s">
        <v>47</v>
      </c>
      <c r="S1466" s="18">
        <v>0</v>
      </c>
      <c r="T1466" s="21" t="s">
        <v>47</v>
      </c>
    </row>
    <row r="1467" spans="1:20" x14ac:dyDescent="0.35">
      <c r="A1467" s="1" t="s">
        <v>3052</v>
      </c>
      <c r="B1467" s="22" t="s">
        <v>12</v>
      </c>
      <c r="C1467" s="19" t="s">
        <v>47</v>
      </c>
      <c r="D1467" s="19" t="s">
        <v>2815</v>
      </c>
      <c r="E1467" s="19">
        <v>1</v>
      </c>
      <c r="F1467" s="19" t="s">
        <v>45</v>
      </c>
      <c r="G1467" s="19">
        <v>1</v>
      </c>
      <c r="H1467" s="19" t="s">
        <v>48</v>
      </c>
      <c r="I1467" s="19">
        <v>1</v>
      </c>
      <c r="J1467" s="19" t="s">
        <v>48</v>
      </c>
      <c r="K1467" s="19">
        <v>0</v>
      </c>
      <c r="L1467" s="19" t="s">
        <v>47</v>
      </c>
      <c r="M1467" s="19">
        <v>0</v>
      </c>
      <c r="N1467" s="19" t="s">
        <v>47</v>
      </c>
      <c r="O1467" s="19">
        <v>1</v>
      </c>
      <c r="P1467" s="19" t="s">
        <v>48</v>
      </c>
      <c r="Q1467" s="19">
        <v>0</v>
      </c>
      <c r="R1467" s="19" t="s">
        <v>47</v>
      </c>
      <c r="S1467" s="19">
        <v>0</v>
      </c>
      <c r="T1467" s="23" t="s">
        <v>47</v>
      </c>
    </row>
    <row r="1468" spans="1:20" x14ac:dyDescent="0.35">
      <c r="A1468" s="1" t="s">
        <v>3053</v>
      </c>
      <c r="B1468" s="20" t="s">
        <v>12</v>
      </c>
      <c r="C1468" s="18" t="s">
        <v>47</v>
      </c>
      <c r="D1468" s="18" t="s">
        <v>2816</v>
      </c>
      <c r="E1468" s="18">
        <v>1</v>
      </c>
      <c r="F1468" s="18" t="s">
        <v>48</v>
      </c>
      <c r="G1468" s="18">
        <v>1</v>
      </c>
      <c r="H1468" s="18" t="s">
        <v>55</v>
      </c>
      <c r="I1468" s="18">
        <v>1</v>
      </c>
      <c r="J1468" s="18" t="s">
        <v>48</v>
      </c>
      <c r="K1468" s="18">
        <v>0</v>
      </c>
      <c r="L1468" s="18" t="s">
        <v>47</v>
      </c>
      <c r="M1468" s="18">
        <v>1</v>
      </c>
      <c r="N1468" s="18" t="s">
        <v>48</v>
      </c>
      <c r="O1468" s="18">
        <v>0</v>
      </c>
      <c r="P1468" s="18" t="s">
        <v>47</v>
      </c>
      <c r="Q1468" s="18">
        <v>0</v>
      </c>
      <c r="R1468" s="18" t="s">
        <v>47</v>
      </c>
      <c r="S1468" s="18">
        <v>0</v>
      </c>
      <c r="T1468" s="21" t="s">
        <v>47</v>
      </c>
    </row>
    <row r="1469" spans="1:20" x14ac:dyDescent="0.35">
      <c r="A1469" s="1" t="s">
        <v>3054</v>
      </c>
      <c r="B1469" s="22" t="s">
        <v>12</v>
      </c>
      <c r="C1469" s="19" t="s">
        <v>47</v>
      </c>
      <c r="D1469" s="19" t="s">
        <v>2713</v>
      </c>
      <c r="E1469" s="19">
        <v>0</v>
      </c>
      <c r="F1469" s="19" t="s">
        <v>47</v>
      </c>
      <c r="G1469" s="19">
        <v>1</v>
      </c>
      <c r="H1469" s="19" t="s">
        <v>48</v>
      </c>
      <c r="I1469" s="19">
        <v>0</v>
      </c>
      <c r="J1469" s="19" t="s">
        <v>47</v>
      </c>
      <c r="K1469" s="19">
        <v>0</v>
      </c>
      <c r="L1469" s="19" t="s">
        <v>47</v>
      </c>
      <c r="M1469" s="19">
        <v>0</v>
      </c>
      <c r="N1469" s="19" t="s">
        <v>47</v>
      </c>
      <c r="O1469" s="19">
        <v>0</v>
      </c>
      <c r="P1469" s="19" t="s">
        <v>47</v>
      </c>
      <c r="Q1469" s="19">
        <v>0</v>
      </c>
      <c r="R1469" s="19" t="s">
        <v>47</v>
      </c>
      <c r="S1469" s="19">
        <v>0</v>
      </c>
      <c r="T1469" s="23" t="s">
        <v>47</v>
      </c>
    </row>
    <row r="1470" spans="1:20" x14ac:dyDescent="0.35">
      <c r="A1470" s="1" t="s">
        <v>3055</v>
      </c>
      <c r="B1470" s="20" t="s">
        <v>12</v>
      </c>
      <c r="C1470" s="18" t="s">
        <v>47</v>
      </c>
      <c r="D1470" s="18" t="s">
        <v>2817</v>
      </c>
      <c r="E1470" s="18">
        <v>1</v>
      </c>
      <c r="F1470" s="18" t="s">
        <v>48</v>
      </c>
      <c r="G1470" s="18">
        <v>0</v>
      </c>
      <c r="H1470" s="18" t="s">
        <v>47</v>
      </c>
      <c r="I1470" s="18">
        <v>1</v>
      </c>
      <c r="J1470" s="18" t="s">
        <v>48</v>
      </c>
      <c r="K1470" s="18">
        <v>0</v>
      </c>
      <c r="L1470" s="18" t="s">
        <v>47</v>
      </c>
      <c r="M1470" s="18">
        <v>0</v>
      </c>
      <c r="N1470" s="18" t="s">
        <v>47</v>
      </c>
      <c r="O1470" s="18">
        <v>1</v>
      </c>
      <c r="P1470" s="18" t="s">
        <v>48</v>
      </c>
      <c r="Q1470" s="18">
        <v>0</v>
      </c>
      <c r="R1470" s="18" t="s">
        <v>47</v>
      </c>
      <c r="S1470" s="18">
        <v>0</v>
      </c>
      <c r="T1470" s="21" t="s">
        <v>47</v>
      </c>
    </row>
    <row r="1471" spans="1:20" x14ac:dyDescent="0.35">
      <c r="A1471" s="1" t="s">
        <v>3056</v>
      </c>
      <c r="B1471" s="22" t="s">
        <v>12</v>
      </c>
      <c r="C1471" s="19" t="s">
        <v>47</v>
      </c>
      <c r="D1471" s="19" t="s">
        <v>2818</v>
      </c>
      <c r="E1471" s="19">
        <v>1</v>
      </c>
      <c r="F1471" s="19" t="s">
        <v>48</v>
      </c>
      <c r="G1471" s="19">
        <v>1</v>
      </c>
      <c r="H1471" s="19" t="s">
        <v>48</v>
      </c>
      <c r="I1471" s="19">
        <v>1</v>
      </c>
      <c r="J1471" s="19" t="s">
        <v>48</v>
      </c>
      <c r="K1471" s="19">
        <v>0</v>
      </c>
      <c r="L1471" s="19" t="s">
        <v>47</v>
      </c>
      <c r="M1471" s="19">
        <v>0</v>
      </c>
      <c r="N1471" s="19" t="s">
        <v>47</v>
      </c>
      <c r="O1471" s="19">
        <v>1</v>
      </c>
      <c r="P1471" s="19" t="s">
        <v>48</v>
      </c>
      <c r="Q1471" s="19">
        <v>0</v>
      </c>
      <c r="R1471" s="19" t="s">
        <v>47</v>
      </c>
      <c r="S1471" s="19">
        <v>0</v>
      </c>
      <c r="T1471" s="23" t="s">
        <v>47</v>
      </c>
    </row>
    <row r="1472" spans="1:20" x14ac:dyDescent="0.35">
      <c r="A1472" s="1" t="s">
        <v>3057</v>
      </c>
      <c r="B1472" s="20" t="s">
        <v>12</v>
      </c>
      <c r="C1472" s="18" t="s">
        <v>47</v>
      </c>
      <c r="D1472" s="18" t="s">
        <v>2714</v>
      </c>
      <c r="E1472" s="18">
        <v>1</v>
      </c>
      <c r="F1472" s="18" t="s">
        <v>48</v>
      </c>
      <c r="G1472" s="18">
        <v>0</v>
      </c>
      <c r="H1472" s="18" t="s">
        <v>47</v>
      </c>
      <c r="I1472" s="18">
        <v>0</v>
      </c>
      <c r="J1472" s="18" t="s">
        <v>47</v>
      </c>
      <c r="K1472" s="18">
        <v>0</v>
      </c>
      <c r="L1472" s="18" t="s">
        <v>47</v>
      </c>
      <c r="M1472" s="18">
        <v>0</v>
      </c>
      <c r="N1472" s="18" t="s">
        <v>47</v>
      </c>
      <c r="O1472" s="18">
        <v>0</v>
      </c>
      <c r="P1472" s="18" t="s">
        <v>47</v>
      </c>
      <c r="Q1472" s="18">
        <v>0</v>
      </c>
      <c r="R1472" s="18" t="s">
        <v>47</v>
      </c>
      <c r="S1472" s="18">
        <v>0</v>
      </c>
      <c r="T1472" s="21" t="s">
        <v>47</v>
      </c>
    </row>
    <row r="1473" spans="1:20" x14ac:dyDescent="0.35">
      <c r="A1473" s="1" t="s">
        <v>3058</v>
      </c>
      <c r="B1473" s="22" t="s">
        <v>12</v>
      </c>
      <c r="C1473" s="19" t="s">
        <v>47</v>
      </c>
      <c r="D1473" s="19" t="s">
        <v>2715</v>
      </c>
      <c r="E1473" s="19">
        <v>0</v>
      </c>
      <c r="F1473" s="19" t="s">
        <v>47</v>
      </c>
      <c r="G1473" s="19">
        <v>1</v>
      </c>
      <c r="H1473" s="19" t="s">
        <v>55</v>
      </c>
      <c r="I1473" s="19">
        <v>0</v>
      </c>
      <c r="J1473" s="19" t="s">
        <v>47</v>
      </c>
      <c r="K1473" s="19">
        <v>0</v>
      </c>
      <c r="L1473" s="19" t="s">
        <v>47</v>
      </c>
      <c r="M1473" s="19">
        <v>0</v>
      </c>
      <c r="N1473" s="19" t="s">
        <v>47</v>
      </c>
      <c r="O1473" s="19">
        <v>0</v>
      </c>
      <c r="P1473" s="19" t="s">
        <v>47</v>
      </c>
      <c r="Q1473" s="19">
        <v>1</v>
      </c>
      <c r="R1473" s="19" t="s">
        <v>48</v>
      </c>
      <c r="S1473" s="19">
        <v>0</v>
      </c>
      <c r="T1473" s="23" t="s">
        <v>47</v>
      </c>
    </row>
    <row r="1474" spans="1:20" x14ac:dyDescent="0.35">
      <c r="A1474" s="1" t="s">
        <v>3059</v>
      </c>
      <c r="B1474" s="20" t="s">
        <v>12</v>
      </c>
      <c r="C1474" s="18" t="s">
        <v>47</v>
      </c>
      <c r="D1474" s="18" t="s">
        <v>2819</v>
      </c>
      <c r="E1474" s="18">
        <v>1</v>
      </c>
      <c r="F1474" s="18" t="s">
        <v>48</v>
      </c>
      <c r="G1474" s="18">
        <v>1</v>
      </c>
      <c r="H1474" s="18" t="s">
        <v>48</v>
      </c>
      <c r="I1474" s="18">
        <v>0</v>
      </c>
      <c r="J1474" s="18" t="s">
        <v>47</v>
      </c>
      <c r="K1474" s="18">
        <v>0</v>
      </c>
      <c r="L1474" s="18" t="s">
        <v>47</v>
      </c>
      <c r="M1474" s="18">
        <v>0</v>
      </c>
      <c r="N1474" s="18" t="s">
        <v>47</v>
      </c>
      <c r="O1474" s="18">
        <v>0</v>
      </c>
      <c r="P1474" s="18" t="s">
        <v>47</v>
      </c>
      <c r="Q1474" s="18">
        <v>0</v>
      </c>
      <c r="R1474" s="18" t="s">
        <v>47</v>
      </c>
      <c r="S1474" s="18">
        <v>1</v>
      </c>
      <c r="T1474" s="21" t="s">
        <v>55</v>
      </c>
    </row>
    <row r="1475" spans="1:20" x14ac:dyDescent="0.35">
      <c r="A1475" s="1" t="s">
        <v>3060</v>
      </c>
      <c r="B1475" s="22" t="s">
        <v>12</v>
      </c>
      <c r="C1475" s="19" t="s">
        <v>47</v>
      </c>
      <c r="D1475" s="19" t="s">
        <v>2820</v>
      </c>
      <c r="E1475" s="19">
        <v>0</v>
      </c>
      <c r="F1475" s="19" t="s">
        <v>47</v>
      </c>
      <c r="G1475" s="19">
        <v>1</v>
      </c>
      <c r="H1475" s="19" t="s">
        <v>48</v>
      </c>
      <c r="I1475" s="19">
        <v>0</v>
      </c>
      <c r="J1475" s="19" t="s">
        <v>47</v>
      </c>
      <c r="K1475" s="19">
        <v>0</v>
      </c>
      <c r="L1475" s="19" t="s">
        <v>47</v>
      </c>
      <c r="M1475" s="19">
        <v>0</v>
      </c>
      <c r="N1475" s="19" t="s">
        <v>47</v>
      </c>
      <c r="O1475" s="19">
        <v>0</v>
      </c>
      <c r="P1475" s="19" t="s">
        <v>47</v>
      </c>
      <c r="Q1475" s="19">
        <v>0</v>
      </c>
      <c r="R1475" s="19" t="s">
        <v>47</v>
      </c>
      <c r="S1475" s="19">
        <v>0</v>
      </c>
      <c r="T1475" s="23" t="s">
        <v>47</v>
      </c>
    </row>
    <row r="1476" spans="1:20" x14ac:dyDescent="0.35">
      <c r="A1476" s="1" t="s">
        <v>3061</v>
      </c>
      <c r="B1476" s="20" t="s">
        <v>12</v>
      </c>
      <c r="C1476" s="18" t="s">
        <v>47</v>
      </c>
      <c r="D1476" s="18" t="s">
        <v>2821</v>
      </c>
      <c r="E1476" s="18">
        <v>1</v>
      </c>
      <c r="F1476" s="18" t="s">
        <v>55</v>
      </c>
      <c r="G1476" s="18">
        <v>1</v>
      </c>
      <c r="H1476" s="18" t="s">
        <v>48</v>
      </c>
      <c r="I1476" s="18">
        <v>0</v>
      </c>
      <c r="J1476" s="18" t="s">
        <v>47</v>
      </c>
      <c r="K1476" s="18">
        <v>0</v>
      </c>
      <c r="L1476" s="18" t="s">
        <v>47</v>
      </c>
      <c r="M1476" s="18">
        <v>0</v>
      </c>
      <c r="N1476" s="18" t="s">
        <v>47</v>
      </c>
      <c r="O1476" s="18">
        <v>0</v>
      </c>
      <c r="P1476" s="18" t="s">
        <v>47</v>
      </c>
      <c r="Q1476" s="18">
        <v>1</v>
      </c>
      <c r="R1476" s="18" t="s">
        <v>48</v>
      </c>
      <c r="S1476" s="18">
        <v>0</v>
      </c>
      <c r="T1476" s="21" t="s">
        <v>47</v>
      </c>
    </row>
    <row r="1477" spans="1:20" x14ac:dyDescent="0.35">
      <c r="A1477" s="1" t="s">
        <v>3062</v>
      </c>
      <c r="B1477" s="22" t="s">
        <v>12</v>
      </c>
      <c r="C1477" s="19" t="s">
        <v>47</v>
      </c>
      <c r="D1477" s="19" t="s">
        <v>2716</v>
      </c>
      <c r="E1477" s="19">
        <v>1</v>
      </c>
      <c r="F1477" s="19" t="s">
        <v>55</v>
      </c>
      <c r="G1477" s="19">
        <v>0</v>
      </c>
      <c r="H1477" s="19" t="s">
        <v>47</v>
      </c>
      <c r="I1477" s="19">
        <v>0</v>
      </c>
      <c r="J1477" s="19" t="s">
        <v>47</v>
      </c>
      <c r="K1477" s="19">
        <v>0</v>
      </c>
      <c r="L1477" s="19" t="s">
        <v>47</v>
      </c>
      <c r="M1477" s="19">
        <v>0</v>
      </c>
      <c r="N1477" s="19" t="s">
        <v>47</v>
      </c>
      <c r="O1477" s="19">
        <v>0</v>
      </c>
      <c r="P1477" s="19" t="s">
        <v>47</v>
      </c>
      <c r="Q1477" s="19">
        <v>0</v>
      </c>
      <c r="R1477" s="19" t="s">
        <v>47</v>
      </c>
      <c r="S1477" s="19">
        <v>0</v>
      </c>
      <c r="T1477" s="23" t="s">
        <v>47</v>
      </c>
    </row>
    <row r="1478" spans="1:20" x14ac:dyDescent="0.35">
      <c r="A1478" s="1" t="s">
        <v>3063</v>
      </c>
      <c r="B1478" s="20" t="s">
        <v>12</v>
      </c>
      <c r="C1478" s="18" t="s">
        <v>47</v>
      </c>
      <c r="D1478" s="18" t="s">
        <v>2822</v>
      </c>
      <c r="E1478" s="18">
        <v>1</v>
      </c>
      <c r="F1478" s="18" t="s">
        <v>48</v>
      </c>
      <c r="G1478" s="18">
        <v>1</v>
      </c>
      <c r="H1478" s="18" t="s">
        <v>48</v>
      </c>
      <c r="I1478" s="18">
        <v>0</v>
      </c>
      <c r="J1478" s="18" t="s">
        <v>47</v>
      </c>
      <c r="K1478" s="18">
        <v>0</v>
      </c>
      <c r="L1478" s="18" t="s">
        <v>47</v>
      </c>
      <c r="M1478" s="18">
        <v>0</v>
      </c>
      <c r="N1478" s="18" t="s">
        <v>47</v>
      </c>
      <c r="O1478" s="18">
        <v>0</v>
      </c>
      <c r="P1478" s="18" t="s">
        <v>47</v>
      </c>
      <c r="Q1478" s="18">
        <v>1</v>
      </c>
      <c r="R1478" s="18" t="s">
        <v>45</v>
      </c>
      <c r="S1478" s="18">
        <v>0</v>
      </c>
      <c r="T1478" s="21" t="s">
        <v>47</v>
      </c>
    </row>
    <row r="1479" spans="1:20" x14ac:dyDescent="0.35">
      <c r="A1479" s="1" t="s">
        <v>3064</v>
      </c>
      <c r="B1479" s="22" t="s">
        <v>12</v>
      </c>
      <c r="C1479" s="19" t="s">
        <v>47</v>
      </c>
      <c r="D1479" s="19" t="s">
        <v>2717</v>
      </c>
      <c r="E1479" s="19">
        <v>1</v>
      </c>
      <c r="F1479" s="19" t="s">
        <v>55</v>
      </c>
      <c r="G1479" s="19">
        <v>1</v>
      </c>
      <c r="H1479" s="19" t="s">
        <v>48</v>
      </c>
      <c r="I1479" s="19">
        <v>0</v>
      </c>
      <c r="J1479" s="19" t="s">
        <v>47</v>
      </c>
      <c r="K1479" s="19">
        <v>0</v>
      </c>
      <c r="L1479" s="19" t="s">
        <v>47</v>
      </c>
      <c r="M1479" s="19">
        <v>0</v>
      </c>
      <c r="N1479" s="19" t="s">
        <v>47</v>
      </c>
      <c r="O1479" s="19">
        <v>1</v>
      </c>
      <c r="P1479" s="19" t="s">
        <v>48</v>
      </c>
      <c r="Q1479" s="19">
        <v>1</v>
      </c>
      <c r="R1479" s="19" t="s">
        <v>45</v>
      </c>
      <c r="S1479" s="19">
        <v>0</v>
      </c>
      <c r="T1479" s="23" t="s">
        <v>47</v>
      </c>
    </row>
    <row r="1480" spans="1:20" x14ac:dyDescent="0.35">
      <c r="A1480" s="1" t="s">
        <v>3065</v>
      </c>
      <c r="B1480" s="20" t="s">
        <v>12</v>
      </c>
      <c r="C1480" s="18" t="s">
        <v>47</v>
      </c>
      <c r="D1480" s="18" t="s">
        <v>2823</v>
      </c>
      <c r="E1480" s="18">
        <v>1</v>
      </c>
      <c r="F1480" s="18" t="s">
        <v>45</v>
      </c>
      <c r="G1480" s="18">
        <v>1</v>
      </c>
      <c r="H1480" s="18" t="s">
        <v>48</v>
      </c>
      <c r="I1480" s="18">
        <v>0</v>
      </c>
      <c r="J1480" s="18" t="s">
        <v>47</v>
      </c>
      <c r="K1480" s="18">
        <v>1</v>
      </c>
      <c r="L1480" s="18" t="s">
        <v>48</v>
      </c>
      <c r="M1480" s="18">
        <v>1</v>
      </c>
      <c r="N1480" s="18" t="s">
        <v>48</v>
      </c>
      <c r="O1480" s="18">
        <v>0</v>
      </c>
      <c r="P1480" s="18" t="s">
        <v>47</v>
      </c>
      <c r="Q1480" s="18">
        <v>1</v>
      </c>
      <c r="R1480" s="18" t="s">
        <v>48</v>
      </c>
      <c r="S1480" s="18">
        <v>0</v>
      </c>
      <c r="T1480" s="21" t="s">
        <v>47</v>
      </c>
    </row>
    <row r="1481" spans="1:20" x14ac:dyDescent="0.35">
      <c r="A1481" s="1" t="s">
        <v>3066</v>
      </c>
      <c r="B1481" s="22" t="s">
        <v>12</v>
      </c>
      <c r="C1481" s="19" t="s">
        <v>47</v>
      </c>
      <c r="D1481" s="19" t="s">
        <v>2718</v>
      </c>
      <c r="E1481" s="19">
        <v>1</v>
      </c>
      <c r="F1481" s="19" t="s">
        <v>45</v>
      </c>
      <c r="G1481" s="19">
        <v>1</v>
      </c>
      <c r="H1481" s="19" t="s">
        <v>45</v>
      </c>
      <c r="I1481" s="19">
        <v>0</v>
      </c>
      <c r="J1481" s="19" t="s">
        <v>47</v>
      </c>
      <c r="K1481" s="19">
        <v>1</v>
      </c>
      <c r="L1481" s="19" t="s">
        <v>45</v>
      </c>
      <c r="M1481" s="19">
        <v>1</v>
      </c>
      <c r="N1481" s="19" t="s">
        <v>48</v>
      </c>
      <c r="O1481" s="19">
        <v>0</v>
      </c>
      <c r="P1481" s="19" t="s">
        <v>47</v>
      </c>
      <c r="Q1481" s="19">
        <v>0</v>
      </c>
      <c r="R1481" s="19" t="s">
        <v>47</v>
      </c>
      <c r="S1481" s="19">
        <v>0</v>
      </c>
      <c r="T1481" s="23" t="s">
        <v>47</v>
      </c>
    </row>
    <row r="1482" spans="1:20" x14ac:dyDescent="0.35">
      <c r="A1482" s="1" t="s">
        <v>3067</v>
      </c>
      <c r="B1482" s="20" t="s">
        <v>12</v>
      </c>
      <c r="C1482" s="18" t="s">
        <v>47</v>
      </c>
      <c r="D1482" s="18" t="s">
        <v>2719</v>
      </c>
      <c r="E1482" s="18">
        <v>1</v>
      </c>
      <c r="F1482" s="18" t="s">
        <v>55</v>
      </c>
      <c r="G1482" s="18">
        <v>0</v>
      </c>
      <c r="H1482" s="18" t="s">
        <v>47</v>
      </c>
      <c r="I1482" s="18">
        <v>0</v>
      </c>
      <c r="J1482" s="18" t="s">
        <v>47</v>
      </c>
      <c r="K1482" s="18">
        <v>0</v>
      </c>
      <c r="L1482" s="18" t="s">
        <v>47</v>
      </c>
      <c r="M1482" s="18">
        <v>1</v>
      </c>
      <c r="N1482" s="18" t="s">
        <v>55</v>
      </c>
      <c r="O1482" s="18">
        <v>0</v>
      </c>
      <c r="P1482" s="18" t="s">
        <v>47</v>
      </c>
      <c r="Q1482" s="18">
        <v>0</v>
      </c>
      <c r="R1482" s="18" t="s">
        <v>47</v>
      </c>
      <c r="S1482" s="18">
        <v>0</v>
      </c>
      <c r="T1482" s="21" t="s">
        <v>47</v>
      </c>
    </row>
    <row r="1483" spans="1:20" x14ac:dyDescent="0.35">
      <c r="A1483" s="1" t="s">
        <v>3068</v>
      </c>
      <c r="B1483" s="22" t="s">
        <v>12</v>
      </c>
      <c r="C1483" s="19" t="s">
        <v>47</v>
      </c>
      <c r="D1483" s="19" t="s">
        <v>2824</v>
      </c>
      <c r="E1483" s="19">
        <v>1</v>
      </c>
      <c r="F1483" s="19" t="s">
        <v>48</v>
      </c>
      <c r="G1483" s="19">
        <v>0</v>
      </c>
      <c r="H1483" s="19" t="s">
        <v>47</v>
      </c>
      <c r="I1483" s="19">
        <v>0</v>
      </c>
      <c r="J1483" s="19" t="s">
        <v>47</v>
      </c>
      <c r="K1483" s="19">
        <v>0</v>
      </c>
      <c r="L1483" s="19" t="s">
        <v>47</v>
      </c>
      <c r="M1483" s="19">
        <v>0</v>
      </c>
      <c r="N1483" s="19" t="s">
        <v>47</v>
      </c>
      <c r="O1483" s="19">
        <v>0</v>
      </c>
      <c r="P1483" s="19" t="s">
        <v>47</v>
      </c>
      <c r="Q1483" s="19">
        <v>0</v>
      </c>
      <c r="R1483" s="19" t="s">
        <v>47</v>
      </c>
      <c r="S1483" s="19">
        <v>0</v>
      </c>
      <c r="T1483" s="23" t="s">
        <v>47</v>
      </c>
    </row>
    <row r="1484" spans="1:20" x14ac:dyDescent="0.35">
      <c r="A1484" s="1" t="s">
        <v>3069</v>
      </c>
      <c r="B1484" s="20" t="s">
        <v>12</v>
      </c>
      <c r="C1484" s="18" t="s">
        <v>47</v>
      </c>
      <c r="D1484" s="18" t="s">
        <v>2720</v>
      </c>
      <c r="E1484" s="18">
        <v>0</v>
      </c>
      <c r="F1484" s="18" t="s">
        <v>47</v>
      </c>
      <c r="G1484" s="18">
        <v>1</v>
      </c>
      <c r="H1484" s="18" t="s">
        <v>48</v>
      </c>
      <c r="I1484" s="18">
        <v>0</v>
      </c>
      <c r="J1484" s="18" t="s">
        <v>47</v>
      </c>
      <c r="K1484" s="18">
        <v>0</v>
      </c>
      <c r="L1484" s="18" t="s">
        <v>47</v>
      </c>
      <c r="M1484" s="18">
        <v>0</v>
      </c>
      <c r="N1484" s="18" t="s">
        <v>47</v>
      </c>
      <c r="O1484" s="18">
        <v>1</v>
      </c>
      <c r="P1484" s="18" t="s">
        <v>48</v>
      </c>
      <c r="Q1484" s="18">
        <v>0</v>
      </c>
      <c r="R1484" s="18" t="s">
        <v>47</v>
      </c>
      <c r="S1484" s="18">
        <v>0</v>
      </c>
      <c r="T1484" s="21" t="s">
        <v>47</v>
      </c>
    </row>
    <row r="1485" spans="1:20" x14ac:dyDescent="0.35">
      <c r="A1485" s="1" t="s">
        <v>3070</v>
      </c>
      <c r="B1485" s="22" t="s">
        <v>12</v>
      </c>
      <c r="C1485" s="19" t="s">
        <v>47</v>
      </c>
      <c r="D1485" s="19" t="s">
        <v>2721</v>
      </c>
      <c r="E1485" s="19">
        <v>1</v>
      </c>
      <c r="F1485" s="19" t="s">
        <v>45</v>
      </c>
      <c r="G1485" s="19">
        <v>1</v>
      </c>
      <c r="H1485" s="19" t="s">
        <v>48</v>
      </c>
      <c r="I1485" s="19">
        <v>0</v>
      </c>
      <c r="J1485" s="19" t="s">
        <v>47</v>
      </c>
      <c r="K1485" s="19">
        <v>0</v>
      </c>
      <c r="L1485" s="19" t="s">
        <v>47</v>
      </c>
      <c r="M1485" s="19">
        <v>0</v>
      </c>
      <c r="N1485" s="19" t="s">
        <v>47</v>
      </c>
      <c r="O1485" s="19">
        <v>0</v>
      </c>
      <c r="P1485" s="19" t="s">
        <v>47</v>
      </c>
      <c r="Q1485" s="19">
        <v>0</v>
      </c>
      <c r="R1485" s="19" t="s">
        <v>47</v>
      </c>
      <c r="S1485" s="19">
        <v>0</v>
      </c>
      <c r="T1485" s="23" t="s">
        <v>47</v>
      </c>
    </row>
    <row r="1486" spans="1:20" x14ac:dyDescent="0.35">
      <c r="A1486" s="1" t="s">
        <v>3071</v>
      </c>
      <c r="B1486" s="20" t="s">
        <v>12</v>
      </c>
      <c r="C1486" s="18" t="s">
        <v>47</v>
      </c>
      <c r="D1486" s="18" t="s">
        <v>2825</v>
      </c>
      <c r="E1486" s="18">
        <v>1</v>
      </c>
      <c r="F1486" s="18" t="s">
        <v>48</v>
      </c>
      <c r="G1486" s="18">
        <v>1</v>
      </c>
      <c r="H1486" s="18" t="s">
        <v>48</v>
      </c>
      <c r="I1486" s="18">
        <v>0</v>
      </c>
      <c r="J1486" s="18" t="s">
        <v>47</v>
      </c>
      <c r="K1486" s="18">
        <v>0</v>
      </c>
      <c r="L1486" s="18" t="s">
        <v>47</v>
      </c>
      <c r="M1486" s="18">
        <v>1</v>
      </c>
      <c r="N1486" s="18" t="s">
        <v>48</v>
      </c>
      <c r="O1486" s="18">
        <v>0</v>
      </c>
      <c r="P1486" s="18" t="s">
        <v>47</v>
      </c>
      <c r="Q1486" s="18">
        <v>0</v>
      </c>
      <c r="R1486" s="18" t="s">
        <v>47</v>
      </c>
      <c r="S1486" s="18">
        <v>0</v>
      </c>
      <c r="T1486" s="21" t="s">
        <v>47</v>
      </c>
    </row>
    <row r="1487" spans="1:20" x14ac:dyDescent="0.35">
      <c r="A1487" s="1" t="s">
        <v>3072</v>
      </c>
      <c r="B1487" s="22" t="s">
        <v>12</v>
      </c>
      <c r="C1487" s="19" t="s">
        <v>47</v>
      </c>
      <c r="D1487" s="19" t="s">
        <v>2826</v>
      </c>
      <c r="E1487" s="19">
        <v>1</v>
      </c>
      <c r="F1487" s="19" t="s">
        <v>48</v>
      </c>
      <c r="G1487" s="19">
        <v>1</v>
      </c>
      <c r="H1487" s="19" t="s">
        <v>48</v>
      </c>
      <c r="I1487" s="19">
        <v>0</v>
      </c>
      <c r="J1487" s="19" t="s">
        <v>47</v>
      </c>
      <c r="K1487" s="19">
        <v>0</v>
      </c>
      <c r="L1487" s="19" t="s">
        <v>47</v>
      </c>
      <c r="M1487" s="19">
        <v>0</v>
      </c>
      <c r="N1487" s="19" t="s">
        <v>47</v>
      </c>
      <c r="O1487" s="19">
        <v>1</v>
      </c>
      <c r="P1487" s="19" t="s">
        <v>48</v>
      </c>
      <c r="Q1487" s="19">
        <v>0</v>
      </c>
      <c r="R1487" s="19" t="s">
        <v>47</v>
      </c>
      <c r="S1487" s="19">
        <v>0</v>
      </c>
      <c r="T1487" s="23" t="s">
        <v>47</v>
      </c>
    </row>
    <row r="1488" spans="1:20" x14ac:dyDescent="0.35">
      <c r="A1488" s="1" t="s">
        <v>3073</v>
      </c>
      <c r="B1488" s="20" t="s">
        <v>12</v>
      </c>
      <c r="C1488" s="18" t="s">
        <v>47</v>
      </c>
      <c r="D1488" s="18" t="s">
        <v>2827</v>
      </c>
      <c r="E1488" s="18">
        <v>1</v>
      </c>
      <c r="F1488" s="18" t="s">
        <v>48</v>
      </c>
      <c r="G1488" s="18">
        <v>0</v>
      </c>
      <c r="H1488" s="18" t="s">
        <v>47</v>
      </c>
      <c r="I1488" s="18">
        <v>0</v>
      </c>
      <c r="J1488" s="18" t="s">
        <v>47</v>
      </c>
      <c r="K1488" s="18">
        <v>1</v>
      </c>
      <c r="L1488" s="18" t="s">
        <v>48</v>
      </c>
      <c r="M1488" s="18">
        <v>0</v>
      </c>
      <c r="N1488" s="18" t="s">
        <v>47</v>
      </c>
      <c r="O1488" s="18">
        <v>0</v>
      </c>
      <c r="P1488" s="18" t="s">
        <v>47</v>
      </c>
      <c r="Q1488" s="18">
        <v>0</v>
      </c>
      <c r="R1488" s="18" t="s">
        <v>47</v>
      </c>
      <c r="S1488" s="18">
        <v>0</v>
      </c>
      <c r="T1488" s="21" t="s">
        <v>47</v>
      </c>
    </row>
    <row r="1489" spans="1:20" x14ac:dyDescent="0.35">
      <c r="A1489" s="1" t="s">
        <v>3074</v>
      </c>
      <c r="B1489" s="22" t="s">
        <v>12</v>
      </c>
      <c r="C1489" s="19" t="s">
        <v>47</v>
      </c>
      <c r="D1489" s="19" t="s">
        <v>2722</v>
      </c>
      <c r="E1489" s="19">
        <v>1</v>
      </c>
      <c r="F1489" s="19" t="s">
        <v>48</v>
      </c>
      <c r="G1489" s="19">
        <v>1</v>
      </c>
      <c r="H1489" s="19" t="s">
        <v>48</v>
      </c>
      <c r="I1489" s="19">
        <v>0</v>
      </c>
      <c r="J1489" s="19" t="s">
        <v>47</v>
      </c>
      <c r="K1489" s="19">
        <v>0</v>
      </c>
      <c r="L1489" s="19" t="s">
        <v>47</v>
      </c>
      <c r="M1489" s="19">
        <v>0</v>
      </c>
      <c r="N1489" s="19" t="s">
        <v>47</v>
      </c>
      <c r="O1489" s="19">
        <v>1</v>
      </c>
      <c r="P1489" s="19" t="s">
        <v>48</v>
      </c>
      <c r="Q1489" s="19">
        <v>0</v>
      </c>
      <c r="R1489" s="19" t="s">
        <v>47</v>
      </c>
      <c r="S1489" s="19">
        <v>0</v>
      </c>
      <c r="T1489" s="23" t="s">
        <v>47</v>
      </c>
    </row>
    <row r="1490" spans="1:20" x14ac:dyDescent="0.35">
      <c r="A1490" s="1" t="s">
        <v>3075</v>
      </c>
      <c r="B1490" s="20" t="s">
        <v>12</v>
      </c>
      <c r="C1490" s="18" t="s">
        <v>47</v>
      </c>
      <c r="D1490" s="18" t="s">
        <v>2828</v>
      </c>
      <c r="E1490" s="18">
        <v>0</v>
      </c>
      <c r="F1490" s="18" t="s">
        <v>47</v>
      </c>
      <c r="G1490" s="18">
        <v>1</v>
      </c>
      <c r="H1490" s="18" t="s">
        <v>48</v>
      </c>
      <c r="I1490" s="18">
        <v>0</v>
      </c>
      <c r="J1490" s="18" t="s">
        <v>47</v>
      </c>
      <c r="K1490" s="18">
        <v>0</v>
      </c>
      <c r="L1490" s="18" t="s">
        <v>47</v>
      </c>
      <c r="M1490" s="18">
        <v>0</v>
      </c>
      <c r="N1490" s="18" t="s">
        <v>47</v>
      </c>
      <c r="O1490" s="18">
        <v>1</v>
      </c>
      <c r="P1490" s="18" t="s">
        <v>48</v>
      </c>
      <c r="Q1490" s="18">
        <v>1</v>
      </c>
      <c r="R1490" s="18" t="s">
        <v>45</v>
      </c>
      <c r="S1490" s="18">
        <v>0</v>
      </c>
      <c r="T1490" s="21" t="s">
        <v>47</v>
      </c>
    </row>
    <row r="1491" spans="1:20" x14ac:dyDescent="0.35">
      <c r="A1491" s="1" t="s">
        <v>3076</v>
      </c>
      <c r="B1491" s="22" t="s">
        <v>12</v>
      </c>
      <c r="C1491" s="19" t="s">
        <v>47</v>
      </c>
      <c r="D1491" s="19" t="s">
        <v>2829</v>
      </c>
      <c r="E1491" s="19">
        <v>1</v>
      </c>
      <c r="F1491" s="19" t="s">
        <v>55</v>
      </c>
      <c r="G1491" s="19">
        <v>1</v>
      </c>
      <c r="H1491" s="19" t="s">
        <v>48</v>
      </c>
      <c r="I1491" s="19">
        <v>0</v>
      </c>
      <c r="J1491" s="19" t="s">
        <v>47</v>
      </c>
      <c r="K1491" s="19">
        <v>0</v>
      </c>
      <c r="L1491" s="19" t="s">
        <v>47</v>
      </c>
      <c r="M1491" s="19">
        <v>1</v>
      </c>
      <c r="N1491" s="19" t="s">
        <v>48</v>
      </c>
      <c r="O1491" s="19">
        <v>0</v>
      </c>
      <c r="P1491" s="19" t="s">
        <v>47</v>
      </c>
      <c r="Q1491" s="19">
        <v>1</v>
      </c>
      <c r="R1491" s="19" t="s">
        <v>45</v>
      </c>
      <c r="S1491" s="19">
        <v>0</v>
      </c>
      <c r="T1491" s="23" t="s">
        <v>47</v>
      </c>
    </row>
    <row r="1492" spans="1:20" x14ac:dyDescent="0.35">
      <c r="A1492" s="1" t="s">
        <v>3077</v>
      </c>
      <c r="B1492" s="20" t="s">
        <v>12</v>
      </c>
      <c r="C1492" s="18" t="s">
        <v>47</v>
      </c>
      <c r="D1492" s="18" t="s">
        <v>2723</v>
      </c>
      <c r="E1492" s="18">
        <v>0</v>
      </c>
      <c r="F1492" s="18" t="s">
        <v>47</v>
      </c>
      <c r="G1492" s="18">
        <v>1</v>
      </c>
      <c r="H1492" s="18" t="s">
        <v>48</v>
      </c>
      <c r="I1492" s="18">
        <v>0</v>
      </c>
      <c r="J1492" s="18" t="s">
        <v>47</v>
      </c>
      <c r="K1492" s="18">
        <v>0</v>
      </c>
      <c r="L1492" s="18" t="s">
        <v>47</v>
      </c>
      <c r="M1492" s="18">
        <v>1</v>
      </c>
      <c r="N1492" s="18" t="s">
        <v>55</v>
      </c>
      <c r="O1492" s="18">
        <v>1</v>
      </c>
      <c r="P1492" s="18" t="s">
        <v>48</v>
      </c>
      <c r="Q1492" s="18">
        <v>0</v>
      </c>
      <c r="R1492" s="18" t="s">
        <v>47</v>
      </c>
      <c r="S1492" s="18">
        <v>1</v>
      </c>
      <c r="T1492" s="21" t="s">
        <v>48</v>
      </c>
    </row>
    <row r="1493" spans="1:20" x14ac:dyDescent="0.35">
      <c r="A1493" s="1" t="s">
        <v>3078</v>
      </c>
      <c r="B1493" s="22" t="s">
        <v>12</v>
      </c>
      <c r="C1493" s="19" t="s">
        <v>47</v>
      </c>
      <c r="D1493" s="19" t="s">
        <v>2830</v>
      </c>
      <c r="E1493" s="19">
        <v>0</v>
      </c>
      <c r="F1493" s="19" t="s">
        <v>47</v>
      </c>
      <c r="G1493" s="19">
        <v>1</v>
      </c>
      <c r="H1493" s="19" t="s">
        <v>48</v>
      </c>
      <c r="I1493" s="19">
        <v>1</v>
      </c>
      <c r="J1493" s="19" t="s">
        <v>48</v>
      </c>
      <c r="K1493" s="19">
        <v>0</v>
      </c>
      <c r="L1493" s="19" t="s">
        <v>47</v>
      </c>
      <c r="M1493" s="19">
        <v>0</v>
      </c>
      <c r="N1493" s="19" t="s">
        <v>47</v>
      </c>
      <c r="O1493" s="19">
        <v>0</v>
      </c>
      <c r="P1493" s="19" t="s">
        <v>47</v>
      </c>
      <c r="Q1493" s="19">
        <v>0</v>
      </c>
      <c r="R1493" s="19" t="s">
        <v>47</v>
      </c>
      <c r="S1493" s="19">
        <v>0</v>
      </c>
      <c r="T1493" s="23" t="s">
        <v>47</v>
      </c>
    </row>
    <row r="1494" spans="1:20" x14ac:dyDescent="0.35">
      <c r="A1494" s="1" t="s">
        <v>3079</v>
      </c>
      <c r="B1494" s="20" t="s">
        <v>12</v>
      </c>
      <c r="C1494" s="18" t="s">
        <v>47</v>
      </c>
      <c r="D1494" s="18" t="s">
        <v>2831</v>
      </c>
      <c r="E1494" s="18">
        <v>1</v>
      </c>
      <c r="F1494" s="18" t="s">
        <v>55</v>
      </c>
      <c r="G1494" s="18">
        <v>0</v>
      </c>
      <c r="H1494" s="18" t="s">
        <v>47</v>
      </c>
      <c r="I1494" s="18">
        <v>0</v>
      </c>
      <c r="J1494" s="18" t="s">
        <v>47</v>
      </c>
      <c r="K1494" s="18">
        <v>0</v>
      </c>
      <c r="L1494" s="18" t="s">
        <v>47</v>
      </c>
      <c r="M1494" s="18">
        <v>1</v>
      </c>
      <c r="N1494" s="18" t="s">
        <v>48</v>
      </c>
      <c r="O1494" s="18">
        <v>0</v>
      </c>
      <c r="P1494" s="18" t="s">
        <v>47</v>
      </c>
      <c r="Q1494" s="18">
        <v>0</v>
      </c>
      <c r="R1494" s="18" t="s">
        <v>47</v>
      </c>
      <c r="S1494" s="18">
        <v>0</v>
      </c>
      <c r="T1494" s="21" t="s">
        <v>47</v>
      </c>
    </row>
    <row r="1495" spans="1:20" x14ac:dyDescent="0.35">
      <c r="A1495" s="1" t="s">
        <v>3080</v>
      </c>
      <c r="B1495" s="22" t="s">
        <v>12</v>
      </c>
      <c r="C1495" s="19" t="s">
        <v>47</v>
      </c>
      <c r="D1495" s="19" t="s">
        <v>2724</v>
      </c>
      <c r="E1495" s="19">
        <v>1</v>
      </c>
      <c r="F1495" s="19" t="s">
        <v>55</v>
      </c>
      <c r="G1495" s="19">
        <v>1</v>
      </c>
      <c r="H1495" s="19" t="s">
        <v>48</v>
      </c>
      <c r="I1495" s="19">
        <v>0</v>
      </c>
      <c r="J1495" s="19" t="s">
        <v>47</v>
      </c>
      <c r="K1495" s="19">
        <v>0</v>
      </c>
      <c r="L1495" s="19" t="s">
        <v>47</v>
      </c>
      <c r="M1495" s="19">
        <v>1</v>
      </c>
      <c r="N1495" s="19" t="s">
        <v>48</v>
      </c>
      <c r="O1495" s="19">
        <v>1</v>
      </c>
      <c r="P1495" s="19" t="s">
        <v>48</v>
      </c>
      <c r="Q1495" s="19">
        <v>1</v>
      </c>
      <c r="R1495" s="19" t="s">
        <v>45</v>
      </c>
      <c r="S1495" s="19">
        <v>0</v>
      </c>
      <c r="T1495" s="23" t="s">
        <v>47</v>
      </c>
    </row>
    <row r="1496" spans="1:20" x14ac:dyDescent="0.35">
      <c r="A1496" s="1" t="s">
        <v>3081</v>
      </c>
      <c r="B1496" s="20" t="s">
        <v>12</v>
      </c>
      <c r="C1496" s="18" t="s">
        <v>47</v>
      </c>
      <c r="D1496" s="18" t="s">
        <v>2725</v>
      </c>
      <c r="E1496" s="18">
        <v>1</v>
      </c>
      <c r="F1496" s="18" t="s">
        <v>48</v>
      </c>
      <c r="G1496" s="18">
        <v>0</v>
      </c>
      <c r="H1496" s="18" t="s">
        <v>47</v>
      </c>
      <c r="I1496" s="18">
        <v>0</v>
      </c>
      <c r="J1496" s="18" t="s">
        <v>47</v>
      </c>
      <c r="K1496" s="18">
        <v>0</v>
      </c>
      <c r="L1496" s="18" t="s">
        <v>47</v>
      </c>
      <c r="M1496" s="18">
        <v>0</v>
      </c>
      <c r="N1496" s="18" t="s">
        <v>47</v>
      </c>
      <c r="O1496" s="18">
        <v>0</v>
      </c>
      <c r="P1496" s="18" t="s">
        <v>47</v>
      </c>
      <c r="Q1496" s="18">
        <v>0</v>
      </c>
      <c r="R1496" s="18" t="s">
        <v>47</v>
      </c>
      <c r="S1496" s="18">
        <v>1</v>
      </c>
      <c r="T1496" s="21" t="s">
        <v>45</v>
      </c>
    </row>
    <row r="1497" spans="1:20" x14ac:dyDescent="0.35">
      <c r="A1497" s="1" t="s">
        <v>3082</v>
      </c>
      <c r="B1497" s="22" t="s">
        <v>12</v>
      </c>
      <c r="C1497" s="19" t="s">
        <v>47</v>
      </c>
      <c r="D1497" s="19" t="s">
        <v>2832</v>
      </c>
      <c r="E1497" s="19">
        <v>1</v>
      </c>
      <c r="F1497" s="19" t="s">
        <v>48</v>
      </c>
      <c r="G1497" s="19">
        <v>1</v>
      </c>
      <c r="H1497" s="19" t="s">
        <v>48</v>
      </c>
      <c r="I1497" s="19">
        <v>0</v>
      </c>
      <c r="J1497" s="19" t="s">
        <v>47</v>
      </c>
      <c r="K1497" s="19">
        <v>0</v>
      </c>
      <c r="L1497" s="19" t="s">
        <v>47</v>
      </c>
      <c r="M1497" s="19">
        <v>1</v>
      </c>
      <c r="N1497" s="19" t="s">
        <v>48</v>
      </c>
      <c r="O1497" s="19">
        <v>1</v>
      </c>
      <c r="P1497" s="19" t="s">
        <v>48</v>
      </c>
      <c r="Q1497" s="19">
        <v>0</v>
      </c>
      <c r="R1497" s="19" t="s">
        <v>47</v>
      </c>
      <c r="S1497" s="19">
        <v>0</v>
      </c>
      <c r="T1497" s="23" t="s">
        <v>47</v>
      </c>
    </row>
    <row r="1498" spans="1:20" x14ac:dyDescent="0.35">
      <c r="A1498" s="1" t="s">
        <v>3083</v>
      </c>
      <c r="B1498" s="20" t="s">
        <v>12</v>
      </c>
      <c r="C1498" s="18" t="s">
        <v>47</v>
      </c>
      <c r="D1498" s="18" t="s">
        <v>2726</v>
      </c>
      <c r="E1498" s="18">
        <v>1</v>
      </c>
      <c r="F1498" s="18" t="s">
        <v>45</v>
      </c>
      <c r="G1498" s="18">
        <v>1</v>
      </c>
      <c r="H1498" s="18" t="s">
        <v>48</v>
      </c>
      <c r="I1498" s="18">
        <v>0</v>
      </c>
      <c r="J1498" s="18" t="s">
        <v>47</v>
      </c>
      <c r="K1498" s="18">
        <v>0</v>
      </c>
      <c r="L1498" s="18" t="s">
        <v>47</v>
      </c>
      <c r="M1498" s="18">
        <v>0</v>
      </c>
      <c r="N1498" s="18" t="s">
        <v>47</v>
      </c>
      <c r="O1498" s="18">
        <v>1</v>
      </c>
      <c r="P1498" s="18" t="s">
        <v>48</v>
      </c>
      <c r="Q1498" s="18">
        <v>0</v>
      </c>
      <c r="R1498" s="18" t="s">
        <v>47</v>
      </c>
      <c r="S1498" s="18">
        <v>1</v>
      </c>
      <c r="T1498" s="21" t="s">
        <v>45</v>
      </c>
    </row>
    <row r="1499" spans="1:20" x14ac:dyDescent="0.35">
      <c r="A1499" s="1" t="s">
        <v>3084</v>
      </c>
      <c r="B1499" s="22" t="s">
        <v>12</v>
      </c>
      <c r="C1499" s="19" t="s">
        <v>47</v>
      </c>
      <c r="D1499" s="19" t="s">
        <v>2833</v>
      </c>
      <c r="E1499" s="19">
        <v>1</v>
      </c>
      <c r="F1499" s="19" t="s">
        <v>48</v>
      </c>
      <c r="G1499" s="19">
        <v>1</v>
      </c>
      <c r="H1499" s="19" t="s">
        <v>48</v>
      </c>
      <c r="I1499" s="19">
        <v>0</v>
      </c>
      <c r="J1499" s="19" t="s">
        <v>47</v>
      </c>
      <c r="K1499" s="19">
        <v>0</v>
      </c>
      <c r="L1499" s="19" t="s">
        <v>47</v>
      </c>
      <c r="M1499" s="19">
        <v>0</v>
      </c>
      <c r="N1499" s="19" t="s">
        <v>47</v>
      </c>
      <c r="O1499" s="19">
        <v>0</v>
      </c>
      <c r="P1499" s="19" t="s">
        <v>47</v>
      </c>
      <c r="Q1499" s="19">
        <v>0</v>
      </c>
      <c r="R1499" s="19" t="s">
        <v>47</v>
      </c>
      <c r="S1499" s="19">
        <v>0</v>
      </c>
      <c r="T1499" s="23" t="s">
        <v>47</v>
      </c>
    </row>
    <row r="1500" spans="1:20" x14ac:dyDescent="0.35">
      <c r="A1500" s="1" t="s">
        <v>3085</v>
      </c>
      <c r="B1500" s="20" t="s">
        <v>12</v>
      </c>
      <c r="C1500" s="18" t="s">
        <v>47</v>
      </c>
      <c r="D1500" s="18" t="s">
        <v>2834</v>
      </c>
      <c r="E1500" s="18">
        <v>1</v>
      </c>
      <c r="F1500" s="18" t="s">
        <v>48</v>
      </c>
      <c r="G1500" s="18">
        <v>1</v>
      </c>
      <c r="H1500" s="18" t="s">
        <v>48</v>
      </c>
      <c r="I1500" s="18">
        <v>0</v>
      </c>
      <c r="J1500" s="18" t="s">
        <v>47</v>
      </c>
      <c r="K1500" s="18">
        <v>0</v>
      </c>
      <c r="L1500" s="18" t="s">
        <v>47</v>
      </c>
      <c r="M1500" s="18">
        <v>1</v>
      </c>
      <c r="N1500" s="18" t="s">
        <v>48</v>
      </c>
      <c r="O1500" s="18">
        <v>1</v>
      </c>
      <c r="P1500" s="18" t="s">
        <v>48</v>
      </c>
      <c r="Q1500" s="18">
        <v>0</v>
      </c>
      <c r="R1500" s="18" t="s">
        <v>47</v>
      </c>
      <c r="S1500" s="18">
        <v>0</v>
      </c>
      <c r="T1500" s="21" t="s">
        <v>47</v>
      </c>
    </row>
    <row r="1501" spans="1:20" x14ac:dyDescent="0.35">
      <c r="A1501" s="1" t="s">
        <v>3086</v>
      </c>
      <c r="B1501" s="22" t="s">
        <v>12</v>
      </c>
      <c r="C1501" s="19" t="s">
        <v>47</v>
      </c>
      <c r="D1501" s="19" t="s">
        <v>2727</v>
      </c>
      <c r="E1501" s="19">
        <v>1</v>
      </c>
      <c r="F1501" s="19" t="s">
        <v>48</v>
      </c>
      <c r="G1501" s="19">
        <v>0</v>
      </c>
      <c r="H1501" s="19" t="s">
        <v>47</v>
      </c>
      <c r="I1501" s="19">
        <v>0</v>
      </c>
      <c r="J1501" s="19" t="s">
        <v>47</v>
      </c>
      <c r="K1501" s="19">
        <v>0</v>
      </c>
      <c r="L1501" s="19" t="s">
        <v>47</v>
      </c>
      <c r="M1501" s="19">
        <v>0</v>
      </c>
      <c r="N1501" s="19" t="s">
        <v>47</v>
      </c>
      <c r="O1501" s="19">
        <v>0</v>
      </c>
      <c r="P1501" s="19" t="s">
        <v>47</v>
      </c>
      <c r="Q1501" s="19">
        <v>1</v>
      </c>
      <c r="R1501" s="19" t="s">
        <v>48</v>
      </c>
      <c r="S1501" s="19">
        <v>0</v>
      </c>
      <c r="T1501" s="23" t="s">
        <v>47</v>
      </c>
    </row>
    <row r="1502" spans="1:20" x14ac:dyDescent="0.35">
      <c r="A1502" s="1" t="s">
        <v>3087</v>
      </c>
      <c r="B1502" s="20" t="s">
        <v>12</v>
      </c>
      <c r="C1502" s="18" t="s">
        <v>47</v>
      </c>
      <c r="D1502" s="18" t="s">
        <v>2728</v>
      </c>
      <c r="E1502" s="18">
        <v>0</v>
      </c>
      <c r="F1502" s="18" t="s">
        <v>47</v>
      </c>
      <c r="G1502" s="18">
        <v>0</v>
      </c>
      <c r="H1502" s="18" t="s">
        <v>47</v>
      </c>
      <c r="I1502" s="18">
        <v>0</v>
      </c>
      <c r="J1502" s="18" t="s">
        <v>47</v>
      </c>
      <c r="K1502" s="18">
        <v>1</v>
      </c>
      <c r="L1502" s="18" t="s">
        <v>48</v>
      </c>
      <c r="M1502" s="18">
        <v>1</v>
      </c>
      <c r="N1502" s="18" t="s">
        <v>48</v>
      </c>
      <c r="O1502" s="18">
        <v>1</v>
      </c>
      <c r="P1502" s="18" t="s">
        <v>48</v>
      </c>
      <c r="Q1502" s="18">
        <v>0</v>
      </c>
      <c r="R1502" s="18" t="s">
        <v>47</v>
      </c>
      <c r="S1502" s="18">
        <v>0</v>
      </c>
      <c r="T1502" s="21" t="s">
        <v>47</v>
      </c>
    </row>
    <row r="1503" spans="1:20" x14ac:dyDescent="0.35">
      <c r="A1503" s="1" t="s">
        <v>3088</v>
      </c>
      <c r="B1503" s="22" t="s">
        <v>12</v>
      </c>
      <c r="C1503" s="19" t="s">
        <v>47</v>
      </c>
      <c r="D1503" s="19" t="s">
        <v>2835</v>
      </c>
      <c r="E1503" s="19">
        <v>1</v>
      </c>
      <c r="F1503" s="19" t="s">
        <v>48</v>
      </c>
      <c r="G1503" s="19">
        <v>1</v>
      </c>
      <c r="H1503" s="19" t="s">
        <v>48</v>
      </c>
      <c r="I1503" s="19">
        <v>0</v>
      </c>
      <c r="J1503" s="19" t="s">
        <v>47</v>
      </c>
      <c r="K1503" s="19">
        <v>1</v>
      </c>
      <c r="L1503" s="19" t="s">
        <v>48</v>
      </c>
      <c r="M1503" s="19">
        <v>0</v>
      </c>
      <c r="N1503" s="19" t="s">
        <v>47</v>
      </c>
      <c r="O1503" s="19">
        <v>0</v>
      </c>
      <c r="P1503" s="19" t="s">
        <v>47</v>
      </c>
      <c r="Q1503" s="19">
        <v>0</v>
      </c>
      <c r="R1503" s="19" t="s">
        <v>47</v>
      </c>
      <c r="S1503" s="19">
        <v>1</v>
      </c>
      <c r="T1503" s="23" t="s">
        <v>45</v>
      </c>
    </row>
    <row r="1504" spans="1:20" x14ac:dyDescent="0.35">
      <c r="A1504" s="1" t="s">
        <v>3089</v>
      </c>
      <c r="B1504" s="20" t="s">
        <v>12</v>
      </c>
      <c r="C1504" s="18" t="s">
        <v>47</v>
      </c>
      <c r="D1504" s="18" t="s">
        <v>2836</v>
      </c>
      <c r="E1504" s="18">
        <v>1</v>
      </c>
      <c r="F1504" s="18" t="s">
        <v>48</v>
      </c>
      <c r="G1504" s="18">
        <v>1</v>
      </c>
      <c r="H1504" s="18" t="s">
        <v>45</v>
      </c>
      <c r="I1504" s="18">
        <v>0</v>
      </c>
      <c r="J1504" s="18" t="s">
        <v>47</v>
      </c>
      <c r="K1504" s="18">
        <v>0</v>
      </c>
      <c r="L1504" s="18" t="s">
        <v>47</v>
      </c>
      <c r="M1504" s="18">
        <v>0</v>
      </c>
      <c r="N1504" s="18" t="s">
        <v>47</v>
      </c>
      <c r="O1504" s="18">
        <v>1</v>
      </c>
      <c r="P1504" s="18" t="s">
        <v>45</v>
      </c>
      <c r="Q1504" s="18">
        <v>0</v>
      </c>
      <c r="R1504" s="18" t="s">
        <v>47</v>
      </c>
      <c r="S1504" s="18">
        <v>0</v>
      </c>
      <c r="T1504" s="21" t="s">
        <v>47</v>
      </c>
    </row>
    <row r="1505" spans="1:20" x14ac:dyDescent="0.35">
      <c r="A1505" s="1" t="s">
        <v>3090</v>
      </c>
      <c r="B1505" s="22" t="s">
        <v>12</v>
      </c>
      <c r="C1505" s="19" t="s">
        <v>47</v>
      </c>
      <c r="D1505" s="19" t="s">
        <v>2837</v>
      </c>
      <c r="E1505" s="19">
        <v>1</v>
      </c>
      <c r="F1505" s="19" t="s">
        <v>55</v>
      </c>
      <c r="G1505" s="19">
        <v>0</v>
      </c>
      <c r="H1505" s="19" t="s">
        <v>47</v>
      </c>
      <c r="I1505" s="19">
        <v>0</v>
      </c>
      <c r="J1505" s="19" t="s">
        <v>47</v>
      </c>
      <c r="K1505" s="19">
        <v>0</v>
      </c>
      <c r="L1505" s="19" t="s">
        <v>47</v>
      </c>
      <c r="M1505" s="19">
        <v>1</v>
      </c>
      <c r="N1505" s="19" t="s">
        <v>45</v>
      </c>
      <c r="O1505" s="19">
        <v>0</v>
      </c>
      <c r="P1505" s="19" t="s">
        <v>47</v>
      </c>
      <c r="Q1505" s="19">
        <v>0</v>
      </c>
      <c r="R1505" s="19" t="s">
        <v>47</v>
      </c>
      <c r="S1505" s="19">
        <v>0</v>
      </c>
      <c r="T1505" s="23" t="s">
        <v>47</v>
      </c>
    </row>
    <row r="1506" spans="1:20" x14ac:dyDescent="0.35">
      <c r="A1506" s="1" t="s">
        <v>3091</v>
      </c>
      <c r="B1506" s="20" t="s">
        <v>12</v>
      </c>
      <c r="C1506" s="18" t="s">
        <v>47</v>
      </c>
      <c r="D1506" s="18" t="s">
        <v>2729</v>
      </c>
      <c r="E1506" s="18">
        <v>0</v>
      </c>
      <c r="F1506" s="18" t="s">
        <v>47</v>
      </c>
      <c r="G1506" s="18">
        <v>0</v>
      </c>
      <c r="H1506" s="18" t="s">
        <v>47</v>
      </c>
      <c r="I1506" s="18">
        <v>0</v>
      </c>
      <c r="J1506" s="18" t="s">
        <v>47</v>
      </c>
      <c r="K1506" s="18">
        <v>0</v>
      </c>
      <c r="L1506" s="18" t="s">
        <v>47</v>
      </c>
      <c r="M1506" s="18">
        <v>0</v>
      </c>
      <c r="N1506" s="18" t="s">
        <v>47</v>
      </c>
      <c r="O1506" s="18">
        <v>0</v>
      </c>
      <c r="P1506" s="18" t="s">
        <v>47</v>
      </c>
      <c r="Q1506" s="18">
        <v>1</v>
      </c>
      <c r="R1506" s="18" t="s">
        <v>48</v>
      </c>
      <c r="S1506" s="18">
        <v>0</v>
      </c>
      <c r="T1506" s="21" t="s">
        <v>47</v>
      </c>
    </row>
    <row r="1507" spans="1:20" x14ac:dyDescent="0.35">
      <c r="A1507" s="1" t="s">
        <v>3092</v>
      </c>
      <c r="B1507" s="22" t="s">
        <v>12</v>
      </c>
      <c r="C1507" s="19" t="s">
        <v>47</v>
      </c>
      <c r="D1507" s="19" t="s">
        <v>2730</v>
      </c>
      <c r="E1507" s="19">
        <v>1</v>
      </c>
      <c r="F1507" s="19" t="s">
        <v>55</v>
      </c>
      <c r="G1507" s="19">
        <v>0</v>
      </c>
      <c r="H1507" s="19" t="s">
        <v>47</v>
      </c>
      <c r="I1507" s="19">
        <v>0</v>
      </c>
      <c r="J1507" s="19" t="s">
        <v>47</v>
      </c>
      <c r="K1507" s="19">
        <v>0</v>
      </c>
      <c r="L1507" s="19" t="s">
        <v>47</v>
      </c>
      <c r="M1507" s="19">
        <v>1</v>
      </c>
      <c r="N1507" s="19" t="s">
        <v>48</v>
      </c>
      <c r="O1507" s="19">
        <v>0</v>
      </c>
      <c r="P1507" s="19" t="s">
        <v>47</v>
      </c>
      <c r="Q1507" s="19">
        <v>0</v>
      </c>
      <c r="R1507" s="19" t="s">
        <v>47</v>
      </c>
      <c r="S1507" s="19">
        <v>0</v>
      </c>
      <c r="T1507" s="23" t="s">
        <v>47</v>
      </c>
    </row>
    <row r="1508" spans="1:20" x14ac:dyDescent="0.35">
      <c r="A1508" s="1" t="s">
        <v>3093</v>
      </c>
      <c r="B1508" s="20" t="s">
        <v>12</v>
      </c>
      <c r="C1508" s="18" t="s">
        <v>47</v>
      </c>
      <c r="D1508" s="18" t="s">
        <v>2838</v>
      </c>
      <c r="E1508" s="18">
        <v>1</v>
      </c>
      <c r="F1508" s="18" t="s">
        <v>48</v>
      </c>
      <c r="G1508" s="18">
        <v>1</v>
      </c>
      <c r="H1508" s="18" t="s">
        <v>48</v>
      </c>
      <c r="I1508" s="18">
        <v>0</v>
      </c>
      <c r="J1508" s="18" t="s">
        <v>47</v>
      </c>
      <c r="K1508" s="18">
        <v>0</v>
      </c>
      <c r="L1508" s="18" t="s">
        <v>47</v>
      </c>
      <c r="M1508" s="18">
        <v>1</v>
      </c>
      <c r="N1508" s="18" t="s">
        <v>48</v>
      </c>
      <c r="O1508" s="18">
        <v>0</v>
      </c>
      <c r="P1508" s="18" t="s">
        <v>47</v>
      </c>
      <c r="Q1508" s="18">
        <v>0</v>
      </c>
      <c r="R1508" s="18" t="s">
        <v>47</v>
      </c>
      <c r="S1508" s="18">
        <v>0</v>
      </c>
      <c r="T1508" s="21" t="s">
        <v>47</v>
      </c>
    </row>
    <row r="1509" spans="1:20" x14ac:dyDescent="0.35">
      <c r="A1509" s="1" t="s">
        <v>3094</v>
      </c>
      <c r="B1509" s="22" t="s">
        <v>12</v>
      </c>
      <c r="C1509" s="19" t="s">
        <v>47</v>
      </c>
      <c r="D1509" s="19" t="s">
        <v>2839</v>
      </c>
      <c r="E1509" s="19">
        <v>1</v>
      </c>
      <c r="F1509" s="19" t="s">
        <v>45</v>
      </c>
      <c r="G1509" s="19">
        <v>1</v>
      </c>
      <c r="H1509" s="19" t="s">
        <v>48</v>
      </c>
      <c r="I1509" s="19">
        <v>0</v>
      </c>
      <c r="J1509" s="19" t="s">
        <v>47</v>
      </c>
      <c r="K1509" s="19">
        <v>0</v>
      </c>
      <c r="L1509" s="19" t="s">
        <v>47</v>
      </c>
      <c r="M1509" s="19">
        <v>0</v>
      </c>
      <c r="N1509" s="19" t="s">
        <v>47</v>
      </c>
      <c r="O1509" s="19">
        <v>1</v>
      </c>
      <c r="P1509" s="19" t="s">
        <v>48</v>
      </c>
      <c r="Q1509" s="19">
        <v>0</v>
      </c>
      <c r="R1509" s="19" t="s">
        <v>47</v>
      </c>
      <c r="S1509" s="19">
        <v>0</v>
      </c>
      <c r="T1509" s="23" t="s">
        <v>47</v>
      </c>
    </row>
    <row r="1510" spans="1:20" x14ac:dyDescent="0.35">
      <c r="A1510" s="1" t="s">
        <v>3095</v>
      </c>
      <c r="B1510" s="20" t="s">
        <v>12</v>
      </c>
      <c r="C1510" s="18" t="s">
        <v>47</v>
      </c>
      <c r="D1510" s="18" t="s">
        <v>2731</v>
      </c>
      <c r="E1510" s="18">
        <v>1</v>
      </c>
      <c r="F1510" s="18" t="s">
        <v>48</v>
      </c>
      <c r="G1510" s="18">
        <v>0</v>
      </c>
      <c r="H1510" s="18" t="s">
        <v>47</v>
      </c>
      <c r="I1510" s="18">
        <v>0</v>
      </c>
      <c r="J1510" s="18" t="s">
        <v>47</v>
      </c>
      <c r="K1510" s="18">
        <v>0</v>
      </c>
      <c r="L1510" s="18" t="s">
        <v>47</v>
      </c>
      <c r="M1510" s="18">
        <v>1</v>
      </c>
      <c r="N1510" s="18" t="s">
        <v>48</v>
      </c>
      <c r="O1510" s="18">
        <v>1</v>
      </c>
      <c r="P1510" s="18" t="s">
        <v>48</v>
      </c>
      <c r="Q1510" s="18">
        <v>1</v>
      </c>
      <c r="R1510" s="18" t="s">
        <v>45</v>
      </c>
      <c r="S1510" s="18">
        <v>1</v>
      </c>
      <c r="T1510" s="21" t="s">
        <v>45</v>
      </c>
    </row>
    <row r="1511" spans="1:20" x14ac:dyDescent="0.35">
      <c r="A1511" s="1" t="s">
        <v>3096</v>
      </c>
      <c r="B1511" s="22" t="s">
        <v>12</v>
      </c>
      <c r="C1511" s="19" t="s">
        <v>47</v>
      </c>
      <c r="D1511" s="19" t="s">
        <v>2840</v>
      </c>
      <c r="E1511" s="19">
        <v>1</v>
      </c>
      <c r="F1511" s="19" t="s">
        <v>48</v>
      </c>
      <c r="G1511" s="19">
        <v>1</v>
      </c>
      <c r="H1511" s="19" t="s">
        <v>48</v>
      </c>
      <c r="I1511" s="19">
        <v>0</v>
      </c>
      <c r="J1511" s="19" t="s">
        <v>47</v>
      </c>
      <c r="K1511" s="19">
        <v>0</v>
      </c>
      <c r="L1511" s="19" t="s">
        <v>47</v>
      </c>
      <c r="M1511" s="19">
        <v>1</v>
      </c>
      <c r="N1511" s="19" t="s">
        <v>55</v>
      </c>
      <c r="O1511" s="19">
        <v>0</v>
      </c>
      <c r="P1511" s="19" t="s">
        <v>47</v>
      </c>
      <c r="Q1511" s="19">
        <v>0</v>
      </c>
      <c r="R1511" s="19" t="s">
        <v>47</v>
      </c>
      <c r="S1511" s="19">
        <v>0</v>
      </c>
      <c r="T1511" s="23" t="s">
        <v>47</v>
      </c>
    </row>
    <row r="1512" spans="1:20" x14ac:dyDescent="0.35">
      <c r="A1512" s="1" t="s">
        <v>3097</v>
      </c>
      <c r="B1512" s="20" t="s">
        <v>12</v>
      </c>
      <c r="C1512" s="18" t="s">
        <v>47</v>
      </c>
      <c r="D1512" s="18" t="s">
        <v>2841</v>
      </c>
      <c r="E1512" s="18">
        <v>1</v>
      </c>
      <c r="F1512" s="18" t="s">
        <v>55</v>
      </c>
      <c r="G1512" s="18">
        <v>1</v>
      </c>
      <c r="H1512" s="18" t="s">
        <v>48</v>
      </c>
      <c r="I1512" s="18">
        <v>0</v>
      </c>
      <c r="J1512" s="18" t="s">
        <v>47</v>
      </c>
      <c r="K1512" s="18">
        <v>0</v>
      </c>
      <c r="L1512" s="18" t="s">
        <v>47</v>
      </c>
      <c r="M1512" s="18">
        <v>0</v>
      </c>
      <c r="N1512" s="18" t="s">
        <v>47</v>
      </c>
      <c r="O1512" s="18">
        <v>1</v>
      </c>
      <c r="P1512" s="18" t="s">
        <v>48</v>
      </c>
      <c r="Q1512" s="18">
        <v>0</v>
      </c>
      <c r="R1512" s="18" t="s">
        <v>47</v>
      </c>
      <c r="S1512" s="18">
        <v>0</v>
      </c>
      <c r="T1512" s="21" t="s">
        <v>47</v>
      </c>
    </row>
    <row r="1513" spans="1:20" x14ac:dyDescent="0.35">
      <c r="A1513" s="1" t="s">
        <v>3098</v>
      </c>
      <c r="B1513" s="22" t="s">
        <v>12</v>
      </c>
      <c r="C1513" s="19" t="s">
        <v>47</v>
      </c>
      <c r="D1513" s="19" t="s">
        <v>2732</v>
      </c>
      <c r="E1513" s="19">
        <v>1</v>
      </c>
      <c r="F1513" s="19" t="s">
        <v>45</v>
      </c>
      <c r="G1513" s="19">
        <v>0</v>
      </c>
      <c r="H1513" s="19" t="s">
        <v>47</v>
      </c>
      <c r="I1513" s="19">
        <v>0</v>
      </c>
      <c r="J1513" s="19" t="s">
        <v>47</v>
      </c>
      <c r="K1513" s="19">
        <v>0</v>
      </c>
      <c r="L1513" s="19" t="s">
        <v>47</v>
      </c>
      <c r="M1513" s="19">
        <v>0</v>
      </c>
      <c r="N1513" s="19" t="s">
        <v>47</v>
      </c>
      <c r="O1513" s="19">
        <v>0</v>
      </c>
      <c r="P1513" s="19" t="s">
        <v>47</v>
      </c>
      <c r="Q1513" s="19">
        <v>1</v>
      </c>
      <c r="R1513" s="19" t="s">
        <v>48</v>
      </c>
      <c r="S1513" s="19">
        <v>0</v>
      </c>
      <c r="T1513" s="23" t="s">
        <v>47</v>
      </c>
    </row>
    <row r="1514" spans="1:20" x14ac:dyDescent="0.35">
      <c r="A1514" s="1" t="s">
        <v>3099</v>
      </c>
      <c r="B1514" s="20" t="s">
        <v>12</v>
      </c>
      <c r="C1514" s="18" t="s">
        <v>47</v>
      </c>
      <c r="D1514" s="18" t="s">
        <v>2733</v>
      </c>
      <c r="E1514" s="18">
        <v>1</v>
      </c>
      <c r="F1514" s="18" t="s">
        <v>55</v>
      </c>
      <c r="G1514" s="18">
        <v>0</v>
      </c>
      <c r="H1514" s="18" t="s">
        <v>47</v>
      </c>
      <c r="I1514" s="18">
        <v>0</v>
      </c>
      <c r="J1514" s="18" t="s">
        <v>47</v>
      </c>
      <c r="K1514" s="18">
        <v>0</v>
      </c>
      <c r="L1514" s="18" t="s">
        <v>47</v>
      </c>
      <c r="M1514" s="18">
        <v>0</v>
      </c>
      <c r="N1514" s="18" t="s">
        <v>47</v>
      </c>
      <c r="O1514" s="18">
        <v>0</v>
      </c>
      <c r="P1514" s="18" t="s">
        <v>47</v>
      </c>
      <c r="Q1514" s="18">
        <v>1</v>
      </c>
      <c r="R1514" s="18" t="s">
        <v>45</v>
      </c>
      <c r="S1514" s="18">
        <v>0</v>
      </c>
      <c r="T1514" s="21" t="s">
        <v>47</v>
      </c>
    </row>
    <row r="1515" spans="1:20" x14ac:dyDescent="0.35">
      <c r="A1515" s="1" t="s">
        <v>3100</v>
      </c>
      <c r="B1515" s="22" t="s">
        <v>12</v>
      </c>
      <c r="C1515" s="19" t="s">
        <v>47</v>
      </c>
      <c r="D1515" s="19" t="s">
        <v>2734</v>
      </c>
      <c r="E1515" s="19">
        <v>1</v>
      </c>
      <c r="F1515" s="19" t="s">
        <v>48</v>
      </c>
      <c r="G1515" s="19">
        <v>1</v>
      </c>
      <c r="H1515" s="19" t="s">
        <v>48</v>
      </c>
      <c r="I1515" s="19">
        <v>0</v>
      </c>
      <c r="J1515" s="19" t="s">
        <v>47</v>
      </c>
      <c r="K1515" s="19">
        <v>0</v>
      </c>
      <c r="L1515" s="19" t="s">
        <v>47</v>
      </c>
      <c r="M1515" s="19">
        <v>0</v>
      </c>
      <c r="N1515" s="19" t="s">
        <v>47</v>
      </c>
      <c r="O1515" s="19">
        <v>0</v>
      </c>
      <c r="P1515" s="19" t="s">
        <v>47</v>
      </c>
      <c r="Q1515" s="19">
        <v>1</v>
      </c>
      <c r="R1515" s="19" t="s">
        <v>45</v>
      </c>
      <c r="S1515" s="19">
        <v>0</v>
      </c>
      <c r="T1515" s="23" t="s">
        <v>47</v>
      </c>
    </row>
    <row r="1516" spans="1:20" x14ac:dyDescent="0.35">
      <c r="A1516" s="1" t="s">
        <v>3101</v>
      </c>
      <c r="B1516" s="20" t="s">
        <v>12</v>
      </c>
      <c r="C1516" s="18" t="s">
        <v>47</v>
      </c>
      <c r="D1516" s="18" t="s">
        <v>2735</v>
      </c>
      <c r="E1516" s="18">
        <v>1</v>
      </c>
      <c r="F1516" s="18" t="s">
        <v>48</v>
      </c>
      <c r="G1516" s="18">
        <v>1</v>
      </c>
      <c r="H1516" s="18" t="s">
        <v>55</v>
      </c>
      <c r="I1516" s="18">
        <v>0</v>
      </c>
      <c r="J1516" s="18" t="s">
        <v>47</v>
      </c>
      <c r="K1516" s="18">
        <v>0</v>
      </c>
      <c r="L1516" s="18" t="s">
        <v>47</v>
      </c>
      <c r="M1516" s="18">
        <v>1</v>
      </c>
      <c r="N1516" s="18" t="s">
        <v>55</v>
      </c>
      <c r="O1516" s="18">
        <v>0</v>
      </c>
      <c r="P1516" s="18" t="s">
        <v>47</v>
      </c>
      <c r="Q1516" s="18">
        <v>1</v>
      </c>
      <c r="R1516" s="18" t="s">
        <v>45</v>
      </c>
      <c r="S1516" s="18">
        <v>0</v>
      </c>
      <c r="T1516" s="21" t="s">
        <v>47</v>
      </c>
    </row>
    <row r="1517" spans="1:20" x14ac:dyDescent="0.35">
      <c r="A1517" s="1" t="s">
        <v>3102</v>
      </c>
      <c r="B1517" s="22" t="s">
        <v>12</v>
      </c>
      <c r="C1517" s="19" t="s">
        <v>47</v>
      </c>
      <c r="D1517" s="19" t="s">
        <v>2842</v>
      </c>
      <c r="E1517" s="19">
        <v>1</v>
      </c>
      <c r="F1517" s="19" t="s">
        <v>48</v>
      </c>
      <c r="G1517" s="19">
        <v>1</v>
      </c>
      <c r="H1517" s="19" t="s">
        <v>55</v>
      </c>
      <c r="I1517" s="19">
        <v>0</v>
      </c>
      <c r="J1517" s="19" t="s">
        <v>47</v>
      </c>
      <c r="K1517" s="19">
        <v>0</v>
      </c>
      <c r="L1517" s="19" t="s">
        <v>47</v>
      </c>
      <c r="M1517" s="19">
        <v>0</v>
      </c>
      <c r="N1517" s="19" t="s">
        <v>47</v>
      </c>
      <c r="O1517" s="19">
        <v>1</v>
      </c>
      <c r="P1517" s="19" t="s">
        <v>45</v>
      </c>
      <c r="Q1517" s="19">
        <v>1</v>
      </c>
      <c r="R1517" s="19" t="s">
        <v>45</v>
      </c>
      <c r="S1517" s="19">
        <v>0</v>
      </c>
      <c r="T1517" s="23" t="s">
        <v>47</v>
      </c>
    </row>
    <row r="1518" spans="1:20" x14ac:dyDescent="0.35">
      <c r="A1518" s="1" t="s">
        <v>3103</v>
      </c>
      <c r="B1518" s="20" t="s">
        <v>12</v>
      </c>
      <c r="C1518" s="18" t="s">
        <v>47</v>
      </c>
      <c r="D1518" s="18" t="s">
        <v>2736</v>
      </c>
      <c r="E1518" s="18">
        <v>1</v>
      </c>
      <c r="F1518" s="18" t="s">
        <v>48</v>
      </c>
      <c r="G1518" s="18">
        <v>1</v>
      </c>
      <c r="H1518" s="18" t="s">
        <v>45</v>
      </c>
      <c r="I1518" s="18">
        <v>0</v>
      </c>
      <c r="J1518" s="18" t="s">
        <v>47</v>
      </c>
      <c r="K1518" s="18">
        <v>0</v>
      </c>
      <c r="L1518" s="18" t="s">
        <v>47</v>
      </c>
      <c r="M1518" s="18">
        <v>0</v>
      </c>
      <c r="N1518" s="18" t="s">
        <v>47</v>
      </c>
      <c r="O1518" s="18">
        <v>1</v>
      </c>
      <c r="P1518" s="18" t="s">
        <v>48</v>
      </c>
      <c r="Q1518" s="18">
        <v>1</v>
      </c>
      <c r="R1518" s="18" t="s">
        <v>45</v>
      </c>
      <c r="S1518" s="18">
        <v>0</v>
      </c>
      <c r="T1518" s="21" t="s">
        <v>47</v>
      </c>
    </row>
    <row r="1519" spans="1:20" x14ac:dyDescent="0.35">
      <c r="A1519" s="1" t="s">
        <v>3104</v>
      </c>
      <c r="B1519" s="22" t="s">
        <v>12</v>
      </c>
      <c r="C1519" s="19" t="s">
        <v>47</v>
      </c>
      <c r="D1519" s="19" t="s">
        <v>2843</v>
      </c>
      <c r="E1519" s="19">
        <v>1</v>
      </c>
      <c r="F1519" s="19" t="s">
        <v>48</v>
      </c>
      <c r="G1519" s="19">
        <v>0</v>
      </c>
      <c r="H1519" s="19" t="s">
        <v>47</v>
      </c>
      <c r="I1519" s="19">
        <v>0</v>
      </c>
      <c r="J1519" s="19" t="s">
        <v>47</v>
      </c>
      <c r="K1519" s="19">
        <v>0</v>
      </c>
      <c r="L1519" s="19" t="s">
        <v>47</v>
      </c>
      <c r="M1519" s="19">
        <v>1</v>
      </c>
      <c r="N1519" s="19" t="s">
        <v>48</v>
      </c>
      <c r="O1519" s="19">
        <v>0</v>
      </c>
      <c r="P1519" s="19" t="s">
        <v>47</v>
      </c>
      <c r="Q1519" s="19">
        <v>0</v>
      </c>
      <c r="R1519" s="19" t="s">
        <v>47</v>
      </c>
      <c r="S1519" s="19">
        <v>0</v>
      </c>
      <c r="T1519" s="23" t="s">
        <v>47</v>
      </c>
    </row>
    <row r="1520" spans="1:20" x14ac:dyDescent="0.35">
      <c r="A1520" s="1" t="s">
        <v>3105</v>
      </c>
      <c r="B1520" s="20" t="s">
        <v>12</v>
      </c>
      <c r="C1520" s="18" t="s">
        <v>47</v>
      </c>
      <c r="D1520" s="18" t="s">
        <v>2729</v>
      </c>
      <c r="E1520" s="18">
        <v>0</v>
      </c>
      <c r="F1520" s="18" t="s">
        <v>47</v>
      </c>
      <c r="G1520" s="18">
        <v>0</v>
      </c>
      <c r="H1520" s="18" t="s">
        <v>47</v>
      </c>
      <c r="I1520" s="18">
        <v>0</v>
      </c>
      <c r="J1520" s="18" t="s">
        <v>47</v>
      </c>
      <c r="K1520" s="18">
        <v>0</v>
      </c>
      <c r="L1520" s="18" t="s">
        <v>47</v>
      </c>
      <c r="M1520" s="18">
        <v>0</v>
      </c>
      <c r="N1520" s="18" t="s">
        <v>47</v>
      </c>
      <c r="O1520" s="18">
        <v>0</v>
      </c>
      <c r="P1520" s="18" t="s">
        <v>47</v>
      </c>
      <c r="Q1520" s="18">
        <v>1</v>
      </c>
      <c r="R1520" s="18" t="s">
        <v>48</v>
      </c>
      <c r="S1520" s="18">
        <v>0</v>
      </c>
      <c r="T1520" s="21" t="s">
        <v>47</v>
      </c>
    </row>
    <row r="1521" spans="1:20" x14ac:dyDescent="0.35">
      <c r="A1521" s="1" t="s">
        <v>3106</v>
      </c>
      <c r="B1521" s="22" t="s">
        <v>12</v>
      </c>
      <c r="C1521" s="19" t="s">
        <v>47</v>
      </c>
      <c r="D1521" s="19" t="s">
        <v>2730</v>
      </c>
      <c r="E1521" s="19">
        <v>1</v>
      </c>
      <c r="F1521" s="19" t="s">
        <v>55</v>
      </c>
      <c r="G1521" s="19">
        <v>0</v>
      </c>
      <c r="H1521" s="19" t="s">
        <v>47</v>
      </c>
      <c r="I1521" s="19">
        <v>0</v>
      </c>
      <c r="J1521" s="19" t="s">
        <v>47</v>
      </c>
      <c r="K1521" s="19">
        <v>0</v>
      </c>
      <c r="L1521" s="19" t="s">
        <v>47</v>
      </c>
      <c r="M1521" s="19">
        <v>1</v>
      </c>
      <c r="N1521" s="19" t="s">
        <v>48</v>
      </c>
      <c r="O1521" s="19">
        <v>0</v>
      </c>
      <c r="P1521" s="19" t="s">
        <v>47</v>
      </c>
      <c r="Q1521" s="19">
        <v>0</v>
      </c>
      <c r="R1521" s="19" t="s">
        <v>47</v>
      </c>
      <c r="S1521" s="19">
        <v>0</v>
      </c>
      <c r="T1521" s="23" t="s">
        <v>47</v>
      </c>
    </row>
    <row r="1522" spans="1:20" x14ac:dyDescent="0.35">
      <c r="A1522" s="1" t="s">
        <v>3107</v>
      </c>
      <c r="B1522" s="20" t="s">
        <v>12</v>
      </c>
      <c r="C1522" s="18" t="s">
        <v>47</v>
      </c>
      <c r="D1522" s="18" t="s">
        <v>2838</v>
      </c>
      <c r="E1522" s="18">
        <v>1</v>
      </c>
      <c r="F1522" s="18" t="s">
        <v>48</v>
      </c>
      <c r="G1522" s="18">
        <v>1</v>
      </c>
      <c r="H1522" s="18" t="s">
        <v>48</v>
      </c>
      <c r="I1522" s="18">
        <v>0</v>
      </c>
      <c r="J1522" s="18" t="s">
        <v>47</v>
      </c>
      <c r="K1522" s="18">
        <v>0</v>
      </c>
      <c r="L1522" s="18" t="s">
        <v>47</v>
      </c>
      <c r="M1522" s="18">
        <v>1</v>
      </c>
      <c r="N1522" s="18" t="s">
        <v>48</v>
      </c>
      <c r="O1522" s="18">
        <v>0</v>
      </c>
      <c r="P1522" s="18" t="s">
        <v>47</v>
      </c>
      <c r="Q1522" s="18">
        <v>0</v>
      </c>
      <c r="R1522" s="18" t="s">
        <v>47</v>
      </c>
      <c r="S1522" s="18">
        <v>0</v>
      </c>
      <c r="T1522" s="21" t="s">
        <v>47</v>
      </c>
    </row>
    <row r="1523" spans="1:20" x14ac:dyDescent="0.35">
      <c r="A1523" s="1" t="s">
        <v>3108</v>
      </c>
      <c r="B1523" s="22" t="s">
        <v>12</v>
      </c>
      <c r="C1523" s="19" t="s">
        <v>47</v>
      </c>
      <c r="D1523" s="19" t="s">
        <v>2839</v>
      </c>
      <c r="E1523" s="19">
        <v>1</v>
      </c>
      <c r="F1523" s="19" t="s">
        <v>45</v>
      </c>
      <c r="G1523" s="19">
        <v>1</v>
      </c>
      <c r="H1523" s="19" t="s">
        <v>48</v>
      </c>
      <c r="I1523" s="19">
        <v>0</v>
      </c>
      <c r="J1523" s="19" t="s">
        <v>47</v>
      </c>
      <c r="K1523" s="19">
        <v>0</v>
      </c>
      <c r="L1523" s="19" t="s">
        <v>47</v>
      </c>
      <c r="M1523" s="19">
        <v>0</v>
      </c>
      <c r="N1523" s="19" t="s">
        <v>47</v>
      </c>
      <c r="O1523" s="19">
        <v>1</v>
      </c>
      <c r="P1523" s="19" t="s">
        <v>48</v>
      </c>
      <c r="Q1523" s="19">
        <v>0</v>
      </c>
      <c r="R1523" s="19" t="s">
        <v>47</v>
      </c>
      <c r="S1523" s="19">
        <v>0</v>
      </c>
      <c r="T1523" s="23" t="s">
        <v>47</v>
      </c>
    </row>
    <row r="1524" spans="1:20" x14ac:dyDescent="0.35">
      <c r="A1524" s="1" t="s">
        <v>3109</v>
      </c>
      <c r="B1524" s="20" t="s">
        <v>12</v>
      </c>
      <c r="C1524" s="18" t="s">
        <v>47</v>
      </c>
      <c r="D1524" s="18" t="s">
        <v>2731</v>
      </c>
      <c r="E1524" s="18">
        <v>1</v>
      </c>
      <c r="F1524" s="18" t="s">
        <v>48</v>
      </c>
      <c r="G1524" s="18">
        <v>0</v>
      </c>
      <c r="H1524" s="18" t="s">
        <v>47</v>
      </c>
      <c r="I1524" s="18">
        <v>0</v>
      </c>
      <c r="J1524" s="18" t="s">
        <v>47</v>
      </c>
      <c r="K1524" s="18">
        <v>0</v>
      </c>
      <c r="L1524" s="18" t="s">
        <v>47</v>
      </c>
      <c r="M1524" s="18">
        <v>1</v>
      </c>
      <c r="N1524" s="18" t="s">
        <v>48</v>
      </c>
      <c r="O1524" s="18">
        <v>1</v>
      </c>
      <c r="P1524" s="18" t="s">
        <v>48</v>
      </c>
      <c r="Q1524" s="18">
        <v>1</v>
      </c>
      <c r="R1524" s="18" t="s">
        <v>45</v>
      </c>
      <c r="S1524" s="18">
        <v>1</v>
      </c>
      <c r="T1524" s="21" t="s">
        <v>45</v>
      </c>
    </row>
    <row r="1525" spans="1:20" x14ac:dyDescent="0.35">
      <c r="A1525" s="1" t="s">
        <v>3110</v>
      </c>
      <c r="B1525" s="22" t="s">
        <v>12</v>
      </c>
      <c r="C1525" s="19" t="s">
        <v>47</v>
      </c>
      <c r="D1525" s="19" t="s">
        <v>2840</v>
      </c>
      <c r="E1525" s="19">
        <v>1</v>
      </c>
      <c r="F1525" s="19" t="s">
        <v>48</v>
      </c>
      <c r="G1525" s="19">
        <v>1</v>
      </c>
      <c r="H1525" s="19" t="s">
        <v>48</v>
      </c>
      <c r="I1525" s="19">
        <v>0</v>
      </c>
      <c r="J1525" s="19" t="s">
        <v>47</v>
      </c>
      <c r="K1525" s="19">
        <v>0</v>
      </c>
      <c r="L1525" s="19" t="s">
        <v>47</v>
      </c>
      <c r="M1525" s="19">
        <v>1</v>
      </c>
      <c r="N1525" s="19" t="s">
        <v>55</v>
      </c>
      <c r="O1525" s="19">
        <v>0</v>
      </c>
      <c r="P1525" s="19" t="s">
        <v>47</v>
      </c>
      <c r="Q1525" s="19">
        <v>0</v>
      </c>
      <c r="R1525" s="19" t="s">
        <v>47</v>
      </c>
      <c r="S1525" s="19">
        <v>0</v>
      </c>
      <c r="T1525" s="23" t="s">
        <v>47</v>
      </c>
    </row>
    <row r="1526" spans="1:20" x14ac:dyDescent="0.35">
      <c r="A1526" s="1" t="s">
        <v>3111</v>
      </c>
      <c r="B1526" s="20" t="s">
        <v>12</v>
      </c>
      <c r="C1526" s="18" t="s">
        <v>47</v>
      </c>
      <c r="D1526" s="18" t="s">
        <v>2841</v>
      </c>
      <c r="E1526" s="18">
        <v>1</v>
      </c>
      <c r="F1526" s="18" t="s">
        <v>55</v>
      </c>
      <c r="G1526" s="18">
        <v>1</v>
      </c>
      <c r="H1526" s="18" t="s">
        <v>48</v>
      </c>
      <c r="I1526" s="18">
        <v>0</v>
      </c>
      <c r="J1526" s="18" t="s">
        <v>47</v>
      </c>
      <c r="K1526" s="18">
        <v>0</v>
      </c>
      <c r="L1526" s="18" t="s">
        <v>47</v>
      </c>
      <c r="M1526" s="18">
        <v>0</v>
      </c>
      <c r="N1526" s="18" t="s">
        <v>47</v>
      </c>
      <c r="O1526" s="18">
        <v>1</v>
      </c>
      <c r="P1526" s="18" t="s">
        <v>48</v>
      </c>
      <c r="Q1526" s="18">
        <v>0</v>
      </c>
      <c r="R1526" s="18" t="s">
        <v>47</v>
      </c>
      <c r="S1526" s="18">
        <v>0</v>
      </c>
      <c r="T1526" s="21" t="s">
        <v>47</v>
      </c>
    </row>
    <row r="1527" spans="1:20" x14ac:dyDescent="0.35">
      <c r="A1527" s="1" t="s">
        <v>3112</v>
      </c>
      <c r="B1527" s="22" t="s">
        <v>12</v>
      </c>
      <c r="C1527" s="19" t="s">
        <v>47</v>
      </c>
      <c r="D1527" s="19" t="s">
        <v>2732</v>
      </c>
      <c r="E1527" s="19">
        <v>1</v>
      </c>
      <c r="F1527" s="19" t="s">
        <v>45</v>
      </c>
      <c r="G1527" s="19">
        <v>0</v>
      </c>
      <c r="H1527" s="19" t="s">
        <v>47</v>
      </c>
      <c r="I1527" s="19">
        <v>0</v>
      </c>
      <c r="J1527" s="19" t="s">
        <v>47</v>
      </c>
      <c r="K1527" s="19">
        <v>0</v>
      </c>
      <c r="L1527" s="19" t="s">
        <v>47</v>
      </c>
      <c r="M1527" s="19">
        <v>0</v>
      </c>
      <c r="N1527" s="19" t="s">
        <v>47</v>
      </c>
      <c r="O1527" s="19">
        <v>0</v>
      </c>
      <c r="P1527" s="19" t="s">
        <v>47</v>
      </c>
      <c r="Q1527" s="19">
        <v>1</v>
      </c>
      <c r="R1527" s="19" t="s">
        <v>48</v>
      </c>
      <c r="S1527" s="19">
        <v>0</v>
      </c>
      <c r="T1527" s="23" t="s">
        <v>47</v>
      </c>
    </row>
    <row r="1528" spans="1:20" x14ac:dyDescent="0.35">
      <c r="A1528" s="1" t="s">
        <v>3113</v>
      </c>
      <c r="B1528" s="20" t="s">
        <v>12</v>
      </c>
      <c r="C1528" s="18" t="s">
        <v>47</v>
      </c>
      <c r="D1528" s="18" t="s">
        <v>2733</v>
      </c>
      <c r="E1528" s="18">
        <v>1</v>
      </c>
      <c r="F1528" s="18" t="s">
        <v>55</v>
      </c>
      <c r="G1528" s="18">
        <v>0</v>
      </c>
      <c r="H1528" s="18" t="s">
        <v>47</v>
      </c>
      <c r="I1528" s="18">
        <v>0</v>
      </c>
      <c r="J1528" s="18" t="s">
        <v>47</v>
      </c>
      <c r="K1528" s="18">
        <v>0</v>
      </c>
      <c r="L1528" s="18" t="s">
        <v>47</v>
      </c>
      <c r="M1528" s="18">
        <v>0</v>
      </c>
      <c r="N1528" s="18" t="s">
        <v>47</v>
      </c>
      <c r="O1528" s="18">
        <v>0</v>
      </c>
      <c r="P1528" s="18" t="s">
        <v>47</v>
      </c>
      <c r="Q1528" s="18">
        <v>1</v>
      </c>
      <c r="R1528" s="18" t="s">
        <v>45</v>
      </c>
      <c r="S1528" s="18">
        <v>0</v>
      </c>
      <c r="T1528" s="21" t="s">
        <v>47</v>
      </c>
    </row>
    <row r="1529" spans="1:20" x14ac:dyDescent="0.35">
      <c r="A1529" s="1" t="s">
        <v>3114</v>
      </c>
      <c r="B1529" s="22" t="s">
        <v>12</v>
      </c>
      <c r="C1529" s="19" t="s">
        <v>47</v>
      </c>
      <c r="D1529" s="19" t="s">
        <v>2734</v>
      </c>
      <c r="E1529" s="19">
        <v>1</v>
      </c>
      <c r="F1529" s="19" t="s">
        <v>48</v>
      </c>
      <c r="G1529" s="19">
        <v>1</v>
      </c>
      <c r="H1529" s="19" t="s">
        <v>48</v>
      </c>
      <c r="I1529" s="19">
        <v>0</v>
      </c>
      <c r="J1529" s="19" t="s">
        <v>47</v>
      </c>
      <c r="K1529" s="19">
        <v>0</v>
      </c>
      <c r="L1529" s="19" t="s">
        <v>47</v>
      </c>
      <c r="M1529" s="19">
        <v>0</v>
      </c>
      <c r="N1529" s="19" t="s">
        <v>47</v>
      </c>
      <c r="O1529" s="19">
        <v>0</v>
      </c>
      <c r="P1529" s="19" t="s">
        <v>47</v>
      </c>
      <c r="Q1529" s="19">
        <v>1</v>
      </c>
      <c r="R1529" s="19" t="s">
        <v>45</v>
      </c>
      <c r="S1529" s="19">
        <v>0</v>
      </c>
      <c r="T1529" s="23" t="s">
        <v>47</v>
      </c>
    </row>
    <row r="1530" spans="1:20" x14ac:dyDescent="0.35">
      <c r="A1530" s="1" t="s">
        <v>3115</v>
      </c>
      <c r="B1530" s="20" t="s">
        <v>12</v>
      </c>
      <c r="C1530" s="18" t="s">
        <v>47</v>
      </c>
      <c r="D1530" s="18" t="s">
        <v>2735</v>
      </c>
      <c r="E1530" s="18">
        <v>1</v>
      </c>
      <c r="F1530" s="18" t="s">
        <v>48</v>
      </c>
      <c r="G1530" s="18">
        <v>1</v>
      </c>
      <c r="H1530" s="18" t="s">
        <v>55</v>
      </c>
      <c r="I1530" s="18">
        <v>0</v>
      </c>
      <c r="J1530" s="18" t="s">
        <v>47</v>
      </c>
      <c r="K1530" s="18">
        <v>0</v>
      </c>
      <c r="L1530" s="18" t="s">
        <v>47</v>
      </c>
      <c r="M1530" s="18">
        <v>1</v>
      </c>
      <c r="N1530" s="18" t="s">
        <v>55</v>
      </c>
      <c r="O1530" s="18">
        <v>0</v>
      </c>
      <c r="P1530" s="18" t="s">
        <v>47</v>
      </c>
      <c r="Q1530" s="18">
        <v>1</v>
      </c>
      <c r="R1530" s="18" t="s">
        <v>45</v>
      </c>
      <c r="S1530" s="18">
        <v>0</v>
      </c>
      <c r="T1530" s="21" t="s">
        <v>47</v>
      </c>
    </row>
    <row r="1531" spans="1:20" x14ac:dyDescent="0.35">
      <c r="A1531" s="1" t="s">
        <v>3116</v>
      </c>
      <c r="B1531" s="22" t="s">
        <v>12</v>
      </c>
      <c r="C1531" s="19" t="s">
        <v>47</v>
      </c>
      <c r="D1531" s="19" t="s">
        <v>2842</v>
      </c>
      <c r="E1531" s="19">
        <v>1</v>
      </c>
      <c r="F1531" s="19" t="s">
        <v>48</v>
      </c>
      <c r="G1531" s="19">
        <v>1</v>
      </c>
      <c r="H1531" s="19" t="s">
        <v>55</v>
      </c>
      <c r="I1531" s="19">
        <v>0</v>
      </c>
      <c r="J1531" s="19" t="s">
        <v>47</v>
      </c>
      <c r="K1531" s="19">
        <v>0</v>
      </c>
      <c r="L1531" s="19" t="s">
        <v>47</v>
      </c>
      <c r="M1531" s="19">
        <v>0</v>
      </c>
      <c r="N1531" s="19" t="s">
        <v>47</v>
      </c>
      <c r="O1531" s="19">
        <v>1</v>
      </c>
      <c r="P1531" s="19" t="s">
        <v>45</v>
      </c>
      <c r="Q1531" s="19">
        <v>1</v>
      </c>
      <c r="R1531" s="19" t="s">
        <v>45</v>
      </c>
      <c r="S1531" s="19">
        <v>0</v>
      </c>
      <c r="T1531" s="23" t="s">
        <v>47</v>
      </c>
    </row>
    <row r="1532" spans="1:20" x14ac:dyDescent="0.35">
      <c r="A1532" s="1" t="s">
        <v>3117</v>
      </c>
      <c r="B1532" s="20" t="s">
        <v>12</v>
      </c>
      <c r="C1532" s="18" t="s">
        <v>47</v>
      </c>
      <c r="D1532" s="18" t="s">
        <v>2736</v>
      </c>
      <c r="E1532" s="18">
        <v>1</v>
      </c>
      <c r="F1532" s="18" t="s">
        <v>48</v>
      </c>
      <c r="G1532" s="18">
        <v>1</v>
      </c>
      <c r="H1532" s="18" t="s">
        <v>45</v>
      </c>
      <c r="I1532" s="18">
        <v>0</v>
      </c>
      <c r="J1532" s="18" t="s">
        <v>47</v>
      </c>
      <c r="K1532" s="18">
        <v>0</v>
      </c>
      <c r="L1532" s="18" t="s">
        <v>47</v>
      </c>
      <c r="M1532" s="18">
        <v>0</v>
      </c>
      <c r="N1532" s="18" t="s">
        <v>47</v>
      </c>
      <c r="O1532" s="18">
        <v>1</v>
      </c>
      <c r="P1532" s="18" t="s">
        <v>48</v>
      </c>
      <c r="Q1532" s="18">
        <v>1</v>
      </c>
      <c r="R1532" s="18" t="s">
        <v>45</v>
      </c>
      <c r="S1532" s="18">
        <v>0</v>
      </c>
      <c r="T1532" s="21" t="s">
        <v>47</v>
      </c>
    </row>
    <row r="1533" spans="1:20" x14ac:dyDescent="0.35">
      <c r="A1533" s="1" t="s">
        <v>3118</v>
      </c>
      <c r="B1533" s="22" t="s">
        <v>12</v>
      </c>
      <c r="C1533" s="19" t="s">
        <v>47</v>
      </c>
      <c r="D1533" s="19" t="s">
        <v>2843</v>
      </c>
      <c r="E1533" s="19">
        <v>1</v>
      </c>
      <c r="F1533" s="19" t="s">
        <v>48</v>
      </c>
      <c r="G1533" s="19">
        <v>0</v>
      </c>
      <c r="H1533" s="19" t="s">
        <v>47</v>
      </c>
      <c r="I1533" s="19">
        <v>0</v>
      </c>
      <c r="J1533" s="19" t="s">
        <v>47</v>
      </c>
      <c r="K1533" s="19">
        <v>0</v>
      </c>
      <c r="L1533" s="19" t="s">
        <v>47</v>
      </c>
      <c r="M1533" s="19">
        <v>1</v>
      </c>
      <c r="N1533" s="19" t="s">
        <v>48</v>
      </c>
      <c r="O1533" s="19">
        <v>0</v>
      </c>
      <c r="P1533" s="19" t="s">
        <v>47</v>
      </c>
      <c r="Q1533" s="19">
        <v>0</v>
      </c>
      <c r="R1533" s="19" t="s">
        <v>47</v>
      </c>
      <c r="S1533" s="19">
        <v>0</v>
      </c>
      <c r="T1533" s="23" t="s">
        <v>47</v>
      </c>
    </row>
    <row r="1534" spans="1:20" x14ac:dyDescent="0.35">
      <c r="A1534" s="1" t="s">
        <v>3119</v>
      </c>
      <c r="B1534" s="20" t="s">
        <v>12</v>
      </c>
      <c r="C1534" s="18" t="s">
        <v>47</v>
      </c>
      <c r="D1534" s="18" t="s">
        <v>2844</v>
      </c>
      <c r="E1534" s="18">
        <v>1</v>
      </c>
      <c r="F1534" s="18" t="s">
        <v>48</v>
      </c>
      <c r="G1534" s="18">
        <v>1</v>
      </c>
      <c r="H1534" s="18" t="s">
        <v>48</v>
      </c>
      <c r="I1534" s="18">
        <v>0</v>
      </c>
      <c r="J1534" s="18" t="s">
        <v>47</v>
      </c>
      <c r="K1534" s="18">
        <v>0</v>
      </c>
      <c r="L1534" s="18" t="s">
        <v>47</v>
      </c>
      <c r="M1534" s="18">
        <v>1</v>
      </c>
      <c r="N1534" s="18" t="s">
        <v>48</v>
      </c>
      <c r="O1534" s="18">
        <v>1</v>
      </c>
      <c r="P1534" s="18" t="s">
        <v>48</v>
      </c>
      <c r="Q1534" s="18">
        <v>1</v>
      </c>
      <c r="R1534" s="18" t="s">
        <v>45</v>
      </c>
      <c r="S1534" s="18">
        <v>0</v>
      </c>
      <c r="T1534" s="21" t="s">
        <v>47</v>
      </c>
    </row>
    <row r="1535" spans="1:20" x14ac:dyDescent="0.35">
      <c r="A1535" s="1" t="s">
        <v>3120</v>
      </c>
      <c r="B1535" s="22" t="s">
        <v>12</v>
      </c>
      <c r="C1535" s="19" t="s">
        <v>47</v>
      </c>
      <c r="D1535" s="19" t="s">
        <v>2845</v>
      </c>
      <c r="E1535" s="19">
        <v>1</v>
      </c>
      <c r="F1535" s="19" t="s">
        <v>45</v>
      </c>
      <c r="G1535" s="19">
        <v>1</v>
      </c>
      <c r="H1535" s="19" t="s">
        <v>48</v>
      </c>
      <c r="I1535" s="19">
        <v>0</v>
      </c>
      <c r="J1535" s="19" t="s">
        <v>47</v>
      </c>
      <c r="K1535" s="19">
        <v>0</v>
      </c>
      <c r="L1535" s="19" t="s">
        <v>47</v>
      </c>
      <c r="M1535" s="19">
        <v>1</v>
      </c>
      <c r="N1535" s="19" t="s">
        <v>45</v>
      </c>
      <c r="O1535" s="19">
        <v>0</v>
      </c>
      <c r="P1535" s="19" t="s">
        <v>47</v>
      </c>
      <c r="Q1535" s="19">
        <v>1</v>
      </c>
      <c r="R1535" s="19" t="s">
        <v>45</v>
      </c>
      <c r="S1535" s="19">
        <v>0</v>
      </c>
      <c r="T1535" s="23" t="s">
        <v>47</v>
      </c>
    </row>
    <row r="1536" spans="1:20" x14ac:dyDescent="0.35">
      <c r="A1536" s="1" t="s">
        <v>3121</v>
      </c>
      <c r="B1536" s="20" t="s">
        <v>12</v>
      </c>
      <c r="C1536" s="18" t="s">
        <v>47</v>
      </c>
      <c r="D1536" s="18" t="s">
        <v>2737</v>
      </c>
      <c r="E1536" s="18">
        <v>1</v>
      </c>
      <c r="F1536" s="18" t="s">
        <v>45</v>
      </c>
      <c r="G1536" s="18">
        <v>1</v>
      </c>
      <c r="H1536" s="18" t="s">
        <v>48</v>
      </c>
      <c r="I1536" s="18">
        <v>0</v>
      </c>
      <c r="J1536" s="18" t="s">
        <v>47</v>
      </c>
      <c r="K1536" s="18">
        <v>0</v>
      </c>
      <c r="L1536" s="18" t="s">
        <v>47</v>
      </c>
      <c r="M1536" s="18">
        <v>0</v>
      </c>
      <c r="N1536" s="18" t="s">
        <v>47</v>
      </c>
      <c r="O1536" s="18">
        <v>0</v>
      </c>
      <c r="P1536" s="18" t="s">
        <v>47</v>
      </c>
      <c r="Q1536" s="18">
        <v>0</v>
      </c>
      <c r="R1536" s="18" t="s">
        <v>47</v>
      </c>
      <c r="S1536" s="18">
        <v>1</v>
      </c>
      <c r="T1536" s="21" t="s">
        <v>55</v>
      </c>
    </row>
    <row r="1537" spans="1:20" x14ac:dyDescent="0.35">
      <c r="A1537" s="1" t="s">
        <v>3122</v>
      </c>
      <c r="B1537" s="22" t="s">
        <v>12</v>
      </c>
      <c r="C1537" s="19" t="s">
        <v>47</v>
      </c>
      <c r="D1537" s="19" t="s">
        <v>2846</v>
      </c>
      <c r="E1537" s="19">
        <v>1</v>
      </c>
      <c r="F1537" s="19" t="s">
        <v>48</v>
      </c>
      <c r="G1537" s="19">
        <v>1</v>
      </c>
      <c r="H1537" s="19" t="s">
        <v>48</v>
      </c>
      <c r="I1537" s="19">
        <v>1</v>
      </c>
      <c r="J1537" s="19" t="s">
        <v>48</v>
      </c>
      <c r="K1537" s="19">
        <v>0</v>
      </c>
      <c r="L1537" s="19" t="s">
        <v>47</v>
      </c>
      <c r="M1537" s="19">
        <v>1</v>
      </c>
      <c r="N1537" s="19" t="s">
        <v>55</v>
      </c>
      <c r="O1537" s="19">
        <v>1</v>
      </c>
      <c r="P1537" s="19" t="s">
        <v>48</v>
      </c>
      <c r="Q1537" s="19">
        <v>1</v>
      </c>
      <c r="R1537" s="19" t="s">
        <v>45</v>
      </c>
      <c r="S1537" s="19">
        <v>0</v>
      </c>
      <c r="T1537" s="23" t="s">
        <v>47</v>
      </c>
    </row>
    <row r="1538" spans="1:20" x14ac:dyDescent="0.35">
      <c r="A1538" s="1" t="s">
        <v>3123</v>
      </c>
      <c r="B1538" s="20" t="s">
        <v>12</v>
      </c>
      <c r="C1538" s="18" t="s">
        <v>47</v>
      </c>
      <c r="D1538" s="18" t="s">
        <v>2738</v>
      </c>
      <c r="E1538" s="18">
        <v>1</v>
      </c>
      <c r="F1538" s="18" t="s">
        <v>55</v>
      </c>
      <c r="G1538" s="18">
        <v>0</v>
      </c>
      <c r="H1538" s="18" t="s">
        <v>47</v>
      </c>
      <c r="I1538" s="18">
        <v>0</v>
      </c>
      <c r="J1538" s="18" t="s">
        <v>47</v>
      </c>
      <c r="K1538" s="18">
        <v>0</v>
      </c>
      <c r="L1538" s="18" t="s">
        <v>47</v>
      </c>
      <c r="M1538" s="18">
        <v>0</v>
      </c>
      <c r="N1538" s="18" t="s">
        <v>47</v>
      </c>
      <c r="O1538" s="18">
        <v>0</v>
      </c>
      <c r="P1538" s="18" t="s">
        <v>47</v>
      </c>
      <c r="Q1538" s="18">
        <v>1</v>
      </c>
      <c r="R1538" s="18" t="s">
        <v>48</v>
      </c>
      <c r="S1538" s="18">
        <v>0</v>
      </c>
      <c r="T1538" s="21" t="s">
        <v>47</v>
      </c>
    </row>
    <row r="1539" spans="1:20" x14ac:dyDescent="0.35">
      <c r="A1539" s="1" t="s">
        <v>3124</v>
      </c>
      <c r="B1539" s="22" t="s">
        <v>12</v>
      </c>
      <c r="C1539" s="19" t="s">
        <v>47</v>
      </c>
      <c r="D1539" s="19" t="s">
        <v>2847</v>
      </c>
      <c r="E1539" s="19">
        <v>1</v>
      </c>
      <c r="F1539" s="19" t="s">
        <v>48</v>
      </c>
      <c r="G1539" s="19">
        <v>1</v>
      </c>
      <c r="H1539" s="19" t="s">
        <v>45</v>
      </c>
      <c r="I1539" s="19">
        <v>0</v>
      </c>
      <c r="J1539" s="19" t="s">
        <v>47</v>
      </c>
      <c r="K1539" s="19">
        <v>1</v>
      </c>
      <c r="L1539" s="19" t="s">
        <v>48</v>
      </c>
      <c r="M1539" s="19">
        <v>1</v>
      </c>
      <c r="N1539" s="19" t="s">
        <v>48</v>
      </c>
      <c r="O1539" s="19">
        <v>0</v>
      </c>
      <c r="P1539" s="19" t="s">
        <v>47</v>
      </c>
      <c r="Q1539" s="19">
        <v>1</v>
      </c>
      <c r="R1539" s="19" t="s">
        <v>55</v>
      </c>
      <c r="S1539" s="19">
        <v>1</v>
      </c>
      <c r="T1539" s="23" t="s">
        <v>45</v>
      </c>
    </row>
    <row r="1540" spans="1:20" x14ac:dyDescent="0.35">
      <c r="A1540" s="1" t="s">
        <v>3125</v>
      </c>
      <c r="B1540" s="20" t="s">
        <v>12</v>
      </c>
      <c r="C1540" s="18" t="s">
        <v>47</v>
      </c>
      <c r="D1540" s="18" t="s">
        <v>2848</v>
      </c>
      <c r="E1540" s="18">
        <v>1</v>
      </c>
      <c r="F1540" s="18" t="s">
        <v>48</v>
      </c>
      <c r="G1540" s="18">
        <v>1</v>
      </c>
      <c r="H1540" s="18" t="s">
        <v>48</v>
      </c>
      <c r="I1540" s="18">
        <v>1</v>
      </c>
      <c r="J1540" s="18" t="s">
        <v>48</v>
      </c>
      <c r="K1540" s="18">
        <v>0</v>
      </c>
      <c r="L1540" s="18" t="s">
        <v>47</v>
      </c>
      <c r="M1540" s="18">
        <v>0</v>
      </c>
      <c r="N1540" s="18" t="s">
        <v>47</v>
      </c>
      <c r="O1540" s="18">
        <v>1</v>
      </c>
      <c r="P1540" s="18" t="s">
        <v>48</v>
      </c>
      <c r="Q1540" s="18">
        <v>0</v>
      </c>
      <c r="R1540" s="18" t="s">
        <v>47</v>
      </c>
      <c r="S1540" s="18">
        <v>0</v>
      </c>
      <c r="T1540" s="21" t="s">
        <v>47</v>
      </c>
    </row>
    <row r="1541" spans="1:20" x14ac:dyDescent="0.35">
      <c r="A1541" s="1" t="s">
        <v>3126</v>
      </c>
      <c r="B1541" s="22" t="s">
        <v>12</v>
      </c>
      <c r="C1541" s="19" t="s">
        <v>47</v>
      </c>
      <c r="D1541" s="19" t="s">
        <v>2849</v>
      </c>
      <c r="E1541" s="19">
        <v>1</v>
      </c>
      <c r="F1541" s="19" t="s">
        <v>48</v>
      </c>
      <c r="G1541" s="19">
        <v>1</v>
      </c>
      <c r="H1541" s="19" t="s">
        <v>48</v>
      </c>
      <c r="I1541" s="19">
        <v>1</v>
      </c>
      <c r="J1541" s="19" t="s">
        <v>48</v>
      </c>
      <c r="K1541" s="19">
        <v>0</v>
      </c>
      <c r="L1541" s="19" t="s">
        <v>47</v>
      </c>
      <c r="M1541" s="19">
        <v>1</v>
      </c>
      <c r="N1541" s="19" t="s">
        <v>48</v>
      </c>
      <c r="O1541" s="19">
        <v>1</v>
      </c>
      <c r="P1541" s="19" t="s">
        <v>48</v>
      </c>
      <c r="Q1541" s="19">
        <v>0</v>
      </c>
      <c r="R1541" s="19" t="s">
        <v>47</v>
      </c>
      <c r="S1541" s="19">
        <v>0</v>
      </c>
      <c r="T1541" s="23" t="s">
        <v>47</v>
      </c>
    </row>
    <row r="1542" spans="1:20" x14ac:dyDescent="0.35">
      <c r="A1542" s="1" t="s">
        <v>3127</v>
      </c>
      <c r="B1542" t="s">
        <v>12</v>
      </c>
      <c r="C1542" t="s">
        <v>47</v>
      </c>
      <c r="D1542" t="s">
        <v>2850</v>
      </c>
      <c r="E1542">
        <v>1</v>
      </c>
      <c r="F1542" t="s">
        <v>48</v>
      </c>
      <c r="G1542">
        <v>1</v>
      </c>
      <c r="H1542" t="s">
        <v>48</v>
      </c>
      <c r="I1542">
        <v>0</v>
      </c>
      <c r="J1542" t="s">
        <v>47</v>
      </c>
      <c r="K1542">
        <v>0</v>
      </c>
      <c r="L1542" t="s">
        <v>47</v>
      </c>
      <c r="M1542">
        <v>0</v>
      </c>
      <c r="N1542" t="s">
        <v>47</v>
      </c>
      <c r="O1542">
        <v>0</v>
      </c>
      <c r="P1542" t="s">
        <v>47</v>
      </c>
      <c r="Q1542">
        <v>0</v>
      </c>
      <c r="R1542" t="s">
        <v>47</v>
      </c>
      <c r="S1542">
        <v>0</v>
      </c>
      <c r="T1542" t="s">
        <v>47</v>
      </c>
    </row>
    <row r="1543" spans="1:20" x14ac:dyDescent="0.35">
      <c r="A1543" s="1" t="s">
        <v>3128</v>
      </c>
      <c r="B1543" t="s">
        <v>12</v>
      </c>
      <c r="C1543" t="s">
        <v>47</v>
      </c>
      <c r="D1543" t="s">
        <v>2851</v>
      </c>
      <c r="E1543">
        <v>1</v>
      </c>
      <c r="F1543" t="s">
        <v>48</v>
      </c>
      <c r="G1543">
        <v>1</v>
      </c>
      <c r="H1543" t="s">
        <v>48</v>
      </c>
      <c r="I1543">
        <v>1</v>
      </c>
      <c r="J1543" t="s">
        <v>48</v>
      </c>
      <c r="K1543">
        <v>0</v>
      </c>
      <c r="L1543" t="s">
        <v>47</v>
      </c>
      <c r="M1543">
        <v>1</v>
      </c>
      <c r="N1543" t="s">
        <v>48</v>
      </c>
      <c r="O1543">
        <v>0</v>
      </c>
      <c r="P1543" t="s">
        <v>47</v>
      </c>
      <c r="Q1543">
        <v>0</v>
      </c>
      <c r="R1543" t="s">
        <v>47</v>
      </c>
      <c r="S1543">
        <v>0</v>
      </c>
      <c r="T1543" t="s">
        <v>47</v>
      </c>
    </row>
    <row r="1544" spans="1:20" x14ac:dyDescent="0.35">
      <c r="A1544" s="1" t="s">
        <v>3129</v>
      </c>
      <c r="B1544" t="s">
        <v>12</v>
      </c>
      <c r="C1544" t="s">
        <v>47</v>
      </c>
      <c r="D1544" t="s">
        <v>2852</v>
      </c>
      <c r="E1544">
        <v>0</v>
      </c>
      <c r="F1544" t="s">
        <v>47</v>
      </c>
      <c r="G1544">
        <v>1</v>
      </c>
      <c r="H1544" t="s">
        <v>48</v>
      </c>
      <c r="I1544">
        <v>0</v>
      </c>
      <c r="J1544" t="s">
        <v>47</v>
      </c>
      <c r="K1544">
        <v>0</v>
      </c>
      <c r="L1544" t="s">
        <v>47</v>
      </c>
      <c r="M1544">
        <v>0</v>
      </c>
      <c r="N1544" t="s">
        <v>47</v>
      </c>
      <c r="O1544">
        <v>0</v>
      </c>
      <c r="P1544" t="s">
        <v>47</v>
      </c>
      <c r="Q1544">
        <v>0</v>
      </c>
      <c r="R1544" t="s">
        <v>47</v>
      </c>
      <c r="S1544">
        <v>0</v>
      </c>
      <c r="T1544" t="s">
        <v>47</v>
      </c>
    </row>
    <row r="1545" spans="1:20" x14ac:dyDescent="0.35">
      <c r="A1545" s="1" t="s">
        <v>3130</v>
      </c>
      <c r="B1545" t="s">
        <v>12</v>
      </c>
      <c r="C1545" t="s">
        <v>47</v>
      </c>
      <c r="D1545" t="s">
        <v>2853</v>
      </c>
      <c r="E1545">
        <v>1</v>
      </c>
      <c r="F1545" t="s">
        <v>48</v>
      </c>
      <c r="G1545">
        <v>1</v>
      </c>
      <c r="H1545" t="s">
        <v>48</v>
      </c>
      <c r="I1545">
        <v>1</v>
      </c>
      <c r="J1545" t="s">
        <v>48</v>
      </c>
      <c r="K1545">
        <v>0</v>
      </c>
      <c r="L1545" t="s">
        <v>47</v>
      </c>
      <c r="M1545">
        <v>0</v>
      </c>
      <c r="N1545" t="s">
        <v>47</v>
      </c>
      <c r="O1545">
        <v>0</v>
      </c>
      <c r="P1545" t="s">
        <v>47</v>
      </c>
      <c r="Q1545">
        <v>0</v>
      </c>
      <c r="R1545" t="s">
        <v>47</v>
      </c>
      <c r="S1545">
        <v>0</v>
      </c>
      <c r="T1545" t="s">
        <v>47</v>
      </c>
    </row>
    <row r="1546" spans="1:20" x14ac:dyDescent="0.35">
      <c r="A1546" s="1" t="s">
        <v>3131</v>
      </c>
      <c r="B1546" t="s">
        <v>12</v>
      </c>
      <c r="C1546" t="s">
        <v>47</v>
      </c>
      <c r="D1546" t="s">
        <v>2854</v>
      </c>
      <c r="E1546">
        <v>0</v>
      </c>
      <c r="F1546" t="s">
        <v>47</v>
      </c>
      <c r="G1546">
        <v>1</v>
      </c>
      <c r="H1546" t="s">
        <v>45</v>
      </c>
      <c r="I1546">
        <v>1</v>
      </c>
      <c r="J1546" t="s">
        <v>48</v>
      </c>
      <c r="K1546">
        <v>0</v>
      </c>
      <c r="L1546" t="s">
        <v>47</v>
      </c>
      <c r="M1546">
        <v>1</v>
      </c>
      <c r="N1546" t="s">
        <v>48</v>
      </c>
      <c r="O1546">
        <v>1</v>
      </c>
      <c r="P1546" t="s">
        <v>45</v>
      </c>
      <c r="Q1546">
        <v>0</v>
      </c>
      <c r="R1546" t="s">
        <v>47</v>
      </c>
      <c r="S1546">
        <v>0</v>
      </c>
      <c r="T1546" t="s">
        <v>47</v>
      </c>
    </row>
    <row r="1547" spans="1:20" x14ac:dyDescent="0.35">
      <c r="A1547" s="1" t="s">
        <v>3132</v>
      </c>
      <c r="B1547" t="s">
        <v>12</v>
      </c>
      <c r="C1547" t="s">
        <v>47</v>
      </c>
      <c r="D1547" t="s">
        <v>2855</v>
      </c>
      <c r="E1547">
        <v>1</v>
      </c>
      <c r="F1547" t="s">
        <v>48</v>
      </c>
      <c r="G1547">
        <v>1</v>
      </c>
      <c r="H1547" t="s">
        <v>48</v>
      </c>
      <c r="I1547">
        <v>1</v>
      </c>
      <c r="J1547" t="s">
        <v>48</v>
      </c>
      <c r="K1547">
        <v>0</v>
      </c>
      <c r="L1547" t="s">
        <v>47</v>
      </c>
      <c r="M1547">
        <v>0</v>
      </c>
      <c r="N1547" t="s">
        <v>47</v>
      </c>
      <c r="O1547">
        <v>1</v>
      </c>
      <c r="P1547" t="s">
        <v>48</v>
      </c>
      <c r="Q1547">
        <v>0</v>
      </c>
      <c r="R1547" t="s">
        <v>47</v>
      </c>
      <c r="S1547">
        <v>0</v>
      </c>
      <c r="T1547" t="s">
        <v>47</v>
      </c>
    </row>
    <row r="1548" spans="1:20" x14ac:dyDescent="0.35">
      <c r="A1548" s="1" t="s">
        <v>3133</v>
      </c>
      <c r="B1548" t="s">
        <v>12</v>
      </c>
      <c r="C1548" t="s">
        <v>47</v>
      </c>
      <c r="D1548" t="s">
        <v>2856</v>
      </c>
      <c r="E1548">
        <v>0</v>
      </c>
      <c r="F1548" t="s">
        <v>47</v>
      </c>
      <c r="G1548">
        <v>0</v>
      </c>
      <c r="H1548" t="s">
        <v>47</v>
      </c>
      <c r="I1548">
        <v>0</v>
      </c>
      <c r="J1548" t="s">
        <v>47</v>
      </c>
      <c r="K1548">
        <v>0</v>
      </c>
      <c r="L1548" t="s">
        <v>47</v>
      </c>
      <c r="M1548">
        <v>1</v>
      </c>
      <c r="N1548" t="s">
        <v>48</v>
      </c>
      <c r="O1548">
        <v>0</v>
      </c>
      <c r="P1548" t="s">
        <v>47</v>
      </c>
      <c r="Q1548">
        <v>1</v>
      </c>
      <c r="R1548" t="s">
        <v>48</v>
      </c>
      <c r="S1548">
        <v>0</v>
      </c>
      <c r="T1548" t="s">
        <v>47</v>
      </c>
    </row>
    <row r="1549" spans="1:20" x14ac:dyDescent="0.35">
      <c r="A1549" s="1" t="s">
        <v>3134</v>
      </c>
      <c r="B1549" t="s">
        <v>12</v>
      </c>
      <c r="C1549" t="s">
        <v>47</v>
      </c>
      <c r="D1549" t="s">
        <v>2857</v>
      </c>
      <c r="E1549">
        <v>1</v>
      </c>
      <c r="F1549" t="s">
        <v>48</v>
      </c>
      <c r="G1549">
        <v>1</v>
      </c>
      <c r="H1549" t="s">
        <v>45</v>
      </c>
      <c r="I1549">
        <v>0</v>
      </c>
      <c r="J1549" t="s">
        <v>47</v>
      </c>
      <c r="K1549">
        <v>0</v>
      </c>
      <c r="L1549" t="s">
        <v>47</v>
      </c>
      <c r="M1549">
        <v>1</v>
      </c>
      <c r="N1549" t="s">
        <v>48</v>
      </c>
      <c r="O1549">
        <v>0</v>
      </c>
      <c r="P1549" t="s">
        <v>47</v>
      </c>
      <c r="Q1549">
        <v>0</v>
      </c>
      <c r="R1549" t="s">
        <v>47</v>
      </c>
      <c r="S1549">
        <v>0</v>
      </c>
      <c r="T1549" t="s">
        <v>47</v>
      </c>
    </row>
    <row r="1550" spans="1:20" x14ac:dyDescent="0.35">
      <c r="A1550" s="1" t="s">
        <v>3135</v>
      </c>
      <c r="B1550" t="s">
        <v>12</v>
      </c>
      <c r="C1550" t="s">
        <v>47</v>
      </c>
      <c r="D1550" t="s">
        <v>2858</v>
      </c>
      <c r="E1550">
        <v>1</v>
      </c>
      <c r="F1550" t="s">
        <v>45</v>
      </c>
      <c r="G1550">
        <v>0</v>
      </c>
      <c r="H1550" t="s">
        <v>47</v>
      </c>
      <c r="I1550">
        <v>0</v>
      </c>
      <c r="J1550" t="s">
        <v>47</v>
      </c>
      <c r="K1550">
        <v>0</v>
      </c>
      <c r="L1550" t="s">
        <v>47</v>
      </c>
      <c r="M1550">
        <v>0</v>
      </c>
      <c r="N1550" t="s">
        <v>47</v>
      </c>
      <c r="O1550">
        <v>1</v>
      </c>
      <c r="P1550" t="s">
        <v>48</v>
      </c>
      <c r="Q1550">
        <v>1</v>
      </c>
      <c r="R1550" t="s">
        <v>45</v>
      </c>
      <c r="S1550">
        <v>0</v>
      </c>
      <c r="T1550" t="s">
        <v>47</v>
      </c>
    </row>
    <row r="1551" spans="1:20" x14ac:dyDescent="0.35">
      <c r="A1551" s="1" t="s">
        <v>3136</v>
      </c>
      <c r="B1551" t="s">
        <v>12</v>
      </c>
      <c r="C1551" t="s">
        <v>47</v>
      </c>
      <c r="D1551" t="s">
        <v>2859</v>
      </c>
      <c r="E1551">
        <v>1</v>
      </c>
      <c r="F1551" t="s">
        <v>48</v>
      </c>
      <c r="G1551">
        <v>0</v>
      </c>
      <c r="H1551" t="s">
        <v>47</v>
      </c>
      <c r="I1551">
        <v>0</v>
      </c>
      <c r="J1551" t="s">
        <v>47</v>
      </c>
      <c r="K1551">
        <v>0</v>
      </c>
      <c r="L1551" t="s">
        <v>47</v>
      </c>
      <c r="M1551">
        <v>1</v>
      </c>
      <c r="N1551" t="s">
        <v>48</v>
      </c>
      <c r="O1551">
        <v>0</v>
      </c>
      <c r="P1551" t="s">
        <v>47</v>
      </c>
      <c r="Q1551">
        <v>1</v>
      </c>
      <c r="R1551" t="s">
        <v>45</v>
      </c>
      <c r="S1551">
        <v>0</v>
      </c>
      <c r="T1551" t="s">
        <v>47</v>
      </c>
    </row>
    <row r="1552" spans="1:20" x14ac:dyDescent="0.35">
      <c r="A1552" s="1" t="s">
        <v>3137</v>
      </c>
      <c r="B1552" t="s">
        <v>12</v>
      </c>
      <c r="C1552" t="s">
        <v>47</v>
      </c>
      <c r="D1552" t="s">
        <v>2860</v>
      </c>
      <c r="E1552">
        <v>1</v>
      </c>
      <c r="F1552" t="s">
        <v>48</v>
      </c>
      <c r="G1552">
        <v>0</v>
      </c>
      <c r="H1552" t="s">
        <v>47</v>
      </c>
      <c r="I1552">
        <v>1</v>
      </c>
      <c r="J1552" t="s">
        <v>48</v>
      </c>
      <c r="K1552">
        <v>0</v>
      </c>
      <c r="L1552" t="s">
        <v>47</v>
      </c>
      <c r="M1552">
        <v>1</v>
      </c>
      <c r="N1552" t="s">
        <v>48</v>
      </c>
      <c r="O1552">
        <v>0</v>
      </c>
      <c r="P1552" t="s">
        <v>47</v>
      </c>
      <c r="Q1552">
        <v>0</v>
      </c>
      <c r="R1552" t="s">
        <v>47</v>
      </c>
      <c r="S1552">
        <v>0</v>
      </c>
      <c r="T1552" t="s">
        <v>47</v>
      </c>
    </row>
    <row r="1553" spans="1:20" x14ac:dyDescent="0.35">
      <c r="A1553" s="1" t="s">
        <v>3138</v>
      </c>
      <c r="B1553" t="s">
        <v>12</v>
      </c>
      <c r="C1553" t="s">
        <v>47</v>
      </c>
      <c r="D1553" t="s">
        <v>2861</v>
      </c>
      <c r="E1553">
        <v>0</v>
      </c>
      <c r="F1553" t="s">
        <v>47</v>
      </c>
      <c r="G1553">
        <v>1</v>
      </c>
      <c r="H1553" t="s">
        <v>48</v>
      </c>
      <c r="I1553">
        <v>0</v>
      </c>
      <c r="J1553" t="s">
        <v>47</v>
      </c>
      <c r="K1553">
        <v>0</v>
      </c>
      <c r="L1553" t="s">
        <v>47</v>
      </c>
      <c r="M1553">
        <v>0</v>
      </c>
      <c r="N1553" t="s">
        <v>47</v>
      </c>
      <c r="O1553">
        <v>1</v>
      </c>
      <c r="P1553" t="s">
        <v>48</v>
      </c>
      <c r="Q1553">
        <v>0</v>
      </c>
      <c r="R1553" t="s">
        <v>47</v>
      </c>
      <c r="S1553">
        <v>0</v>
      </c>
      <c r="T1553" t="s">
        <v>47</v>
      </c>
    </row>
    <row r="1554" spans="1:20" x14ac:dyDescent="0.35">
      <c r="A1554" s="1" t="s">
        <v>3139</v>
      </c>
      <c r="B1554" t="s">
        <v>12</v>
      </c>
      <c r="C1554" t="s">
        <v>47</v>
      </c>
      <c r="D1554" t="s">
        <v>2862</v>
      </c>
      <c r="E1554">
        <v>1</v>
      </c>
      <c r="F1554" t="s">
        <v>45</v>
      </c>
      <c r="G1554">
        <v>1</v>
      </c>
      <c r="H1554" t="s">
        <v>45</v>
      </c>
      <c r="I1554">
        <v>0</v>
      </c>
      <c r="J1554" t="s">
        <v>47</v>
      </c>
      <c r="K1554">
        <v>1</v>
      </c>
      <c r="L1554" t="s">
        <v>45</v>
      </c>
      <c r="M1554">
        <v>0</v>
      </c>
      <c r="N1554" t="s">
        <v>47</v>
      </c>
      <c r="O1554">
        <v>0</v>
      </c>
      <c r="P1554" t="s">
        <v>47</v>
      </c>
      <c r="Q1554">
        <v>1</v>
      </c>
      <c r="R1554" t="s">
        <v>48</v>
      </c>
      <c r="S1554">
        <v>1</v>
      </c>
      <c r="T1554" t="s">
        <v>48</v>
      </c>
    </row>
    <row r="1555" spans="1:20" x14ac:dyDescent="0.35">
      <c r="A1555" s="1" t="s">
        <v>3140</v>
      </c>
      <c r="B1555" t="s">
        <v>12</v>
      </c>
      <c r="C1555" t="s">
        <v>47</v>
      </c>
      <c r="D1555" t="s">
        <v>2863</v>
      </c>
      <c r="E1555">
        <v>0</v>
      </c>
      <c r="F1555" t="s">
        <v>47</v>
      </c>
      <c r="G1555">
        <v>1</v>
      </c>
      <c r="H1555" t="s">
        <v>48</v>
      </c>
      <c r="I1555">
        <v>1</v>
      </c>
      <c r="J1555" t="s">
        <v>48</v>
      </c>
      <c r="K1555">
        <v>0</v>
      </c>
      <c r="L1555" t="s">
        <v>47</v>
      </c>
      <c r="M1555">
        <v>0</v>
      </c>
      <c r="N1555" t="s">
        <v>47</v>
      </c>
      <c r="O1555">
        <v>1</v>
      </c>
      <c r="P1555" t="s">
        <v>48</v>
      </c>
      <c r="Q1555">
        <v>0</v>
      </c>
      <c r="R1555" t="s">
        <v>47</v>
      </c>
      <c r="S1555">
        <v>0</v>
      </c>
      <c r="T1555" t="s">
        <v>47</v>
      </c>
    </row>
    <row r="1556" spans="1:20" x14ac:dyDescent="0.35">
      <c r="A1556" s="1" t="s">
        <v>3141</v>
      </c>
      <c r="B1556" t="s">
        <v>12</v>
      </c>
      <c r="C1556" t="s">
        <v>47</v>
      </c>
      <c r="D1556" t="s">
        <v>2864</v>
      </c>
      <c r="E1556">
        <v>1</v>
      </c>
      <c r="F1556" t="s">
        <v>48</v>
      </c>
      <c r="G1556">
        <v>1</v>
      </c>
      <c r="H1556" t="s">
        <v>48</v>
      </c>
      <c r="I1556">
        <v>1</v>
      </c>
      <c r="J1556" t="s">
        <v>48</v>
      </c>
      <c r="K1556">
        <v>1</v>
      </c>
      <c r="L1556" t="s">
        <v>48</v>
      </c>
      <c r="M1556">
        <v>0</v>
      </c>
      <c r="N1556" t="s">
        <v>47</v>
      </c>
      <c r="O1556">
        <v>0</v>
      </c>
      <c r="P1556" t="s">
        <v>47</v>
      </c>
      <c r="Q1556">
        <v>0</v>
      </c>
      <c r="R1556" t="s">
        <v>47</v>
      </c>
      <c r="S1556">
        <v>0</v>
      </c>
      <c r="T1556" t="s">
        <v>47</v>
      </c>
    </row>
    <row r="1557" spans="1:20" x14ac:dyDescent="0.35">
      <c r="A1557" s="1" t="s">
        <v>3142</v>
      </c>
      <c r="B1557" t="s">
        <v>12</v>
      </c>
      <c r="C1557" t="s">
        <v>47</v>
      </c>
      <c r="D1557" t="s">
        <v>2865</v>
      </c>
      <c r="E1557">
        <v>0</v>
      </c>
      <c r="F1557" t="s">
        <v>47</v>
      </c>
      <c r="G1557">
        <v>1</v>
      </c>
      <c r="H1557" t="s">
        <v>45</v>
      </c>
      <c r="I1557">
        <v>0</v>
      </c>
      <c r="J1557" t="s">
        <v>47</v>
      </c>
      <c r="K1557">
        <v>0</v>
      </c>
      <c r="L1557" t="s">
        <v>47</v>
      </c>
      <c r="M1557">
        <v>0</v>
      </c>
      <c r="N1557" t="s">
        <v>47</v>
      </c>
      <c r="O1557">
        <v>1</v>
      </c>
      <c r="P1557" t="s">
        <v>48</v>
      </c>
      <c r="Q1557">
        <v>0</v>
      </c>
      <c r="R1557" t="s">
        <v>47</v>
      </c>
      <c r="S1557">
        <v>0</v>
      </c>
      <c r="T1557" t="s">
        <v>47</v>
      </c>
    </row>
    <row r="1558" spans="1:20" x14ac:dyDescent="0.35">
      <c r="A1558" s="1" t="s">
        <v>3143</v>
      </c>
      <c r="B1558" t="s">
        <v>12</v>
      </c>
      <c r="C1558" t="s">
        <v>47</v>
      </c>
      <c r="D1558" t="s">
        <v>2866</v>
      </c>
      <c r="E1558">
        <v>1</v>
      </c>
      <c r="F1558" t="s">
        <v>45</v>
      </c>
      <c r="G1558">
        <v>0</v>
      </c>
      <c r="H1558" t="s">
        <v>47</v>
      </c>
      <c r="I1558">
        <v>0</v>
      </c>
      <c r="J1558" t="s">
        <v>47</v>
      </c>
      <c r="K1558">
        <v>0</v>
      </c>
      <c r="L1558" t="s">
        <v>47</v>
      </c>
      <c r="M1558">
        <v>0</v>
      </c>
      <c r="N1558" t="s">
        <v>47</v>
      </c>
      <c r="O1558">
        <v>1</v>
      </c>
      <c r="P1558" t="s">
        <v>48</v>
      </c>
      <c r="Q1558">
        <v>1</v>
      </c>
      <c r="R1558" t="s">
        <v>48</v>
      </c>
      <c r="S1558">
        <v>0</v>
      </c>
      <c r="T1558" t="s">
        <v>47</v>
      </c>
    </row>
    <row r="1559" spans="1:20" x14ac:dyDescent="0.35">
      <c r="A1559" s="1" t="s">
        <v>3144</v>
      </c>
      <c r="B1559" t="s">
        <v>12</v>
      </c>
      <c r="C1559" t="s">
        <v>47</v>
      </c>
      <c r="D1559" t="s">
        <v>2867</v>
      </c>
      <c r="E1559">
        <v>0</v>
      </c>
      <c r="F1559" t="s">
        <v>47</v>
      </c>
      <c r="G1559">
        <v>1</v>
      </c>
      <c r="H1559" t="s">
        <v>48</v>
      </c>
      <c r="I1559">
        <v>1</v>
      </c>
      <c r="J1559" t="s">
        <v>48</v>
      </c>
      <c r="K1559">
        <v>0</v>
      </c>
      <c r="L1559" t="s">
        <v>47</v>
      </c>
      <c r="M1559">
        <v>0</v>
      </c>
      <c r="N1559" t="s">
        <v>47</v>
      </c>
      <c r="O1559">
        <v>1</v>
      </c>
      <c r="P1559" t="s">
        <v>48</v>
      </c>
      <c r="Q1559">
        <v>0</v>
      </c>
      <c r="R1559" t="s">
        <v>47</v>
      </c>
      <c r="S1559">
        <v>0</v>
      </c>
      <c r="T1559" t="s">
        <v>47</v>
      </c>
    </row>
    <row r="1560" spans="1:20" x14ac:dyDescent="0.35">
      <c r="A1560" s="1" t="s">
        <v>3145</v>
      </c>
      <c r="B1560" t="s">
        <v>12</v>
      </c>
      <c r="C1560" t="s">
        <v>47</v>
      </c>
      <c r="D1560" t="s">
        <v>2868</v>
      </c>
      <c r="E1560">
        <v>0</v>
      </c>
      <c r="F1560" t="s">
        <v>47</v>
      </c>
      <c r="G1560">
        <v>1</v>
      </c>
      <c r="H1560" t="s">
        <v>48</v>
      </c>
      <c r="I1560">
        <v>0</v>
      </c>
      <c r="J1560" t="s">
        <v>47</v>
      </c>
      <c r="K1560">
        <v>0</v>
      </c>
      <c r="L1560" t="s">
        <v>47</v>
      </c>
      <c r="M1560">
        <v>0</v>
      </c>
      <c r="N1560" t="s">
        <v>47</v>
      </c>
      <c r="O1560">
        <v>0</v>
      </c>
      <c r="P1560" t="s">
        <v>47</v>
      </c>
      <c r="Q1560">
        <v>1</v>
      </c>
      <c r="R1560" t="s">
        <v>48</v>
      </c>
      <c r="S1560">
        <v>0</v>
      </c>
      <c r="T1560" t="s">
        <v>47</v>
      </c>
    </row>
    <row r="1561" spans="1:20" x14ac:dyDescent="0.35">
      <c r="A1561" s="1" t="s">
        <v>3146</v>
      </c>
      <c r="B1561" t="s">
        <v>12</v>
      </c>
      <c r="C1561" t="s">
        <v>47</v>
      </c>
      <c r="D1561" t="s">
        <v>2869</v>
      </c>
      <c r="E1561">
        <v>0</v>
      </c>
      <c r="F1561" t="s">
        <v>47</v>
      </c>
      <c r="G1561">
        <v>1</v>
      </c>
      <c r="H1561" t="s">
        <v>48</v>
      </c>
      <c r="I1561">
        <v>0</v>
      </c>
      <c r="J1561" t="s">
        <v>47</v>
      </c>
      <c r="K1561">
        <v>1</v>
      </c>
      <c r="L1561" t="s">
        <v>48</v>
      </c>
      <c r="M1561">
        <v>1</v>
      </c>
      <c r="N1561" t="s">
        <v>48</v>
      </c>
      <c r="O1561">
        <v>0</v>
      </c>
      <c r="P1561" t="s">
        <v>47</v>
      </c>
      <c r="Q1561">
        <v>1</v>
      </c>
      <c r="R1561" t="s">
        <v>48</v>
      </c>
      <c r="S1561">
        <v>0</v>
      </c>
      <c r="T1561" t="s">
        <v>47</v>
      </c>
    </row>
    <row r="1562" spans="1:20" x14ac:dyDescent="0.35">
      <c r="A1562" s="1" t="s">
        <v>3147</v>
      </c>
      <c r="B1562" t="s">
        <v>12</v>
      </c>
      <c r="C1562" t="s">
        <v>47</v>
      </c>
      <c r="D1562" t="s">
        <v>2870</v>
      </c>
      <c r="E1562">
        <v>1</v>
      </c>
      <c r="F1562" t="s">
        <v>45</v>
      </c>
      <c r="G1562">
        <v>1</v>
      </c>
      <c r="H1562" t="s">
        <v>48</v>
      </c>
      <c r="I1562">
        <v>0</v>
      </c>
      <c r="J1562" t="s">
        <v>47</v>
      </c>
      <c r="K1562">
        <v>0</v>
      </c>
      <c r="L1562" t="s">
        <v>47</v>
      </c>
      <c r="M1562">
        <v>0</v>
      </c>
      <c r="N1562" t="s">
        <v>47</v>
      </c>
      <c r="O1562">
        <v>0</v>
      </c>
      <c r="P1562" t="s">
        <v>47</v>
      </c>
      <c r="Q1562">
        <v>0</v>
      </c>
      <c r="R1562" t="s">
        <v>47</v>
      </c>
      <c r="S1562">
        <v>0</v>
      </c>
      <c r="T1562" t="s">
        <v>47</v>
      </c>
    </row>
    <row r="1563" spans="1:20" x14ac:dyDescent="0.35">
      <c r="A1563" s="1" t="s">
        <v>3148</v>
      </c>
      <c r="B1563" t="s">
        <v>12</v>
      </c>
      <c r="C1563" t="s">
        <v>47</v>
      </c>
      <c r="D1563" t="s">
        <v>2871</v>
      </c>
      <c r="E1563">
        <v>1</v>
      </c>
      <c r="F1563" t="s">
        <v>48</v>
      </c>
      <c r="G1563">
        <v>0</v>
      </c>
      <c r="H1563" t="s">
        <v>47</v>
      </c>
      <c r="I1563">
        <v>0</v>
      </c>
      <c r="J1563" t="s">
        <v>47</v>
      </c>
      <c r="K1563">
        <v>0</v>
      </c>
      <c r="L1563" t="s">
        <v>47</v>
      </c>
      <c r="M1563">
        <v>1</v>
      </c>
      <c r="N1563" t="s">
        <v>48</v>
      </c>
      <c r="O1563">
        <v>0</v>
      </c>
      <c r="P1563" t="s">
        <v>47</v>
      </c>
      <c r="Q1563">
        <v>0</v>
      </c>
      <c r="R1563" t="s">
        <v>47</v>
      </c>
      <c r="S1563">
        <v>0</v>
      </c>
      <c r="T1563" t="s">
        <v>47</v>
      </c>
    </row>
    <row r="1564" spans="1:20" x14ac:dyDescent="0.35">
      <c r="A1564" s="1" t="s">
        <v>3149</v>
      </c>
      <c r="B1564" t="s">
        <v>12</v>
      </c>
      <c r="C1564" t="s">
        <v>47</v>
      </c>
      <c r="D1564" t="s">
        <v>2872</v>
      </c>
      <c r="E1564">
        <v>1</v>
      </c>
      <c r="F1564" t="s">
        <v>48</v>
      </c>
      <c r="G1564">
        <v>0</v>
      </c>
      <c r="H1564" t="s">
        <v>47</v>
      </c>
      <c r="I1564">
        <v>0</v>
      </c>
      <c r="J1564" t="s">
        <v>47</v>
      </c>
      <c r="K1564">
        <v>0</v>
      </c>
      <c r="L1564" t="s">
        <v>47</v>
      </c>
      <c r="M1564">
        <v>0</v>
      </c>
      <c r="N1564" t="s">
        <v>47</v>
      </c>
      <c r="O1564">
        <v>1</v>
      </c>
      <c r="P1564" t="s">
        <v>48</v>
      </c>
      <c r="Q1564">
        <v>0</v>
      </c>
      <c r="R1564" t="s">
        <v>47</v>
      </c>
      <c r="S1564">
        <v>0</v>
      </c>
      <c r="T1564" t="s">
        <v>47</v>
      </c>
    </row>
    <row r="1565" spans="1:20" x14ac:dyDescent="0.35">
      <c r="A1565" s="1" t="s">
        <v>3150</v>
      </c>
      <c r="B1565" t="s">
        <v>12</v>
      </c>
      <c r="C1565" t="s">
        <v>47</v>
      </c>
      <c r="D1565" t="s">
        <v>2873</v>
      </c>
      <c r="E1565">
        <v>1</v>
      </c>
      <c r="F1565" t="s">
        <v>48</v>
      </c>
      <c r="G1565">
        <v>1</v>
      </c>
      <c r="H1565" t="s">
        <v>48</v>
      </c>
      <c r="I1565">
        <v>0</v>
      </c>
      <c r="J1565" t="s">
        <v>47</v>
      </c>
      <c r="K1565">
        <v>0</v>
      </c>
      <c r="L1565" t="s">
        <v>47</v>
      </c>
      <c r="M1565">
        <v>1</v>
      </c>
      <c r="N1565" t="s">
        <v>48</v>
      </c>
      <c r="O1565">
        <v>0</v>
      </c>
      <c r="P1565" t="s">
        <v>47</v>
      </c>
      <c r="Q1565">
        <v>0</v>
      </c>
      <c r="R1565" t="s">
        <v>47</v>
      </c>
      <c r="S1565">
        <v>0</v>
      </c>
      <c r="T1565" t="s">
        <v>47</v>
      </c>
    </row>
    <row r="1566" spans="1:20" x14ac:dyDescent="0.35">
      <c r="A1566" s="1" t="s">
        <v>3151</v>
      </c>
      <c r="B1566" t="s">
        <v>12</v>
      </c>
      <c r="C1566" t="s">
        <v>47</v>
      </c>
      <c r="D1566" t="s">
        <v>2874</v>
      </c>
      <c r="E1566">
        <v>1</v>
      </c>
      <c r="F1566" t="s">
        <v>48</v>
      </c>
      <c r="G1566">
        <v>1</v>
      </c>
      <c r="H1566" t="s">
        <v>48</v>
      </c>
      <c r="I1566">
        <v>0</v>
      </c>
      <c r="J1566" t="s">
        <v>47</v>
      </c>
      <c r="K1566">
        <v>1</v>
      </c>
      <c r="L1566" t="s">
        <v>48</v>
      </c>
      <c r="M1566">
        <v>0</v>
      </c>
      <c r="N1566" t="s">
        <v>47</v>
      </c>
      <c r="O1566">
        <v>0</v>
      </c>
      <c r="P1566" t="s">
        <v>47</v>
      </c>
      <c r="Q1566">
        <v>0</v>
      </c>
      <c r="R1566" t="s">
        <v>47</v>
      </c>
      <c r="S1566">
        <v>0</v>
      </c>
      <c r="T1566" t="s">
        <v>47</v>
      </c>
    </row>
    <row r="1567" spans="1:20" x14ac:dyDescent="0.35">
      <c r="A1567" s="1" t="s">
        <v>3152</v>
      </c>
      <c r="B1567" t="s">
        <v>12</v>
      </c>
      <c r="C1567" t="s">
        <v>47</v>
      </c>
      <c r="D1567" t="s">
        <v>2875</v>
      </c>
      <c r="E1567">
        <v>1</v>
      </c>
      <c r="F1567" t="s">
        <v>48</v>
      </c>
      <c r="G1567">
        <v>0</v>
      </c>
      <c r="H1567" t="s">
        <v>47</v>
      </c>
      <c r="I1567">
        <v>1</v>
      </c>
      <c r="J1567" t="s">
        <v>48</v>
      </c>
      <c r="K1567">
        <v>0</v>
      </c>
      <c r="L1567" t="s">
        <v>47</v>
      </c>
      <c r="M1567">
        <v>1</v>
      </c>
      <c r="N1567" t="s">
        <v>48</v>
      </c>
      <c r="O1567">
        <v>1</v>
      </c>
      <c r="P1567" t="s">
        <v>45</v>
      </c>
      <c r="Q1567">
        <v>0</v>
      </c>
      <c r="R1567" t="s">
        <v>47</v>
      </c>
      <c r="S1567">
        <v>0</v>
      </c>
      <c r="T1567" t="s">
        <v>47</v>
      </c>
    </row>
    <row r="1568" spans="1:20" x14ac:dyDescent="0.35">
      <c r="A1568" s="1" t="s">
        <v>3153</v>
      </c>
      <c r="B1568" t="s">
        <v>12</v>
      </c>
      <c r="C1568" t="s">
        <v>47</v>
      </c>
      <c r="D1568" t="s">
        <v>2876</v>
      </c>
      <c r="E1568">
        <v>1</v>
      </c>
      <c r="F1568" t="s">
        <v>45</v>
      </c>
      <c r="G1568">
        <v>1</v>
      </c>
      <c r="H1568" t="s">
        <v>48</v>
      </c>
      <c r="I1568">
        <v>0</v>
      </c>
      <c r="J1568" t="s">
        <v>47</v>
      </c>
      <c r="K1568">
        <v>0</v>
      </c>
      <c r="L1568" t="s">
        <v>47</v>
      </c>
      <c r="M1568">
        <v>1</v>
      </c>
      <c r="N1568" t="s">
        <v>48</v>
      </c>
      <c r="O1568">
        <v>0</v>
      </c>
      <c r="P1568" t="s">
        <v>47</v>
      </c>
      <c r="Q1568">
        <v>0</v>
      </c>
      <c r="R1568" t="s">
        <v>47</v>
      </c>
      <c r="S1568">
        <v>0</v>
      </c>
      <c r="T1568" t="s">
        <v>47</v>
      </c>
    </row>
    <row r="1569" spans="1:20" x14ac:dyDescent="0.35">
      <c r="A1569" s="1" t="s">
        <v>3154</v>
      </c>
      <c r="B1569" t="s">
        <v>12</v>
      </c>
      <c r="C1569" t="s">
        <v>47</v>
      </c>
      <c r="D1569" t="s">
        <v>2877</v>
      </c>
      <c r="E1569">
        <v>1</v>
      </c>
      <c r="F1569" t="s">
        <v>48</v>
      </c>
      <c r="G1569">
        <v>1</v>
      </c>
      <c r="H1569" t="s">
        <v>45</v>
      </c>
      <c r="I1569">
        <v>0</v>
      </c>
      <c r="J1569" t="s">
        <v>47</v>
      </c>
      <c r="K1569">
        <v>0</v>
      </c>
      <c r="L1569" t="s">
        <v>47</v>
      </c>
      <c r="M1569">
        <v>1</v>
      </c>
      <c r="N1569" t="s">
        <v>48</v>
      </c>
      <c r="O1569">
        <v>0</v>
      </c>
      <c r="P1569" t="s">
        <v>47</v>
      </c>
      <c r="Q1569">
        <v>1</v>
      </c>
      <c r="R1569" t="s">
        <v>45</v>
      </c>
      <c r="S1569">
        <v>0</v>
      </c>
      <c r="T1569" t="s">
        <v>47</v>
      </c>
    </row>
    <row r="1570" spans="1:20" x14ac:dyDescent="0.35">
      <c r="A1570" s="1" t="s">
        <v>3155</v>
      </c>
      <c r="B1570" t="s">
        <v>12</v>
      </c>
      <c r="C1570" t="s">
        <v>47</v>
      </c>
      <c r="D1570" t="s">
        <v>2878</v>
      </c>
      <c r="E1570">
        <v>0</v>
      </c>
      <c r="F1570" t="s">
        <v>47</v>
      </c>
      <c r="G1570">
        <v>1</v>
      </c>
      <c r="H1570" t="s">
        <v>48</v>
      </c>
      <c r="I1570">
        <v>0</v>
      </c>
      <c r="J1570" t="s">
        <v>47</v>
      </c>
      <c r="K1570">
        <v>0</v>
      </c>
      <c r="L1570" t="s">
        <v>47</v>
      </c>
      <c r="M1570">
        <v>0</v>
      </c>
      <c r="N1570" t="s">
        <v>47</v>
      </c>
      <c r="O1570">
        <v>1</v>
      </c>
      <c r="P1570" t="s">
        <v>48</v>
      </c>
      <c r="Q1570">
        <v>0</v>
      </c>
      <c r="R1570" t="s">
        <v>47</v>
      </c>
      <c r="S1570">
        <v>0</v>
      </c>
      <c r="T1570" t="s">
        <v>47</v>
      </c>
    </row>
    <row r="1571" spans="1:20" x14ac:dyDescent="0.35">
      <c r="A1571" s="1" t="s">
        <v>3156</v>
      </c>
      <c r="B1571" t="s">
        <v>12</v>
      </c>
      <c r="C1571" t="s">
        <v>47</v>
      </c>
      <c r="D1571" t="s">
        <v>2879</v>
      </c>
      <c r="E1571">
        <v>1</v>
      </c>
      <c r="F1571" t="s">
        <v>45</v>
      </c>
      <c r="G1571">
        <v>1</v>
      </c>
      <c r="H1571" t="s">
        <v>55</v>
      </c>
      <c r="I1571">
        <v>0</v>
      </c>
      <c r="J1571" t="s">
        <v>47</v>
      </c>
      <c r="K1571">
        <v>1</v>
      </c>
      <c r="L1571" t="s">
        <v>45</v>
      </c>
      <c r="M1571">
        <v>0</v>
      </c>
      <c r="N1571" t="s">
        <v>47</v>
      </c>
      <c r="O1571">
        <v>0</v>
      </c>
      <c r="P1571" t="s">
        <v>47</v>
      </c>
      <c r="Q1571">
        <v>1</v>
      </c>
      <c r="R1571" t="s">
        <v>45</v>
      </c>
      <c r="S1571">
        <v>0</v>
      </c>
      <c r="T1571" t="s">
        <v>47</v>
      </c>
    </row>
    <row r="1572" spans="1:20" x14ac:dyDescent="0.35">
      <c r="A1572" s="1" t="s">
        <v>3157</v>
      </c>
      <c r="B1572" t="s">
        <v>12</v>
      </c>
      <c r="C1572" t="s">
        <v>47</v>
      </c>
      <c r="D1572" t="s">
        <v>2880</v>
      </c>
      <c r="E1572">
        <v>1</v>
      </c>
      <c r="F1572" t="s">
        <v>48</v>
      </c>
      <c r="G1572">
        <v>1</v>
      </c>
      <c r="H1572" t="s">
        <v>48</v>
      </c>
      <c r="I1572">
        <v>1</v>
      </c>
      <c r="J1572" t="s">
        <v>48</v>
      </c>
      <c r="K1572">
        <v>0</v>
      </c>
      <c r="L1572" t="s">
        <v>47</v>
      </c>
      <c r="M1572">
        <v>1</v>
      </c>
      <c r="N1572" t="s">
        <v>48</v>
      </c>
      <c r="O1572">
        <v>0</v>
      </c>
      <c r="P1572" t="s">
        <v>47</v>
      </c>
      <c r="Q1572">
        <v>0</v>
      </c>
      <c r="R1572" t="s">
        <v>47</v>
      </c>
      <c r="S1572">
        <v>0</v>
      </c>
      <c r="T1572" t="s">
        <v>47</v>
      </c>
    </row>
    <row r="1573" spans="1:20" x14ac:dyDescent="0.35">
      <c r="A1573" s="1" t="s">
        <v>3158</v>
      </c>
      <c r="B1573" t="s">
        <v>12</v>
      </c>
      <c r="C1573" t="s">
        <v>47</v>
      </c>
      <c r="D1573" t="s">
        <v>2881</v>
      </c>
      <c r="E1573">
        <v>1</v>
      </c>
      <c r="F1573" t="s">
        <v>48</v>
      </c>
      <c r="G1573">
        <v>1</v>
      </c>
      <c r="H1573" t="s">
        <v>48</v>
      </c>
      <c r="I1573">
        <v>0</v>
      </c>
      <c r="J1573" t="s">
        <v>47</v>
      </c>
      <c r="K1573">
        <v>0</v>
      </c>
      <c r="L1573" t="s">
        <v>47</v>
      </c>
      <c r="M1573">
        <v>0</v>
      </c>
      <c r="N1573" t="s">
        <v>47</v>
      </c>
      <c r="O1573">
        <v>1</v>
      </c>
      <c r="P1573" t="s">
        <v>48</v>
      </c>
      <c r="Q1573">
        <v>0</v>
      </c>
      <c r="R1573" t="s">
        <v>47</v>
      </c>
      <c r="S1573">
        <v>0</v>
      </c>
      <c r="T1573" t="s">
        <v>47</v>
      </c>
    </row>
    <row r="1574" spans="1:20" x14ac:dyDescent="0.35">
      <c r="A1574" s="1" t="s">
        <v>3159</v>
      </c>
      <c r="B1574" t="s">
        <v>12</v>
      </c>
      <c r="C1574" t="s">
        <v>47</v>
      </c>
      <c r="D1574" t="s">
        <v>2882</v>
      </c>
      <c r="E1574">
        <v>1</v>
      </c>
      <c r="F1574" t="s">
        <v>48</v>
      </c>
      <c r="G1574">
        <v>1</v>
      </c>
      <c r="H1574" t="s">
        <v>48</v>
      </c>
      <c r="I1574">
        <v>0</v>
      </c>
      <c r="J1574" t="s">
        <v>47</v>
      </c>
      <c r="K1574">
        <v>0</v>
      </c>
      <c r="L1574" t="s">
        <v>47</v>
      </c>
      <c r="M1574">
        <v>0</v>
      </c>
      <c r="N1574" t="s">
        <v>47</v>
      </c>
      <c r="O1574">
        <v>0</v>
      </c>
      <c r="P1574" t="s">
        <v>47</v>
      </c>
      <c r="Q1574">
        <v>0</v>
      </c>
      <c r="R1574" t="s">
        <v>47</v>
      </c>
      <c r="S1574">
        <v>0</v>
      </c>
      <c r="T1574" t="s">
        <v>47</v>
      </c>
    </row>
    <row r="1575" spans="1:20" x14ac:dyDescent="0.35">
      <c r="A1575" s="1" t="s">
        <v>3160</v>
      </c>
      <c r="B1575" t="s">
        <v>12</v>
      </c>
      <c r="C1575" t="s">
        <v>47</v>
      </c>
      <c r="D1575" t="s">
        <v>2883</v>
      </c>
      <c r="E1575">
        <v>1</v>
      </c>
      <c r="F1575" t="s">
        <v>48</v>
      </c>
      <c r="G1575">
        <v>1</v>
      </c>
      <c r="H1575" t="s">
        <v>48</v>
      </c>
      <c r="I1575">
        <v>0</v>
      </c>
      <c r="J1575" t="s">
        <v>47</v>
      </c>
      <c r="K1575">
        <v>0</v>
      </c>
      <c r="L1575" t="s">
        <v>47</v>
      </c>
      <c r="M1575">
        <v>1</v>
      </c>
      <c r="N1575" t="s">
        <v>48</v>
      </c>
      <c r="O1575">
        <v>0</v>
      </c>
      <c r="P1575" t="s">
        <v>47</v>
      </c>
      <c r="Q1575">
        <v>1</v>
      </c>
      <c r="R1575" t="s">
        <v>48</v>
      </c>
      <c r="S1575">
        <v>0</v>
      </c>
      <c r="T1575" t="s">
        <v>47</v>
      </c>
    </row>
    <row r="1576" spans="1:20" x14ac:dyDescent="0.35">
      <c r="A1576" s="1" t="s">
        <v>3161</v>
      </c>
      <c r="B1576" t="s">
        <v>12</v>
      </c>
      <c r="C1576" t="s">
        <v>47</v>
      </c>
      <c r="D1576" t="s">
        <v>2884</v>
      </c>
      <c r="E1576">
        <v>1</v>
      </c>
      <c r="F1576" t="s">
        <v>48</v>
      </c>
      <c r="G1576">
        <v>1</v>
      </c>
      <c r="H1576" t="s">
        <v>48</v>
      </c>
      <c r="I1576">
        <v>0</v>
      </c>
      <c r="J1576" t="s">
        <v>47</v>
      </c>
      <c r="K1576">
        <v>1</v>
      </c>
      <c r="L1576" t="s">
        <v>45</v>
      </c>
      <c r="M1576">
        <v>0</v>
      </c>
      <c r="N1576" t="s">
        <v>47</v>
      </c>
      <c r="O1576">
        <v>0</v>
      </c>
      <c r="P1576" t="s">
        <v>47</v>
      </c>
      <c r="Q1576">
        <v>1</v>
      </c>
      <c r="R1576" t="s">
        <v>45</v>
      </c>
      <c r="S1576">
        <v>0</v>
      </c>
      <c r="T1576" t="s">
        <v>47</v>
      </c>
    </row>
    <row r="1577" spans="1:20" x14ac:dyDescent="0.35">
      <c r="A1577" s="1" t="s">
        <v>3162</v>
      </c>
      <c r="B1577" t="s">
        <v>12</v>
      </c>
      <c r="C1577" t="s">
        <v>47</v>
      </c>
      <c r="D1577" t="s">
        <v>2885</v>
      </c>
      <c r="E1577">
        <v>0</v>
      </c>
      <c r="F1577" t="s">
        <v>47</v>
      </c>
      <c r="G1577">
        <v>0</v>
      </c>
      <c r="H1577" t="s">
        <v>47</v>
      </c>
      <c r="I1577">
        <v>1</v>
      </c>
      <c r="J1577" t="s">
        <v>48</v>
      </c>
      <c r="K1577">
        <v>0</v>
      </c>
      <c r="L1577" t="s">
        <v>47</v>
      </c>
      <c r="M1577">
        <v>0</v>
      </c>
      <c r="N1577" t="s">
        <v>47</v>
      </c>
      <c r="O1577">
        <v>0</v>
      </c>
      <c r="P1577" t="s">
        <v>47</v>
      </c>
      <c r="Q1577">
        <v>0</v>
      </c>
      <c r="R1577" t="s">
        <v>47</v>
      </c>
      <c r="S1577">
        <v>0</v>
      </c>
      <c r="T1577" t="s">
        <v>47</v>
      </c>
    </row>
    <row r="1578" spans="1:20" x14ac:dyDescent="0.35">
      <c r="A1578" s="1" t="s">
        <v>3163</v>
      </c>
      <c r="B1578" t="s">
        <v>12</v>
      </c>
      <c r="C1578" t="s">
        <v>47</v>
      </c>
      <c r="D1578" t="s">
        <v>2886</v>
      </c>
      <c r="E1578">
        <v>1</v>
      </c>
      <c r="F1578" t="s">
        <v>48</v>
      </c>
      <c r="G1578">
        <v>1</v>
      </c>
      <c r="H1578" t="s">
        <v>48</v>
      </c>
      <c r="I1578">
        <v>0</v>
      </c>
      <c r="J1578" t="s">
        <v>47</v>
      </c>
      <c r="K1578">
        <v>0</v>
      </c>
      <c r="L1578" t="s">
        <v>47</v>
      </c>
      <c r="M1578">
        <v>1</v>
      </c>
      <c r="N1578" t="s">
        <v>48</v>
      </c>
      <c r="O1578">
        <v>0</v>
      </c>
      <c r="P1578" t="s">
        <v>47</v>
      </c>
      <c r="Q1578">
        <v>1</v>
      </c>
      <c r="R1578" t="s">
        <v>48</v>
      </c>
      <c r="S1578">
        <v>1</v>
      </c>
      <c r="T1578" t="s">
        <v>45</v>
      </c>
    </row>
    <row r="1579" spans="1:20" x14ac:dyDescent="0.35">
      <c r="A1579" s="1" t="s">
        <v>3164</v>
      </c>
      <c r="B1579" t="s">
        <v>12</v>
      </c>
      <c r="C1579" t="s">
        <v>47</v>
      </c>
      <c r="D1579" t="s">
        <v>2887</v>
      </c>
      <c r="E1579">
        <v>1</v>
      </c>
      <c r="F1579" t="s">
        <v>48</v>
      </c>
      <c r="G1579">
        <v>0</v>
      </c>
      <c r="H1579" t="s">
        <v>47</v>
      </c>
      <c r="I1579">
        <v>0</v>
      </c>
      <c r="J1579" t="s">
        <v>47</v>
      </c>
      <c r="K1579">
        <v>1</v>
      </c>
      <c r="L1579" t="s">
        <v>45</v>
      </c>
      <c r="M1579">
        <v>1</v>
      </c>
      <c r="N1579" t="s">
        <v>48</v>
      </c>
      <c r="O1579">
        <v>0</v>
      </c>
      <c r="P1579" t="s">
        <v>47</v>
      </c>
      <c r="Q1579">
        <v>1</v>
      </c>
      <c r="R1579" t="s">
        <v>55</v>
      </c>
      <c r="S1579">
        <v>0</v>
      </c>
      <c r="T1579" t="s">
        <v>47</v>
      </c>
    </row>
    <row r="1580" spans="1:20" x14ac:dyDescent="0.35">
      <c r="A1580" s="1" t="s">
        <v>3165</v>
      </c>
      <c r="B1580" t="s">
        <v>12</v>
      </c>
      <c r="C1580" t="s">
        <v>47</v>
      </c>
      <c r="D1580" t="s">
        <v>2888</v>
      </c>
      <c r="E1580">
        <v>1</v>
      </c>
      <c r="F1580" t="s">
        <v>48</v>
      </c>
      <c r="G1580">
        <v>0</v>
      </c>
      <c r="H1580" t="s">
        <v>47</v>
      </c>
      <c r="I1580">
        <v>0</v>
      </c>
      <c r="J1580" t="s">
        <v>47</v>
      </c>
      <c r="K1580">
        <v>1</v>
      </c>
      <c r="L1580" t="s">
        <v>45</v>
      </c>
      <c r="M1580">
        <v>1</v>
      </c>
      <c r="N1580" t="s">
        <v>48</v>
      </c>
      <c r="O1580">
        <v>1</v>
      </c>
      <c r="P1580" t="s">
        <v>48</v>
      </c>
      <c r="Q1580">
        <v>1</v>
      </c>
      <c r="R1580" t="s">
        <v>45</v>
      </c>
      <c r="S1580">
        <v>0</v>
      </c>
      <c r="T1580" t="s">
        <v>47</v>
      </c>
    </row>
    <row r="1581" spans="1:20" x14ac:dyDescent="0.35">
      <c r="A1581" s="1" t="s">
        <v>3166</v>
      </c>
      <c r="B1581" t="s">
        <v>12</v>
      </c>
      <c r="C1581" t="s">
        <v>47</v>
      </c>
      <c r="D1581" t="s">
        <v>2889</v>
      </c>
      <c r="E1581">
        <v>1</v>
      </c>
      <c r="F1581" t="s">
        <v>48</v>
      </c>
      <c r="G1581">
        <v>1</v>
      </c>
      <c r="H1581" t="s">
        <v>48</v>
      </c>
      <c r="I1581">
        <v>0</v>
      </c>
      <c r="J1581" t="s">
        <v>47</v>
      </c>
      <c r="K1581">
        <v>0</v>
      </c>
      <c r="L1581" t="s">
        <v>47</v>
      </c>
      <c r="M1581">
        <v>0</v>
      </c>
      <c r="N1581" t="s">
        <v>47</v>
      </c>
      <c r="O1581">
        <v>1</v>
      </c>
      <c r="P1581" t="s">
        <v>48</v>
      </c>
      <c r="Q1581">
        <v>0</v>
      </c>
      <c r="R1581" t="s">
        <v>47</v>
      </c>
      <c r="S1581">
        <v>0</v>
      </c>
      <c r="T1581" t="s">
        <v>47</v>
      </c>
    </row>
    <row r="1582" spans="1:20" x14ac:dyDescent="0.35">
      <c r="A1582" s="1" t="s">
        <v>3167</v>
      </c>
      <c r="B1582" t="s">
        <v>12</v>
      </c>
      <c r="C1582" t="s">
        <v>47</v>
      </c>
      <c r="D1582" t="s">
        <v>2890</v>
      </c>
      <c r="E1582">
        <v>1</v>
      </c>
      <c r="F1582" t="s">
        <v>55</v>
      </c>
      <c r="G1582">
        <v>1</v>
      </c>
      <c r="H1582" t="s">
        <v>48</v>
      </c>
      <c r="I1582">
        <v>0</v>
      </c>
      <c r="J1582" t="s">
        <v>47</v>
      </c>
      <c r="K1582">
        <v>0</v>
      </c>
      <c r="L1582" t="s">
        <v>47</v>
      </c>
      <c r="M1582">
        <v>1</v>
      </c>
      <c r="N1582" t="s">
        <v>48</v>
      </c>
      <c r="O1582">
        <v>0</v>
      </c>
      <c r="P1582" t="s">
        <v>47</v>
      </c>
      <c r="Q1582">
        <v>1</v>
      </c>
      <c r="R1582" t="s">
        <v>45</v>
      </c>
      <c r="S1582">
        <v>0</v>
      </c>
      <c r="T1582" t="s">
        <v>47</v>
      </c>
    </row>
    <row r="1583" spans="1:20" x14ac:dyDescent="0.35">
      <c r="A1583" s="1" t="s">
        <v>3205</v>
      </c>
      <c r="B1583" t="s">
        <v>12</v>
      </c>
      <c r="C1583" t="s">
        <v>47</v>
      </c>
      <c r="D1583" t="s">
        <v>3168</v>
      </c>
      <c r="E1583">
        <v>1</v>
      </c>
      <c r="F1583" t="s">
        <v>45</v>
      </c>
      <c r="G1583">
        <v>1</v>
      </c>
      <c r="H1583" t="s">
        <v>45</v>
      </c>
      <c r="I1583">
        <v>0</v>
      </c>
      <c r="J1583" t="s">
        <v>47</v>
      </c>
      <c r="K1583">
        <v>0</v>
      </c>
      <c r="L1583" t="s">
        <v>47</v>
      </c>
      <c r="M1583">
        <v>0</v>
      </c>
      <c r="N1583" t="s">
        <v>47</v>
      </c>
      <c r="O1583">
        <v>0</v>
      </c>
      <c r="P1583" t="s">
        <v>47</v>
      </c>
      <c r="Q1583">
        <v>0</v>
      </c>
      <c r="R1583" t="s">
        <v>47</v>
      </c>
      <c r="S1583">
        <v>0</v>
      </c>
      <c r="T1583" t="s">
        <v>47</v>
      </c>
    </row>
    <row r="1584" spans="1:20" x14ac:dyDescent="0.35">
      <c r="A1584" s="1" t="s">
        <v>3206</v>
      </c>
      <c r="B1584" t="s">
        <v>12</v>
      </c>
      <c r="C1584" t="s">
        <v>47</v>
      </c>
      <c r="D1584" t="s">
        <v>3169</v>
      </c>
      <c r="E1584">
        <v>1</v>
      </c>
      <c r="F1584" t="s">
        <v>45</v>
      </c>
      <c r="G1584">
        <v>1</v>
      </c>
      <c r="H1584" t="s">
        <v>45</v>
      </c>
      <c r="I1584">
        <v>0</v>
      </c>
      <c r="J1584" t="s">
        <v>47</v>
      </c>
      <c r="K1584">
        <v>0</v>
      </c>
      <c r="L1584" t="s">
        <v>47</v>
      </c>
      <c r="M1584">
        <v>0</v>
      </c>
      <c r="N1584" t="s">
        <v>47</v>
      </c>
      <c r="O1584">
        <v>0</v>
      </c>
      <c r="P1584" t="s">
        <v>47</v>
      </c>
      <c r="Q1584">
        <v>1</v>
      </c>
      <c r="R1584" t="s">
        <v>45</v>
      </c>
      <c r="S1584">
        <v>1</v>
      </c>
      <c r="T1584" t="s">
        <v>45</v>
      </c>
    </row>
    <row r="1585" spans="1:20" x14ac:dyDescent="0.35">
      <c r="A1585" s="1" t="s">
        <v>3207</v>
      </c>
      <c r="B1585" t="s">
        <v>12</v>
      </c>
      <c r="C1585" t="s">
        <v>47</v>
      </c>
      <c r="D1585" t="s">
        <v>3170</v>
      </c>
      <c r="E1585">
        <v>0</v>
      </c>
      <c r="F1585" t="s">
        <v>47</v>
      </c>
      <c r="G1585">
        <v>1</v>
      </c>
      <c r="H1585" t="s">
        <v>45</v>
      </c>
      <c r="I1585">
        <v>0</v>
      </c>
      <c r="J1585" t="s">
        <v>47</v>
      </c>
      <c r="K1585">
        <v>0</v>
      </c>
      <c r="L1585" t="s">
        <v>47</v>
      </c>
      <c r="M1585">
        <v>0</v>
      </c>
      <c r="N1585" t="s">
        <v>47</v>
      </c>
      <c r="O1585">
        <v>0</v>
      </c>
      <c r="P1585" t="s">
        <v>47</v>
      </c>
      <c r="Q1585">
        <v>1</v>
      </c>
      <c r="R1585" t="s">
        <v>45</v>
      </c>
      <c r="S1585">
        <v>1</v>
      </c>
      <c r="T1585" t="s">
        <v>45</v>
      </c>
    </row>
    <row r="1586" spans="1:20" x14ac:dyDescent="0.35">
      <c r="A1586" s="1" t="s">
        <v>3208</v>
      </c>
      <c r="B1586" t="s">
        <v>12</v>
      </c>
      <c r="C1586" t="s">
        <v>47</v>
      </c>
      <c r="D1586" t="s">
        <v>3171</v>
      </c>
      <c r="E1586">
        <v>1</v>
      </c>
      <c r="F1586" t="s">
        <v>45</v>
      </c>
      <c r="G1586">
        <v>1</v>
      </c>
      <c r="H1586" t="s">
        <v>45</v>
      </c>
      <c r="I1586">
        <v>0</v>
      </c>
      <c r="J1586" t="s">
        <v>47</v>
      </c>
      <c r="K1586">
        <v>0</v>
      </c>
      <c r="L1586" t="s">
        <v>47</v>
      </c>
      <c r="M1586">
        <v>0</v>
      </c>
      <c r="N1586" t="s">
        <v>47</v>
      </c>
      <c r="O1586">
        <v>1</v>
      </c>
      <c r="P1586" t="s">
        <v>45</v>
      </c>
      <c r="Q1586">
        <v>1</v>
      </c>
      <c r="R1586" t="s">
        <v>45</v>
      </c>
      <c r="S1586">
        <v>1</v>
      </c>
      <c r="T1586" t="s">
        <v>45</v>
      </c>
    </row>
    <row r="1587" spans="1:20" x14ac:dyDescent="0.35">
      <c r="A1587" s="1" t="s">
        <v>3209</v>
      </c>
      <c r="B1587" t="s">
        <v>12</v>
      </c>
      <c r="C1587" t="s">
        <v>47</v>
      </c>
      <c r="D1587" t="s">
        <v>3172</v>
      </c>
      <c r="E1587">
        <v>1</v>
      </c>
      <c r="F1587" t="s">
        <v>45</v>
      </c>
      <c r="G1587">
        <v>0</v>
      </c>
      <c r="H1587" t="s">
        <v>47</v>
      </c>
      <c r="I1587">
        <v>0</v>
      </c>
      <c r="J1587" t="s">
        <v>47</v>
      </c>
      <c r="K1587">
        <v>0</v>
      </c>
      <c r="L1587" t="s">
        <v>47</v>
      </c>
      <c r="M1587">
        <v>1</v>
      </c>
      <c r="N1587" t="s">
        <v>45</v>
      </c>
      <c r="O1587">
        <v>0</v>
      </c>
      <c r="P1587" t="s">
        <v>47</v>
      </c>
      <c r="Q1587">
        <v>0</v>
      </c>
      <c r="R1587" t="s">
        <v>47</v>
      </c>
      <c r="S1587">
        <v>0</v>
      </c>
      <c r="T1587" t="s">
        <v>47</v>
      </c>
    </row>
    <row r="1588" spans="1:20" x14ac:dyDescent="0.35">
      <c r="A1588" s="1" t="s">
        <v>3210</v>
      </c>
      <c r="B1588" t="s">
        <v>12</v>
      </c>
      <c r="C1588" t="s">
        <v>47</v>
      </c>
      <c r="D1588" t="s">
        <v>3173</v>
      </c>
      <c r="E1588">
        <v>1</v>
      </c>
      <c r="F1588" t="s">
        <v>45</v>
      </c>
      <c r="G1588">
        <v>1</v>
      </c>
      <c r="H1588" t="s">
        <v>45</v>
      </c>
      <c r="I1588">
        <v>0</v>
      </c>
      <c r="J1588" t="s">
        <v>47</v>
      </c>
      <c r="K1588">
        <v>0</v>
      </c>
      <c r="L1588" t="s">
        <v>47</v>
      </c>
      <c r="M1588">
        <v>0</v>
      </c>
      <c r="N1588" t="s">
        <v>47</v>
      </c>
      <c r="O1588">
        <v>0</v>
      </c>
      <c r="P1588" t="s">
        <v>47</v>
      </c>
      <c r="Q1588">
        <v>0</v>
      </c>
      <c r="R1588" t="s">
        <v>47</v>
      </c>
      <c r="S1588">
        <v>0</v>
      </c>
      <c r="T1588" t="s">
        <v>47</v>
      </c>
    </row>
    <row r="1589" spans="1:20" x14ac:dyDescent="0.35">
      <c r="A1589" s="1" t="s">
        <v>3211</v>
      </c>
      <c r="B1589" t="s">
        <v>12</v>
      </c>
      <c r="C1589" t="s">
        <v>47</v>
      </c>
      <c r="D1589" t="s">
        <v>3174</v>
      </c>
      <c r="E1589">
        <v>1</v>
      </c>
      <c r="F1589" t="s">
        <v>45</v>
      </c>
      <c r="G1589">
        <v>1</v>
      </c>
      <c r="H1589" t="s">
        <v>45</v>
      </c>
      <c r="I1589">
        <v>0</v>
      </c>
      <c r="J1589" t="s">
        <v>47</v>
      </c>
      <c r="K1589">
        <v>0</v>
      </c>
      <c r="L1589" t="s">
        <v>47</v>
      </c>
      <c r="M1589">
        <v>0</v>
      </c>
      <c r="N1589" t="s">
        <v>47</v>
      </c>
      <c r="O1589">
        <v>0</v>
      </c>
      <c r="P1589" t="s">
        <v>47</v>
      </c>
      <c r="Q1589">
        <v>1</v>
      </c>
      <c r="R1589" t="s">
        <v>45</v>
      </c>
      <c r="S1589">
        <v>0</v>
      </c>
      <c r="T1589" t="s">
        <v>47</v>
      </c>
    </row>
    <row r="1590" spans="1:20" x14ac:dyDescent="0.35">
      <c r="A1590" s="1" t="s">
        <v>3212</v>
      </c>
      <c r="B1590" t="s">
        <v>12</v>
      </c>
      <c r="C1590" t="s">
        <v>47</v>
      </c>
      <c r="D1590" t="s">
        <v>3175</v>
      </c>
      <c r="E1590">
        <v>1</v>
      </c>
      <c r="F1590" t="s">
        <v>45</v>
      </c>
      <c r="G1590">
        <v>1</v>
      </c>
      <c r="H1590" t="s">
        <v>45</v>
      </c>
      <c r="I1590">
        <v>0</v>
      </c>
      <c r="J1590" t="s">
        <v>47</v>
      </c>
      <c r="K1590">
        <v>0</v>
      </c>
      <c r="L1590" t="s">
        <v>47</v>
      </c>
      <c r="M1590">
        <v>1</v>
      </c>
      <c r="N1590" t="s">
        <v>45</v>
      </c>
      <c r="O1590">
        <v>0</v>
      </c>
      <c r="P1590" t="s">
        <v>47</v>
      </c>
      <c r="Q1590">
        <v>1</v>
      </c>
      <c r="R1590" t="s">
        <v>45</v>
      </c>
      <c r="S1590">
        <v>0</v>
      </c>
      <c r="T1590" t="s">
        <v>47</v>
      </c>
    </row>
    <row r="1591" spans="1:20" x14ac:dyDescent="0.35">
      <c r="A1591" s="1" t="s">
        <v>3213</v>
      </c>
      <c r="B1591" t="s">
        <v>12</v>
      </c>
      <c r="C1591" t="s">
        <v>47</v>
      </c>
      <c r="D1591" t="s">
        <v>3176</v>
      </c>
      <c r="E1591">
        <v>0</v>
      </c>
      <c r="F1591" t="s">
        <v>47</v>
      </c>
      <c r="G1591">
        <v>1</v>
      </c>
      <c r="H1591" t="s">
        <v>45</v>
      </c>
      <c r="I1591">
        <v>0</v>
      </c>
      <c r="J1591" t="s">
        <v>47</v>
      </c>
      <c r="K1591">
        <v>0</v>
      </c>
      <c r="L1591" t="s">
        <v>47</v>
      </c>
      <c r="M1591">
        <v>0</v>
      </c>
      <c r="N1591" t="s">
        <v>47</v>
      </c>
      <c r="O1591">
        <v>1</v>
      </c>
      <c r="P1591" t="s">
        <v>45</v>
      </c>
      <c r="Q1591">
        <v>0</v>
      </c>
      <c r="R1591" t="s">
        <v>47</v>
      </c>
      <c r="S1591">
        <v>0</v>
      </c>
      <c r="T1591" t="s">
        <v>47</v>
      </c>
    </row>
    <row r="1592" spans="1:20" x14ac:dyDescent="0.35">
      <c r="A1592" s="1" t="s">
        <v>3214</v>
      </c>
      <c r="B1592" t="s">
        <v>12</v>
      </c>
      <c r="C1592" t="s">
        <v>47</v>
      </c>
      <c r="D1592" t="s">
        <v>3177</v>
      </c>
      <c r="E1592">
        <v>1</v>
      </c>
      <c r="F1592" t="s">
        <v>45</v>
      </c>
      <c r="G1592">
        <v>0</v>
      </c>
      <c r="H1592" t="s">
        <v>47</v>
      </c>
      <c r="I1592">
        <v>0</v>
      </c>
      <c r="J1592" t="s">
        <v>47</v>
      </c>
      <c r="K1592">
        <v>0</v>
      </c>
      <c r="L1592" t="s">
        <v>47</v>
      </c>
      <c r="M1592">
        <v>0</v>
      </c>
      <c r="N1592" t="s">
        <v>47</v>
      </c>
      <c r="O1592">
        <v>0</v>
      </c>
      <c r="P1592" t="s">
        <v>47</v>
      </c>
      <c r="Q1592">
        <v>1</v>
      </c>
      <c r="R1592" t="s">
        <v>45</v>
      </c>
      <c r="S1592">
        <v>0</v>
      </c>
      <c r="T1592" t="s">
        <v>47</v>
      </c>
    </row>
    <row r="1593" spans="1:20" x14ac:dyDescent="0.35">
      <c r="A1593" s="1" t="s">
        <v>3215</v>
      </c>
      <c r="B1593" t="s">
        <v>12</v>
      </c>
      <c r="C1593" t="s">
        <v>47</v>
      </c>
      <c r="D1593" t="s">
        <v>3178</v>
      </c>
      <c r="E1593">
        <v>1</v>
      </c>
      <c r="F1593" t="s">
        <v>45</v>
      </c>
      <c r="G1593">
        <v>0</v>
      </c>
      <c r="H1593" t="s">
        <v>47</v>
      </c>
      <c r="I1593">
        <v>0</v>
      </c>
      <c r="J1593" t="s">
        <v>47</v>
      </c>
      <c r="K1593">
        <v>0</v>
      </c>
      <c r="L1593" t="s">
        <v>47</v>
      </c>
      <c r="M1593">
        <v>0</v>
      </c>
      <c r="N1593" t="s">
        <v>47</v>
      </c>
      <c r="O1593">
        <v>0</v>
      </c>
      <c r="P1593" t="s">
        <v>47</v>
      </c>
      <c r="Q1593">
        <v>1</v>
      </c>
      <c r="R1593" t="s">
        <v>45</v>
      </c>
      <c r="S1593">
        <v>0</v>
      </c>
      <c r="T1593" t="s">
        <v>47</v>
      </c>
    </row>
    <row r="1594" spans="1:20" x14ac:dyDescent="0.35">
      <c r="A1594" s="1" t="s">
        <v>3216</v>
      </c>
      <c r="B1594" t="s">
        <v>12</v>
      </c>
      <c r="C1594" t="s">
        <v>47</v>
      </c>
      <c r="D1594" t="s">
        <v>3179</v>
      </c>
      <c r="E1594">
        <v>1</v>
      </c>
      <c r="F1594" t="s">
        <v>45</v>
      </c>
      <c r="G1594">
        <v>0</v>
      </c>
      <c r="H1594" t="s">
        <v>47</v>
      </c>
      <c r="I1594">
        <v>0</v>
      </c>
      <c r="J1594" t="s">
        <v>47</v>
      </c>
      <c r="K1594">
        <v>0</v>
      </c>
      <c r="L1594" t="s">
        <v>47</v>
      </c>
      <c r="M1594">
        <v>1</v>
      </c>
      <c r="N1594" t="s">
        <v>45</v>
      </c>
      <c r="O1594">
        <v>0</v>
      </c>
      <c r="P1594" t="s">
        <v>47</v>
      </c>
      <c r="Q1594">
        <v>0</v>
      </c>
      <c r="R1594" t="s">
        <v>47</v>
      </c>
      <c r="S1594">
        <v>0</v>
      </c>
      <c r="T1594" t="s">
        <v>47</v>
      </c>
    </row>
    <row r="1595" spans="1:20" x14ac:dyDescent="0.35">
      <c r="A1595" s="1" t="s">
        <v>3217</v>
      </c>
      <c r="B1595" t="s">
        <v>12</v>
      </c>
      <c r="C1595" t="s">
        <v>47</v>
      </c>
      <c r="D1595" t="s">
        <v>3180</v>
      </c>
      <c r="E1595">
        <v>1</v>
      </c>
      <c r="F1595" t="s">
        <v>45</v>
      </c>
      <c r="G1595">
        <v>1</v>
      </c>
      <c r="H1595" t="s">
        <v>45</v>
      </c>
      <c r="I1595">
        <v>0</v>
      </c>
      <c r="J1595" t="s">
        <v>47</v>
      </c>
      <c r="K1595">
        <v>0</v>
      </c>
      <c r="L1595" t="s">
        <v>47</v>
      </c>
      <c r="M1595">
        <v>0</v>
      </c>
      <c r="N1595" t="s">
        <v>47</v>
      </c>
      <c r="O1595">
        <v>0</v>
      </c>
      <c r="P1595" t="s">
        <v>47</v>
      </c>
      <c r="Q1595">
        <v>1</v>
      </c>
      <c r="R1595" t="s">
        <v>48</v>
      </c>
      <c r="S1595">
        <v>1</v>
      </c>
      <c r="T1595" t="s">
        <v>45</v>
      </c>
    </row>
    <row r="1596" spans="1:20" x14ac:dyDescent="0.35">
      <c r="A1596" s="1" t="s">
        <v>3218</v>
      </c>
      <c r="B1596" t="s">
        <v>12</v>
      </c>
      <c r="C1596" t="s">
        <v>47</v>
      </c>
      <c r="D1596" t="s">
        <v>3181</v>
      </c>
      <c r="E1596">
        <v>1</v>
      </c>
      <c r="F1596" t="s">
        <v>45</v>
      </c>
      <c r="G1596">
        <v>1</v>
      </c>
      <c r="H1596" t="s">
        <v>45</v>
      </c>
      <c r="I1596">
        <v>0</v>
      </c>
      <c r="J1596" t="s">
        <v>47</v>
      </c>
      <c r="K1596">
        <v>1</v>
      </c>
      <c r="L1596" t="s">
        <v>45</v>
      </c>
      <c r="M1596">
        <v>1</v>
      </c>
      <c r="N1596" t="s">
        <v>55</v>
      </c>
      <c r="O1596">
        <v>0</v>
      </c>
      <c r="P1596" t="s">
        <v>47</v>
      </c>
      <c r="Q1596">
        <v>0</v>
      </c>
      <c r="R1596" t="s">
        <v>47</v>
      </c>
      <c r="S1596">
        <v>0</v>
      </c>
      <c r="T1596" t="s">
        <v>47</v>
      </c>
    </row>
    <row r="1597" spans="1:20" x14ac:dyDescent="0.35">
      <c r="A1597" s="1" t="s">
        <v>3219</v>
      </c>
      <c r="B1597" t="s">
        <v>12</v>
      </c>
      <c r="C1597" t="s">
        <v>47</v>
      </c>
      <c r="D1597" t="s">
        <v>3182</v>
      </c>
      <c r="E1597">
        <v>1</v>
      </c>
      <c r="F1597" t="s">
        <v>45</v>
      </c>
      <c r="G1597">
        <v>1</v>
      </c>
      <c r="H1597" t="s">
        <v>45</v>
      </c>
      <c r="I1597">
        <v>0</v>
      </c>
      <c r="J1597" t="s">
        <v>47</v>
      </c>
      <c r="K1597">
        <v>0</v>
      </c>
      <c r="L1597" t="s">
        <v>47</v>
      </c>
      <c r="M1597">
        <v>1</v>
      </c>
      <c r="N1597" t="s">
        <v>48</v>
      </c>
      <c r="O1597">
        <v>1</v>
      </c>
      <c r="P1597" t="s">
        <v>48</v>
      </c>
      <c r="Q1597">
        <v>1</v>
      </c>
      <c r="R1597" t="s">
        <v>55</v>
      </c>
      <c r="S1597">
        <v>0</v>
      </c>
      <c r="T1597" t="s">
        <v>47</v>
      </c>
    </row>
    <row r="1598" spans="1:20" x14ac:dyDescent="0.35">
      <c r="A1598" s="1" t="s">
        <v>3220</v>
      </c>
      <c r="B1598" t="s">
        <v>12</v>
      </c>
      <c r="C1598" t="s">
        <v>47</v>
      </c>
      <c r="D1598" t="s">
        <v>3183</v>
      </c>
      <c r="E1598">
        <v>1</v>
      </c>
      <c r="F1598" t="s">
        <v>45</v>
      </c>
      <c r="G1598">
        <v>1</v>
      </c>
      <c r="H1598" t="s">
        <v>45</v>
      </c>
      <c r="I1598">
        <v>0</v>
      </c>
      <c r="J1598" t="s">
        <v>47</v>
      </c>
      <c r="K1598">
        <v>0</v>
      </c>
      <c r="L1598" t="s">
        <v>47</v>
      </c>
      <c r="M1598">
        <v>0</v>
      </c>
      <c r="N1598" t="s">
        <v>47</v>
      </c>
      <c r="O1598">
        <v>0</v>
      </c>
      <c r="P1598" t="s">
        <v>47</v>
      </c>
      <c r="Q1598">
        <v>0</v>
      </c>
      <c r="R1598" t="s">
        <v>47</v>
      </c>
      <c r="S1598">
        <v>0</v>
      </c>
      <c r="T1598" t="s">
        <v>47</v>
      </c>
    </row>
    <row r="1599" spans="1:20" x14ac:dyDescent="0.35">
      <c r="A1599" s="1" t="s">
        <v>3221</v>
      </c>
      <c r="B1599" t="s">
        <v>12</v>
      </c>
      <c r="C1599" t="s">
        <v>47</v>
      </c>
      <c r="D1599" t="s">
        <v>3184</v>
      </c>
      <c r="E1599">
        <v>1</v>
      </c>
      <c r="F1599" t="s">
        <v>45</v>
      </c>
      <c r="G1599">
        <v>1</v>
      </c>
      <c r="H1599" t="s">
        <v>45</v>
      </c>
      <c r="I1599">
        <v>0</v>
      </c>
      <c r="J1599" t="s">
        <v>47</v>
      </c>
      <c r="K1599">
        <v>0</v>
      </c>
      <c r="L1599" t="s">
        <v>47</v>
      </c>
      <c r="M1599">
        <v>0</v>
      </c>
      <c r="N1599" t="s">
        <v>47</v>
      </c>
      <c r="O1599">
        <v>0</v>
      </c>
      <c r="P1599" t="s">
        <v>47</v>
      </c>
      <c r="Q1599">
        <v>1</v>
      </c>
      <c r="R1599" t="s">
        <v>45</v>
      </c>
      <c r="S1599">
        <v>0</v>
      </c>
      <c r="T1599" t="s">
        <v>47</v>
      </c>
    </row>
    <row r="1600" spans="1:20" x14ac:dyDescent="0.35">
      <c r="A1600" s="1" t="s">
        <v>3222</v>
      </c>
      <c r="B1600" t="s">
        <v>12</v>
      </c>
      <c r="C1600" t="s">
        <v>47</v>
      </c>
      <c r="D1600" t="s">
        <v>3185</v>
      </c>
      <c r="E1600">
        <v>1</v>
      </c>
      <c r="F1600" t="s">
        <v>48</v>
      </c>
      <c r="G1600">
        <v>0</v>
      </c>
      <c r="H1600" t="s">
        <v>47</v>
      </c>
      <c r="I1600">
        <v>0</v>
      </c>
      <c r="J1600" t="s">
        <v>47</v>
      </c>
      <c r="K1600">
        <v>0</v>
      </c>
      <c r="L1600" t="s">
        <v>47</v>
      </c>
      <c r="M1600">
        <v>0</v>
      </c>
      <c r="N1600" t="s">
        <v>47</v>
      </c>
      <c r="O1600">
        <v>0</v>
      </c>
      <c r="P1600" t="s">
        <v>47</v>
      </c>
      <c r="Q1600">
        <v>0</v>
      </c>
      <c r="R1600" t="s">
        <v>47</v>
      </c>
      <c r="S1600">
        <v>0</v>
      </c>
      <c r="T1600" t="s">
        <v>47</v>
      </c>
    </row>
    <row r="1601" spans="1:20" x14ac:dyDescent="0.35">
      <c r="A1601" s="1" t="s">
        <v>3223</v>
      </c>
      <c r="B1601" t="s">
        <v>12</v>
      </c>
      <c r="C1601" t="s">
        <v>47</v>
      </c>
      <c r="D1601" t="s">
        <v>3186</v>
      </c>
      <c r="E1601">
        <v>0</v>
      </c>
      <c r="F1601" t="s">
        <v>47</v>
      </c>
      <c r="G1601">
        <v>0</v>
      </c>
      <c r="H1601" t="s">
        <v>47</v>
      </c>
      <c r="I1601">
        <v>0</v>
      </c>
      <c r="J1601" t="s">
        <v>47</v>
      </c>
      <c r="K1601">
        <v>0</v>
      </c>
      <c r="L1601" t="s">
        <v>47</v>
      </c>
      <c r="M1601">
        <v>0</v>
      </c>
      <c r="N1601" t="s">
        <v>47</v>
      </c>
      <c r="O1601">
        <v>0</v>
      </c>
      <c r="P1601" t="s">
        <v>47</v>
      </c>
      <c r="Q1601">
        <v>1</v>
      </c>
      <c r="R1601" t="s">
        <v>48</v>
      </c>
      <c r="S1601">
        <v>0</v>
      </c>
      <c r="T1601" t="s">
        <v>47</v>
      </c>
    </row>
    <row r="1602" spans="1:20" x14ac:dyDescent="0.35">
      <c r="A1602" s="1" t="s">
        <v>3224</v>
      </c>
      <c r="B1602" t="s">
        <v>12</v>
      </c>
      <c r="C1602" t="s">
        <v>47</v>
      </c>
      <c r="D1602" t="s">
        <v>3187</v>
      </c>
      <c r="E1602">
        <v>1</v>
      </c>
      <c r="F1602" t="s">
        <v>45</v>
      </c>
      <c r="G1602">
        <v>0</v>
      </c>
      <c r="H1602" t="s">
        <v>47</v>
      </c>
      <c r="I1602">
        <v>0</v>
      </c>
      <c r="J1602" t="s">
        <v>47</v>
      </c>
      <c r="K1602">
        <v>0</v>
      </c>
      <c r="L1602" t="s">
        <v>47</v>
      </c>
      <c r="M1602">
        <v>0</v>
      </c>
      <c r="N1602" t="s">
        <v>47</v>
      </c>
      <c r="O1602">
        <v>1</v>
      </c>
      <c r="P1602" t="s">
        <v>45</v>
      </c>
      <c r="Q1602">
        <v>1</v>
      </c>
      <c r="R1602" t="s">
        <v>45</v>
      </c>
      <c r="S1602">
        <v>1</v>
      </c>
      <c r="T1602" t="s">
        <v>45</v>
      </c>
    </row>
    <row r="1603" spans="1:20" x14ac:dyDescent="0.35">
      <c r="A1603" s="1" t="s">
        <v>3225</v>
      </c>
      <c r="B1603" t="s">
        <v>12</v>
      </c>
      <c r="C1603" t="s">
        <v>47</v>
      </c>
      <c r="D1603" t="s">
        <v>3188</v>
      </c>
      <c r="E1603">
        <v>1</v>
      </c>
      <c r="F1603" t="s">
        <v>45</v>
      </c>
      <c r="G1603">
        <v>1</v>
      </c>
      <c r="H1603" t="s">
        <v>45</v>
      </c>
      <c r="I1603">
        <v>0</v>
      </c>
      <c r="J1603" t="s">
        <v>47</v>
      </c>
      <c r="K1603">
        <v>0</v>
      </c>
      <c r="L1603" t="s">
        <v>47</v>
      </c>
      <c r="M1603">
        <v>0</v>
      </c>
      <c r="N1603" t="s">
        <v>47</v>
      </c>
      <c r="O1603">
        <v>0</v>
      </c>
      <c r="P1603" t="s">
        <v>47</v>
      </c>
      <c r="Q1603">
        <v>1</v>
      </c>
      <c r="R1603" t="s">
        <v>45</v>
      </c>
      <c r="S1603">
        <v>0</v>
      </c>
      <c r="T1603" t="s">
        <v>47</v>
      </c>
    </row>
    <row r="1604" spans="1:20" x14ac:dyDescent="0.35">
      <c r="A1604" s="1" t="s">
        <v>3226</v>
      </c>
      <c r="B1604" t="s">
        <v>12</v>
      </c>
      <c r="C1604" t="s">
        <v>47</v>
      </c>
      <c r="D1604" t="s">
        <v>3189</v>
      </c>
      <c r="E1604">
        <v>1</v>
      </c>
      <c r="F1604" t="s">
        <v>45</v>
      </c>
      <c r="G1604">
        <v>1</v>
      </c>
      <c r="H1604" t="s">
        <v>45</v>
      </c>
      <c r="I1604">
        <v>0</v>
      </c>
      <c r="J1604" t="s">
        <v>47</v>
      </c>
      <c r="K1604">
        <v>0</v>
      </c>
      <c r="L1604" t="s">
        <v>47</v>
      </c>
      <c r="M1604">
        <v>0</v>
      </c>
      <c r="N1604" t="s">
        <v>47</v>
      </c>
      <c r="O1604">
        <v>1</v>
      </c>
      <c r="P1604" t="s">
        <v>45</v>
      </c>
      <c r="Q1604">
        <v>1</v>
      </c>
      <c r="R1604" t="s">
        <v>45</v>
      </c>
      <c r="S1604">
        <v>0</v>
      </c>
      <c r="T1604" t="s">
        <v>47</v>
      </c>
    </row>
    <row r="1605" spans="1:20" x14ac:dyDescent="0.35">
      <c r="A1605" s="1" t="s">
        <v>3227</v>
      </c>
      <c r="B1605" t="s">
        <v>12</v>
      </c>
      <c r="C1605" t="s">
        <v>47</v>
      </c>
      <c r="D1605" t="s">
        <v>3190</v>
      </c>
      <c r="E1605">
        <v>0</v>
      </c>
      <c r="F1605" t="s">
        <v>47</v>
      </c>
      <c r="G1605">
        <v>1</v>
      </c>
      <c r="H1605" t="s">
        <v>45</v>
      </c>
      <c r="I1605">
        <v>0</v>
      </c>
      <c r="J1605" t="s">
        <v>47</v>
      </c>
      <c r="K1605">
        <v>0</v>
      </c>
      <c r="L1605" t="s">
        <v>47</v>
      </c>
      <c r="M1605">
        <v>0</v>
      </c>
      <c r="N1605" t="s">
        <v>47</v>
      </c>
      <c r="O1605">
        <v>0</v>
      </c>
      <c r="P1605" t="s">
        <v>47</v>
      </c>
      <c r="Q1605">
        <v>1</v>
      </c>
      <c r="R1605" t="s">
        <v>45</v>
      </c>
      <c r="S1605">
        <v>0</v>
      </c>
      <c r="T1605" t="s">
        <v>47</v>
      </c>
    </row>
    <row r="1606" spans="1:20" x14ac:dyDescent="0.35">
      <c r="A1606" s="1" t="s">
        <v>3228</v>
      </c>
      <c r="B1606" t="s">
        <v>12</v>
      </c>
      <c r="C1606" t="s">
        <v>47</v>
      </c>
      <c r="D1606" t="s">
        <v>3191</v>
      </c>
      <c r="E1606">
        <v>1</v>
      </c>
      <c r="F1606" t="s">
        <v>45</v>
      </c>
      <c r="G1606">
        <v>1</v>
      </c>
      <c r="H1606" t="s">
        <v>45</v>
      </c>
      <c r="I1606">
        <v>0</v>
      </c>
      <c r="J1606" t="s">
        <v>47</v>
      </c>
      <c r="K1606">
        <v>0</v>
      </c>
      <c r="L1606" t="s">
        <v>47</v>
      </c>
      <c r="M1606">
        <v>0</v>
      </c>
      <c r="N1606" t="s">
        <v>47</v>
      </c>
      <c r="O1606">
        <v>0</v>
      </c>
      <c r="P1606" t="s">
        <v>47</v>
      </c>
      <c r="Q1606">
        <v>0</v>
      </c>
      <c r="R1606" t="s">
        <v>47</v>
      </c>
      <c r="S1606">
        <v>0</v>
      </c>
      <c r="T1606" t="s">
        <v>47</v>
      </c>
    </row>
    <row r="1607" spans="1:20" x14ac:dyDescent="0.35">
      <c r="A1607" s="1" t="s">
        <v>3229</v>
      </c>
      <c r="B1607" t="s">
        <v>12</v>
      </c>
      <c r="C1607" t="s">
        <v>47</v>
      </c>
      <c r="D1607" t="s">
        <v>3192</v>
      </c>
      <c r="E1607">
        <v>1</v>
      </c>
      <c r="F1607" t="s">
        <v>45</v>
      </c>
      <c r="G1607">
        <v>1</v>
      </c>
      <c r="H1607" t="s">
        <v>45</v>
      </c>
      <c r="I1607">
        <v>0</v>
      </c>
      <c r="J1607" t="s">
        <v>47</v>
      </c>
      <c r="K1607">
        <v>0</v>
      </c>
      <c r="L1607" t="s">
        <v>47</v>
      </c>
      <c r="M1607">
        <v>1</v>
      </c>
      <c r="N1607" t="s">
        <v>45</v>
      </c>
      <c r="O1607">
        <v>0</v>
      </c>
      <c r="P1607" t="s">
        <v>47</v>
      </c>
      <c r="Q1607">
        <v>1</v>
      </c>
      <c r="R1607" t="s">
        <v>45</v>
      </c>
      <c r="S1607">
        <v>0</v>
      </c>
      <c r="T1607" t="s">
        <v>47</v>
      </c>
    </row>
    <row r="1608" spans="1:20" x14ac:dyDescent="0.35">
      <c r="A1608" s="1" t="s">
        <v>3230</v>
      </c>
      <c r="B1608" t="s">
        <v>12</v>
      </c>
      <c r="C1608" t="s">
        <v>47</v>
      </c>
      <c r="D1608" t="s">
        <v>3193</v>
      </c>
      <c r="E1608">
        <v>1</v>
      </c>
      <c r="F1608" t="s">
        <v>45</v>
      </c>
      <c r="G1608">
        <v>1</v>
      </c>
      <c r="H1608" t="s">
        <v>45</v>
      </c>
      <c r="I1608">
        <v>0</v>
      </c>
      <c r="J1608" t="s">
        <v>47</v>
      </c>
      <c r="K1608">
        <v>0</v>
      </c>
      <c r="L1608" t="s">
        <v>47</v>
      </c>
      <c r="M1608">
        <v>0</v>
      </c>
      <c r="N1608" t="s">
        <v>47</v>
      </c>
      <c r="O1608">
        <v>1</v>
      </c>
      <c r="P1608" t="s">
        <v>45</v>
      </c>
      <c r="Q1608">
        <v>0</v>
      </c>
      <c r="R1608" t="s">
        <v>47</v>
      </c>
      <c r="S1608">
        <v>0</v>
      </c>
      <c r="T1608" t="s">
        <v>47</v>
      </c>
    </row>
    <row r="1609" spans="1:20" x14ac:dyDescent="0.35">
      <c r="A1609" s="1" t="s">
        <v>3231</v>
      </c>
      <c r="B1609" t="s">
        <v>12</v>
      </c>
      <c r="C1609" t="s">
        <v>47</v>
      </c>
      <c r="D1609" t="s">
        <v>3194</v>
      </c>
      <c r="E1609">
        <v>1</v>
      </c>
      <c r="F1609" t="s">
        <v>45</v>
      </c>
      <c r="G1609">
        <v>1</v>
      </c>
      <c r="H1609" t="s">
        <v>45</v>
      </c>
      <c r="I1609">
        <v>0</v>
      </c>
      <c r="J1609" t="s">
        <v>47</v>
      </c>
      <c r="K1609">
        <v>0</v>
      </c>
      <c r="L1609" t="s">
        <v>47</v>
      </c>
      <c r="M1609">
        <v>0</v>
      </c>
      <c r="N1609" t="s">
        <v>47</v>
      </c>
      <c r="O1609">
        <v>0</v>
      </c>
      <c r="P1609" t="s">
        <v>47</v>
      </c>
      <c r="Q1609">
        <v>1</v>
      </c>
      <c r="R1609" t="s">
        <v>45</v>
      </c>
      <c r="S1609">
        <v>0</v>
      </c>
      <c r="T1609" t="s">
        <v>47</v>
      </c>
    </row>
    <row r="1610" spans="1:20" x14ac:dyDescent="0.35">
      <c r="A1610" s="1" t="s">
        <v>3232</v>
      </c>
      <c r="B1610" t="s">
        <v>12</v>
      </c>
      <c r="C1610" t="s">
        <v>47</v>
      </c>
      <c r="D1610" t="s">
        <v>3195</v>
      </c>
      <c r="E1610">
        <v>1</v>
      </c>
      <c r="F1610" t="s">
        <v>45</v>
      </c>
      <c r="G1610">
        <v>1</v>
      </c>
      <c r="H1610" t="s">
        <v>45</v>
      </c>
      <c r="I1610">
        <v>0</v>
      </c>
      <c r="J1610" t="s">
        <v>47</v>
      </c>
      <c r="K1610">
        <v>0</v>
      </c>
      <c r="L1610" t="s">
        <v>47</v>
      </c>
      <c r="M1610">
        <v>0</v>
      </c>
      <c r="N1610" t="s">
        <v>47</v>
      </c>
      <c r="O1610">
        <v>0</v>
      </c>
      <c r="P1610" t="s">
        <v>47</v>
      </c>
      <c r="Q1610">
        <v>1</v>
      </c>
      <c r="R1610" t="s">
        <v>45</v>
      </c>
      <c r="S1610">
        <v>0</v>
      </c>
      <c r="T1610" t="s">
        <v>47</v>
      </c>
    </row>
    <row r="1611" spans="1:20" x14ac:dyDescent="0.35">
      <c r="A1611" s="1" t="s">
        <v>3233</v>
      </c>
      <c r="B1611" t="s">
        <v>12</v>
      </c>
      <c r="C1611" t="s">
        <v>47</v>
      </c>
      <c r="D1611" t="s">
        <v>3196</v>
      </c>
      <c r="E1611">
        <v>0</v>
      </c>
      <c r="F1611" t="s">
        <v>47</v>
      </c>
      <c r="G1611">
        <v>1</v>
      </c>
      <c r="H1611" t="s">
        <v>45</v>
      </c>
      <c r="I1611">
        <v>0</v>
      </c>
      <c r="J1611" t="s">
        <v>47</v>
      </c>
      <c r="K1611">
        <v>0</v>
      </c>
      <c r="L1611" t="s">
        <v>47</v>
      </c>
      <c r="M1611">
        <v>0</v>
      </c>
      <c r="N1611" t="s">
        <v>47</v>
      </c>
      <c r="O1611">
        <v>0</v>
      </c>
      <c r="P1611" t="s">
        <v>47</v>
      </c>
      <c r="Q1611">
        <v>0</v>
      </c>
      <c r="R1611" t="s">
        <v>47</v>
      </c>
      <c r="S1611">
        <v>0</v>
      </c>
      <c r="T1611" t="s">
        <v>47</v>
      </c>
    </row>
    <row r="1612" spans="1:20" x14ac:dyDescent="0.35">
      <c r="A1612" s="1" t="s">
        <v>3234</v>
      </c>
      <c r="B1612" t="s">
        <v>12</v>
      </c>
      <c r="C1612" t="s">
        <v>47</v>
      </c>
      <c r="D1612" t="s">
        <v>3197</v>
      </c>
      <c r="E1612">
        <v>0</v>
      </c>
      <c r="F1612" t="s">
        <v>47</v>
      </c>
      <c r="G1612">
        <v>1</v>
      </c>
      <c r="H1612" t="s">
        <v>45</v>
      </c>
      <c r="I1612">
        <v>0</v>
      </c>
      <c r="J1612" t="s">
        <v>47</v>
      </c>
      <c r="K1612">
        <v>0</v>
      </c>
      <c r="L1612" t="s">
        <v>47</v>
      </c>
      <c r="M1612">
        <v>0</v>
      </c>
      <c r="N1612" t="s">
        <v>47</v>
      </c>
      <c r="O1612">
        <v>0</v>
      </c>
      <c r="P1612" t="s">
        <v>47</v>
      </c>
      <c r="Q1612">
        <v>1</v>
      </c>
      <c r="R1612" t="s">
        <v>45</v>
      </c>
      <c r="S1612">
        <v>0</v>
      </c>
      <c r="T1612" t="s">
        <v>47</v>
      </c>
    </row>
    <row r="1613" spans="1:20" x14ac:dyDescent="0.35">
      <c r="A1613" s="1" t="s">
        <v>3235</v>
      </c>
      <c r="B1613" t="s">
        <v>12</v>
      </c>
      <c r="C1613" t="s">
        <v>47</v>
      </c>
      <c r="D1613" t="s">
        <v>3198</v>
      </c>
      <c r="E1613">
        <v>1</v>
      </c>
      <c r="F1613" t="s">
        <v>45</v>
      </c>
      <c r="G1613">
        <v>1</v>
      </c>
      <c r="H1613" t="s">
        <v>45</v>
      </c>
      <c r="I1613">
        <v>0</v>
      </c>
      <c r="J1613" t="s">
        <v>47</v>
      </c>
      <c r="K1613">
        <v>0</v>
      </c>
      <c r="L1613" t="s">
        <v>47</v>
      </c>
      <c r="M1613">
        <v>0</v>
      </c>
      <c r="N1613" t="s">
        <v>47</v>
      </c>
      <c r="O1613">
        <v>1</v>
      </c>
      <c r="P1613" t="s">
        <v>45</v>
      </c>
      <c r="Q1613">
        <v>0</v>
      </c>
      <c r="R1613" t="s">
        <v>47</v>
      </c>
      <c r="S1613">
        <v>1</v>
      </c>
      <c r="T1613" t="s">
        <v>45</v>
      </c>
    </row>
    <row r="1614" spans="1:20" x14ac:dyDescent="0.35">
      <c r="A1614" s="1" t="s">
        <v>3236</v>
      </c>
      <c r="B1614" t="s">
        <v>12</v>
      </c>
      <c r="C1614" t="s">
        <v>47</v>
      </c>
      <c r="D1614" t="s">
        <v>3199</v>
      </c>
      <c r="E1614">
        <v>1</v>
      </c>
      <c r="F1614" t="s">
        <v>45</v>
      </c>
      <c r="G1614">
        <v>0</v>
      </c>
      <c r="H1614" t="s">
        <v>47</v>
      </c>
      <c r="I1614">
        <v>0</v>
      </c>
      <c r="J1614" t="s">
        <v>47</v>
      </c>
      <c r="K1614">
        <v>0</v>
      </c>
      <c r="L1614" t="s">
        <v>47</v>
      </c>
      <c r="M1614">
        <v>1</v>
      </c>
      <c r="N1614" t="s">
        <v>48</v>
      </c>
      <c r="O1614">
        <v>0</v>
      </c>
      <c r="P1614" t="s">
        <v>47</v>
      </c>
      <c r="Q1614">
        <v>1</v>
      </c>
      <c r="R1614" t="s">
        <v>45</v>
      </c>
      <c r="S1614">
        <v>1</v>
      </c>
      <c r="T1614" t="s">
        <v>48</v>
      </c>
    </row>
    <row r="1615" spans="1:20" x14ac:dyDescent="0.35">
      <c r="A1615" s="1" t="s">
        <v>3237</v>
      </c>
      <c r="B1615" t="s">
        <v>12</v>
      </c>
      <c r="C1615" t="s">
        <v>47</v>
      </c>
      <c r="D1615" t="s">
        <v>3200</v>
      </c>
      <c r="E1615">
        <v>1</v>
      </c>
      <c r="F1615" t="s">
        <v>45</v>
      </c>
      <c r="G1615">
        <v>1</v>
      </c>
      <c r="H1615" t="s">
        <v>45</v>
      </c>
      <c r="I1615">
        <v>0</v>
      </c>
      <c r="J1615" t="s">
        <v>47</v>
      </c>
      <c r="K1615">
        <v>0</v>
      </c>
      <c r="L1615" t="s">
        <v>47</v>
      </c>
      <c r="M1615">
        <v>1</v>
      </c>
      <c r="N1615" t="s">
        <v>48</v>
      </c>
      <c r="O1615">
        <v>0</v>
      </c>
      <c r="P1615" t="s">
        <v>47</v>
      </c>
      <c r="Q1615">
        <v>1</v>
      </c>
      <c r="R1615" t="s">
        <v>45</v>
      </c>
      <c r="S1615">
        <v>1</v>
      </c>
      <c r="T1615" t="s">
        <v>55</v>
      </c>
    </row>
    <row r="1616" spans="1:20" x14ac:dyDescent="0.35">
      <c r="A1616" s="1" t="s">
        <v>3238</v>
      </c>
      <c r="B1616" t="s">
        <v>12</v>
      </c>
      <c r="C1616" t="s">
        <v>47</v>
      </c>
      <c r="D1616" t="s">
        <v>3201</v>
      </c>
      <c r="E1616">
        <v>1</v>
      </c>
      <c r="F1616" t="s">
        <v>45</v>
      </c>
      <c r="G1616">
        <v>1</v>
      </c>
      <c r="H1616" t="s">
        <v>45</v>
      </c>
      <c r="I1616">
        <v>0</v>
      </c>
      <c r="J1616" t="s">
        <v>47</v>
      </c>
      <c r="K1616">
        <v>0</v>
      </c>
      <c r="L1616" t="s">
        <v>47</v>
      </c>
      <c r="M1616">
        <v>1</v>
      </c>
      <c r="N1616" t="s">
        <v>45</v>
      </c>
      <c r="O1616">
        <v>0</v>
      </c>
      <c r="P1616" t="s">
        <v>47</v>
      </c>
      <c r="Q1616">
        <v>0</v>
      </c>
      <c r="R1616" t="s">
        <v>47</v>
      </c>
      <c r="S1616">
        <v>0</v>
      </c>
      <c r="T1616" t="s">
        <v>47</v>
      </c>
    </row>
    <row r="1617" spans="1:20" x14ac:dyDescent="0.35">
      <c r="A1617" s="1" t="s">
        <v>3239</v>
      </c>
      <c r="B1617" t="s">
        <v>12</v>
      </c>
      <c r="C1617" t="s">
        <v>47</v>
      </c>
      <c r="D1617" t="s">
        <v>3202</v>
      </c>
      <c r="E1617">
        <v>1</v>
      </c>
      <c r="F1617" t="s">
        <v>45</v>
      </c>
      <c r="G1617">
        <v>1</v>
      </c>
      <c r="H1617" t="s">
        <v>45</v>
      </c>
      <c r="I1617">
        <v>0</v>
      </c>
      <c r="J1617" t="s">
        <v>47</v>
      </c>
      <c r="K1617">
        <v>0</v>
      </c>
      <c r="L1617" t="s">
        <v>47</v>
      </c>
      <c r="M1617">
        <v>0</v>
      </c>
      <c r="N1617" t="s">
        <v>47</v>
      </c>
      <c r="O1617">
        <v>0</v>
      </c>
      <c r="P1617" t="s">
        <v>47</v>
      </c>
      <c r="Q1617">
        <v>1</v>
      </c>
      <c r="R1617" t="s">
        <v>45</v>
      </c>
      <c r="S1617">
        <v>0</v>
      </c>
      <c r="T1617" t="s">
        <v>47</v>
      </c>
    </row>
    <row r="1618" spans="1:20" x14ac:dyDescent="0.35">
      <c r="A1618" s="1" t="s">
        <v>3240</v>
      </c>
      <c r="B1618" t="s">
        <v>12</v>
      </c>
      <c r="C1618" t="s">
        <v>47</v>
      </c>
      <c r="D1618" t="s">
        <v>3203</v>
      </c>
      <c r="E1618">
        <v>1</v>
      </c>
      <c r="F1618" t="s">
        <v>45</v>
      </c>
      <c r="G1618">
        <v>0</v>
      </c>
      <c r="H1618" t="s">
        <v>47</v>
      </c>
      <c r="I1618">
        <v>0</v>
      </c>
      <c r="J1618" t="s">
        <v>47</v>
      </c>
      <c r="K1618">
        <v>0</v>
      </c>
      <c r="L1618" t="s">
        <v>47</v>
      </c>
      <c r="M1618">
        <v>0</v>
      </c>
      <c r="N1618" t="s">
        <v>47</v>
      </c>
      <c r="O1618">
        <v>1</v>
      </c>
      <c r="P1618" t="s">
        <v>45</v>
      </c>
      <c r="Q1618">
        <v>1</v>
      </c>
      <c r="R1618" t="s">
        <v>45</v>
      </c>
      <c r="S1618">
        <v>0</v>
      </c>
      <c r="T1618" t="s">
        <v>47</v>
      </c>
    </row>
    <row r="1619" spans="1:20" x14ac:dyDescent="0.35">
      <c r="A1619" s="1" t="s">
        <v>3241</v>
      </c>
      <c r="B1619" t="s">
        <v>12</v>
      </c>
      <c r="C1619" t="s">
        <v>47</v>
      </c>
      <c r="D1619" t="s">
        <v>3204</v>
      </c>
      <c r="E1619">
        <v>1</v>
      </c>
      <c r="F1619" t="s">
        <v>45</v>
      </c>
      <c r="G1619">
        <v>1</v>
      </c>
      <c r="H1619" t="s">
        <v>45</v>
      </c>
      <c r="I1619">
        <v>0</v>
      </c>
      <c r="J1619" t="s">
        <v>47</v>
      </c>
      <c r="K1619">
        <v>0</v>
      </c>
      <c r="L1619" t="s">
        <v>47</v>
      </c>
      <c r="M1619">
        <v>1</v>
      </c>
      <c r="N1619" t="s">
        <v>55</v>
      </c>
      <c r="O1619">
        <v>0</v>
      </c>
      <c r="P1619" t="s">
        <v>47</v>
      </c>
      <c r="Q1619">
        <v>1</v>
      </c>
      <c r="R1619" t="s">
        <v>45</v>
      </c>
      <c r="S1619">
        <v>0</v>
      </c>
      <c r="T1619" t="s">
        <v>47</v>
      </c>
    </row>
    <row r="1620" spans="1:20" x14ac:dyDescent="0.35">
      <c r="A1620" s="1" t="s">
        <v>3250</v>
      </c>
      <c r="B1620" t="s">
        <v>12</v>
      </c>
      <c r="C1620" t="s">
        <v>47</v>
      </c>
      <c r="D1620" t="s">
        <v>3242</v>
      </c>
      <c r="E1620">
        <v>1</v>
      </c>
      <c r="F1620" t="s">
        <v>45</v>
      </c>
      <c r="G1620">
        <v>1</v>
      </c>
      <c r="H1620" t="s">
        <v>45</v>
      </c>
      <c r="I1620">
        <v>0</v>
      </c>
      <c r="J1620" t="s">
        <v>47</v>
      </c>
      <c r="K1620">
        <v>0</v>
      </c>
      <c r="L1620" t="s">
        <v>47</v>
      </c>
      <c r="M1620">
        <v>0</v>
      </c>
      <c r="N1620" t="s">
        <v>47</v>
      </c>
      <c r="O1620">
        <v>0</v>
      </c>
      <c r="P1620" t="s">
        <v>47</v>
      </c>
      <c r="Q1620">
        <v>1</v>
      </c>
      <c r="R1620" t="s">
        <v>55</v>
      </c>
      <c r="S1620">
        <v>0</v>
      </c>
      <c r="T1620" t="s">
        <v>47</v>
      </c>
    </row>
    <row r="1621" spans="1:20" x14ac:dyDescent="0.35">
      <c r="A1621" s="1" t="s">
        <v>3251</v>
      </c>
      <c r="B1621" t="s">
        <v>12</v>
      </c>
      <c r="C1621" t="s">
        <v>47</v>
      </c>
      <c r="D1621" t="s">
        <v>3243</v>
      </c>
      <c r="E1621">
        <v>0</v>
      </c>
      <c r="F1621" t="s">
        <v>47</v>
      </c>
      <c r="G1621">
        <v>1</v>
      </c>
      <c r="H1621" t="s">
        <v>45</v>
      </c>
      <c r="I1621">
        <v>0</v>
      </c>
      <c r="J1621" t="s">
        <v>47</v>
      </c>
      <c r="K1621">
        <v>0</v>
      </c>
      <c r="L1621" t="s">
        <v>47</v>
      </c>
      <c r="M1621">
        <v>0</v>
      </c>
      <c r="N1621" t="s">
        <v>47</v>
      </c>
      <c r="O1621">
        <v>0</v>
      </c>
      <c r="P1621" t="s">
        <v>47</v>
      </c>
      <c r="Q1621">
        <v>1</v>
      </c>
      <c r="R1621" t="s">
        <v>45</v>
      </c>
      <c r="S1621">
        <v>0</v>
      </c>
      <c r="T1621" t="s">
        <v>47</v>
      </c>
    </row>
    <row r="1622" spans="1:20" x14ac:dyDescent="0.35">
      <c r="A1622" s="1" t="s">
        <v>3252</v>
      </c>
      <c r="B1622" t="s">
        <v>12</v>
      </c>
      <c r="C1622" t="s">
        <v>47</v>
      </c>
      <c r="D1622" t="s">
        <v>3244</v>
      </c>
      <c r="E1622">
        <v>1</v>
      </c>
      <c r="F1622" t="s">
        <v>45</v>
      </c>
      <c r="G1622">
        <v>0</v>
      </c>
      <c r="H1622" t="s">
        <v>47</v>
      </c>
      <c r="I1622">
        <v>0</v>
      </c>
      <c r="J1622" t="s">
        <v>47</v>
      </c>
      <c r="K1622">
        <v>0</v>
      </c>
      <c r="L1622" t="s">
        <v>47</v>
      </c>
      <c r="M1622">
        <v>0</v>
      </c>
      <c r="N1622" t="s">
        <v>47</v>
      </c>
      <c r="O1622">
        <v>0</v>
      </c>
      <c r="P1622" t="s">
        <v>47</v>
      </c>
      <c r="Q1622">
        <v>1</v>
      </c>
      <c r="R1622" t="s">
        <v>55</v>
      </c>
      <c r="S1622">
        <v>0</v>
      </c>
      <c r="T1622" t="s">
        <v>47</v>
      </c>
    </row>
    <row r="1623" spans="1:20" x14ac:dyDescent="0.35">
      <c r="A1623" s="1" t="s">
        <v>3253</v>
      </c>
      <c r="B1623" t="s">
        <v>12</v>
      </c>
      <c r="C1623" t="s">
        <v>47</v>
      </c>
      <c r="D1623" t="s">
        <v>3245</v>
      </c>
      <c r="E1623">
        <v>1</v>
      </c>
      <c r="F1623" t="s">
        <v>45</v>
      </c>
      <c r="G1623">
        <v>1</v>
      </c>
      <c r="H1623" t="s">
        <v>45</v>
      </c>
      <c r="I1623">
        <v>0</v>
      </c>
      <c r="J1623" t="s">
        <v>47</v>
      </c>
      <c r="K1623">
        <v>1</v>
      </c>
      <c r="L1623" t="s">
        <v>45</v>
      </c>
      <c r="M1623">
        <v>1</v>
      </c>
      <c r="N1623" t="s">
        <v>55</v>
      </c>
      <c r="O1623">
        <v>0</v>
      </c>
      <c r="P1623" t="s">
        <v>47</v>
      </c>
      <c r="Q1623">
        <v>1</v>
      </c>
      <c r="R1623" t="s">
        <v>45</v>
      </c>
      <c r="S1623">
        <v>1</v>
      </c>
      <c r="T1623" t="s">
        <v>45</v>
      </c>
    </row>
    <row r="1624" spans="1:20" x14ac:dyDescent="0.35">
      <c r="A1624" s="1" t="s">
        <v>3254</v>
      </c>
      <c r="B1624" t="s">
        <v>12</v>
      </c>
      <c r="C1624" t="s">
        <v>47</v>
      </c>
      <c r="D1624" t="s">
        <v>3246</v>
      </c>
      <c r="E1624">
        <v>1</v>
      </c>
      <c r="F1624" t="s">
        <v>45</v>
      </c>
      <c r="G1624">
        <v>1</v>
      </c>
      <c r="H1624" t="s">
        <v>45</v>
      </c>
      <c r="I1624">
        <v>0</v>
      </c>
      <c r="J1624" t="s">
        <v>47</v>
      </c>
      <c r="K1624">
        <v>0</v>
      </c>
      <c r="L1624" t="s">
        <v>47</v>
      </c>
      <c r="M1624">
        <v>0</v>
      </c>
      <c r="N1624" t="s">
        <v>47</v>
      </c>
      <c r="O1624">
        <v>0</v>
      </c>
      <c r="P1624" t="s">
        <v>47</v>
      </c>
      <c r="Q1624">
        <v>1</v>
      </c>
      <c r="R1624" t="s">
        <v>45</v>
      </c>
      <c r="S1624">
        <v>0</v>
      </c>
      <c r="T1624" t="s">
        <v>47</v>
      </c>
    </row>
    <row r="1625" spans="1:20" x14ac:dyDescent="0.35">
      <c r="A1625" s="1" t="s">
        <v>3255</v>
      </c>
      <c r="B1625" t="s">
        <v>12</v>
      </c>
      <c r="C1625" t="s">
        <v>47</v>
      </c>
      <c r="D1625" t="s">
        <v>3247</v>
      </c>
      <c r="E1625">
        <v>1</v>
      </c>
      <c r="F1625" t="s">
        <v>45</v>
      </c>
      <c r="G1625">
        <v>1</v>
      </c>
      <c r="H1625" t="s">
        <v>45</v>
      </c>
      <c r="I1625">
        <v>0</v>
      </c>
      <c r="J1625" t="s">
        <v>47</v>
      </c>
      <c r="K1625">
        <v>0</v>
      </c>
      <c r="L1625" t="s">
        <v>47</v>
      </c>
      <c r="M1625">
        <v>0</v>
      </c>
      <c r="N1625" t="s">
        <v>47</v>
      </c>
      <c r="O1625">
        <v>0</v>
      </c>
      <c r="P1625" t="s">
        <v>47</v>
      </c>
      <c r="Q1625">
        <v>0</v>
      </c>
      <c r="R1625" t="s">
        <v>47</v>
      </c>
      <c r="S1625">
        <v>0</v>
      </c>
      <c r="T1625" t="s">
        <v>47</v>
      </c>
    </row>
    <row r="1626" spans="1:20" x14ac:dyDescent="0.35">
      <c r="A1626" s="1" t="s">
        <v>3256</v>
      </c>
      <c r="B1626" t="s">
        <v>12</v>
      </c>
      <c r="C1626" t="s">
        <v>47</v>
      </c>
      <c r="D1626" t="s">
        <v>3248</v>
      </c>
      <c r="E1626">
        <v>1</v>
      </c>
      <c r="F1626" t="s">
        <v>45</v>
      </c>
      <c r="G1626">
        <v>0</v>
      </c>
      <c r="H1626" t="s">
        <v>47</v>
      </c>
      <c r="I1626">
        <v>0</v>
      </c>
      <c r="J1626" t="s">
        <v>47</v>
      </c>
      <c r="K1626">
        <v>0</v>
      </c>
      <c r="L1626" t="s">
        <v>47</v>
      </c>
      <c r="M1626">
        <v>0</v>
      </c>
      <c r="N1626" t="s">
        <v>47</v>
      </c>
      <c r="O1626">
        <v>0</v>
      </c>
      <c r="P1626" t="s">
        <v>47</v>
      </c>
      <c r="Q1626">
        <v>1</v>
      </c>
      <c r="R1626" t="s">
        <v>45</v>
      </c>
      <c r="S1626">
        <v>0</v>
      </c>
      <c r="T1626" t="s">
        <v>47</v>
      </c>
    </row>
    <row r="1627" spans="1:20" x14ac:dyDescent="0.35">
      <c r="A1627" s="1" t="s">
        <v>3257</v>
      </c>
      <c r="B1627" t="s">
        <v>12</v>
      </c>
      <c r="C1627" t="s">
        <v>47</v>
      </c>
      <c r="D1627" t="s">
        <v>3249</v>
      </c>
      <c r="E1627">
        <v>1</v>
      </c>
      <c r="F1627" t="s">
        <v>45</v>
      </c>
      <c r="G1627">
        <v>0</v>
      </c>
      <c r="H1627" t="s">
        <v>47</v>
      </c>
      <c r="I1627">
        <v>0</v>
      </c>
      <c r="J1627" t="s">
        <v>47</v>
      </c>
      <c r="K1627">
        <v>0</v>
      </c>
      <c r="L1627" t="s">
        <v>47</v>
      </c>
      <c r="M1627">
        <v>0</v>
      </c>
      <c r="N1627" t="s">
        <v>47</v>
      </c>
      <c r="O1627">
        <v>0</v>
      </c>
      <c r="P1627" t="s">
        <v>47</v>
      </c>
      <c r="Q1627">
        <v>1</v>
      </c>
      <c r="R1627" t="s">
        <v>45</v>
      </c>
      <c r="S1627">
        <v>0</v>
      </c>
      <c r="T1627" t="s">
        <v>47</v>
      </c>
    </row>
    <row r="1628" spans="1:20" x14ac:dyDescent="0.35">
      <c r="A1628" s="1" t="s">
        <v>3332</v>
      </c>
      <c r="B1628" t="s">
        <v>12</v>
      </c>
      <c r="C1628" t="s">
        <v>47</v>
      </c>
      <c r="D1628" t="s">
        <v>3258</v>
      </c>
      <c r="E1628">
        <v>1</v>
      </c>
      <c r="F1628" t="s">
        <v>45</v>
      </c>
      <c r="G1628">
        <v>1</v>
      </c>
      <c r="H1628" t="s">
        <v>45</v>
      </c>
      <c r="I1628">
        <v>0</v>
      </c>
      <c r="J1628" t="s">
        <v>47</v>
      </c>
      <c r="K1628">
        <v>0</v>
      </c>
      <c r="L1628" t="s">
        <v>47</v>
      </c>
      <c r="M1628">
        <v>0</v>
      </c>
      <c r="N1628" t="s">
        <v>47</v>
      </c>
      <c r="O1628">
        <v>0</v>
      </c>
      <c r="P1628" t="s">
        <v>47</v>
      </c>
      <c r="Q1628">
        <v>1</v>
      </c>
      <c r="R1628" t="s">
        <v>45</v>
      </c>
      <c r="S1628">
        <v>0</v>
      </c>
      <c r="T1628" t="s">
        <v>47</v>
      </c>
    </row>
    <row r="1629" spans="1:20" x14ac:dyDescent="0.35">
      <c r="A1629" s="1" t="s">
        <v>3333</v>
      </c>
      <c r="B1629" t="s">
        <v>12</v>
      </c>
      <c r="C1629" t="s">
        <v>47</v>
      </c>
      <c r="D1629" t="s">
        <v>3259</v>
      </c>
      <c r="E1629">
        <v>1</v>
      </c>
      <c r="F1629" t="s">
        <v>45</v>
      </c>
      <c r="G1629">
        <v>1</v>
      </c>
      <c r="H1629" t="s">
        <v>45</v>
      </c>
      <c r="I1629">
        <v>0</v>
      </c>
      <c r="J1629" t="s">
        <v>47</v>
      </c>
      <c r="K1629">
        <v>0</v>
      </c>
      <c r="L1629" t="s">
        <v>47</v>
      </c>
      <c r="M1629">
        <v>0</v>
      </c>
      <c r="N1629" t="s">
        <v>47</v>
      </c>
      <c r="O1629">
        <v>0</v>
      </c>
      <c r="P1629" t="s">
        <v>47</v>
      </c>
      <c r="Q1629">
        <v>1</v>
      </c>
      <c r="R1629" t="s">
        <v>45</v>
      </c>
      <c r="S1629">
        <v>0</v>
      </c>
      <c r="T1629" t="s">
        <v>47</v>
      </c>
    </row>
    <row r="1630" spans="1:20" x14ac:dyDescent="0.35">
      <c r="A1630" s="1" t="s">
        <v>3334</v>
      </c>
      <c r="B1630" t="s">
        <v>12</v>
      </c>
      <c r="C1630" t="s">
        <v>47</v>
      </c>
      <c r="D1630" t="s">
        <v>3260</v>
      </c>
      <c r="E1630">
        <v>1</v>
      </c>
      <c r="F1630" t="s">
        <v>45</v>
      </c>
      <c r="G1630">
        <v>0</v>
      </c>
      <c r="H1630" t="s">
        <v>47</v>
      </c>
      <c r="I1630">
        <v>0</v>
      </c>
      <c r="J1630" t="s">
        <v>47</v>
      </c>
      <c r="K1630">
        <v>0</v>
      </c>
      <c r="L1630" t="s">
        <v>47</v>
      </c>
      <c r="M1630">
        <v>0</v>
      </c>
      <c r="N1630" t="s">
        <v>47</v>
      </c>
      <c r="O1630">
        <v>0</v>
      </c>
      <c r="P1630" t="s">
        <v>47</v>
      </c>
      <c r="Q1630">
        <v>1</v>
      </c>
      <c r="R1630" t="s">
        <v>45</v>
      </c>
      <c r="S1630">
        <v>0</v>
      </c>
      <c r="T1630" t="s">
        <v>47</v>
      </c>
    </row>
    <row r="1631" spans="1:20" x14ac:dyDescent="0.35">
      <c r="A1631" s="1" t="s">
        <v>3335</v>
      </c>
      <c r="B1631" t="s">
        <v>12</v>
      </c>
      <c r="C1631" t="s">
        <v>47</v>
      </c>
      <c r="D1631" t="s">
        <v>3261</v>
      </c>
      <c r="E1631">
        <v>0</v>
      </c>
      <c r="F1631" t="s">
        <v>47</v>
      </c>
      <c r="G1631">
        <v>1</v>
      </c>
      <c r="H1631" t="s">
        <v>45</v>
      </c>
      <c r="I1631">
        <v>0</v>
      </c>
      <c r="J1631" t="s">
        <v>47</v>
      </c>
      <c r="K1631">
        <v>0</v>
      </c>
      <c r="L1631" t="s">
        <v>47</v>
      </c>
      <c r="M1631">
        <v>0</v>
      </c>
      <c r="N1631" t="s">
        <v>47</v>
      </c>
      <c r="O1631">
        <v>1</v>
      </c>
      <c r="P1631" t="s">
        <v>45</v>
      </c>
      <c r="Q1631">
        <v>0</v>
      </c>
      <c r="R1631" t="s">
        <v>47</v>
      </c>
      <c r="S1631">
        <v>0</v>
      </c>
      <c r="T1631" t="s">
        <v>47</v>
      </c>
    </row>
    <row r="1632" spans="1:20" x14ac:dyDescent="0.35">
      <c r="A1632" s="1" t="s">
        <v>3336</v>
      </c>
      <c r="B1632" t="s">
        <v>12</v>
      </c>
      <c r="C1632" t="s">
        <v>47</v>
      </c>
      <c r="D1632" t="s">
        <v>3262</v>
      </c>
      <c r="E1632">
        <v>1</v>
      </c>
      <c r="F1632" t="s">
        <v>45</v>
      </c>
      <c r="G1632">
        <v>1</v>
      </c>
      <c r="H1632" t="s">
        <v>45</v>
      </c>
      <c r="I1632">
        <v>0</v>
      </c>
      <c r="J1632" t="s">
        <v>47</v>
      </c>
      <c r="K1632">
        <v>0</v>
      </c>
      <c r="L1632" t="s">
        <v>47</v>
      </c>
      <c r="M1632">
        <v>0</v>
      </c>
      <c r="N1632" t="s">
        <v>47</v>
      </c>
      <c r="O1632">
        <v>0</v>
      </c>
      <c r="P1632" t="s">
        <v>47</v>
      </c>
      <c r="Q1632">
        <v>1</v>
      </c>
      <c r="R1632" t="s">
        <v>45</v>
      </c>
      <c r="S1632">
        <v>0</v>
      </c>
      <c r="T1632" t="s">
        <v>47</v>
      </c>
    </row>
    <row r="1633" spans="1:20" x14ac:dyDescent="0.35">
      <c r="A1633" s="1" t="s">
        <v>3337</v>
      </c>
      <c r="B1633" t="s">
        <v>12</v>
      </c>
      <c r="C1633" t="s">
        <v>47</v>
      </c>
      <c r="D1633" t="s">
        <v>3263</v>
      </c>
      <c r="E1633">
        <v>1</v>
      </c>
      <c r="F1633" t="s">
        <v>45</v>
      </c>
      <c r="G1633">
        <v>1</v>
      </c>
      <c r="H1633" t="s">
        <v>45</v>
      </c>
      <c r="I1633">
        <v>0</v>
      </c>
      <c r="J1633" t="s">
        <v>47</v>
      </c>
      <c r="K1633">
        <v>0</v>
      </c>
      <c r="L1633" t="s">
        <v>47</v>
      </c>
      <c r="M1633">
        <v>1</v>
      </c>
      <c r="N1633" t="s">
        <v>45</v>
      </c>
      <c r="O1633">
        <v>0</v>
      </c>
      <c r="P1633" t="s">
        <v>47</v>
      </c>
      <c r="Q1633">
        <v>1</v>
      </c>
      <c r="R1633" t="s">
        <v>45</v>
      </c>
      <c r="S1633">
        <v>0</v>
      </c>
      <c r="T1633" t="s">
        <v>47</v>
      </c>
    </row>
    <row r="1634" spans="1:20" x14ac:dyDescent="0.35">
      <c r="A1634" s="1" t="s">
        <v>3338</v>
      </c>
      <c r="B1634" t="s">
        <v>12</v>
      </c>
      <c r="C1634" t="s">
        <v>47</v>
      </c>
      <c r="D1634" t="s">
        <v>3264</v>
      </c>
      <c r="E1634">
        <v>1</v>
      </c>
      <c r="F1634" t="s">
        <v>45</v>
      </c>
      <c r="G1634">
        <v>1</v>
      </c>
      <c r="H1634" t="s">
        <v>45</v>
      </c>
      <c r="I1634">
        <v>0</v>
      </c>
      <c r="J1634" t="s">
        <v>47</v>
      </c>
      <c r="K1634">
        <v>0</v>
      </c>
      <c r="L1634" t="s">
        <v>47</v>
      </c>
      <c r="M1634">
        <v>0</v>
      </c>
      <c r="N1634" t="s">
        <v>47</v>
      </c>
      <c r="O1634">
        <v>0</v>
      </c>
      <c r="P1634" t="s">
        <v>47</v>
      </c>
      <c r="Q1634">
        <v>1</v>
      </c>
      <c r="R1634" t="s">
        <v>45</v>
      </c>
      <c r="S1634">
        <v>0</v>
      </c>
      <c r="T1634" t="s">
        <v>47</v>
      </c>
    </row>
    <row r="1635" spans="1:20" x14ac:dyDescent="0.35">
      <c r="A1635" s="1" t="s">
        <v>3339</v>
      </c>
      <c r="B1635" t="s">
        <v>12</v>
      </c>
      <c r="C1635" t="s">
        <v>47</v>
      </c>
      <c r="D1635" t="s">
        <v>3265</v>
      </c>
      <c r="E1635">
        <v>1</v>
      </c>
      <c r="F1635" t="s">
        <v>45</v>
      </c>
      <c r="G1635">
        <v>0</v>
      </c>
      <c r="H1635" t="s">
        <v>47</v>
      </c>
      <c r="I1635">
        <v>0</v>
      </c>
      <c r="J1635" t="s">
        <v>47</v>
      </c>
      <c r="K1635">
        <v>0</v>
      </c>
      <c r="L1635" t="s">
        <v>47</v>
      </c>
      <c r="M1635">
        <v>0</v>
      </c>
      <c r="N1635" t="s">
        <v>47</v>
      </c>
      <c r="O1635">
        <v>1</v>
      </c>
      <c r="P1635" t="s">
        <v>48</v>
      </c>
      <c r="Q1635">
        <v>0</v>
      </c>
      <c r="R1635" t="s">
        <v>47</v>
      </c>
      <c r="S1635">
        <v>0</v>
      </c>
      <c r="T1635" t="s">
        <v>47</v>
      </c>
    </row>
    <row r="1636" spans="1:20" x14ac:dyDescent="0.35">
      <c r="A1636" s="1" t="s">
        <v>3340</v>
      </c>
      <c r="B1636" t="s">
        <v>12</v>
      </c>
      <c r="C1636" t="s">
        <v>47</v>
      </c>
      <c r="D1636" t="s">
        <v>3266</v>
      </c>
      <c r="E1636">
        <v>1</v>
      </c>
      <c r="F1636" t="s">
        <v>45</v>
      </c>
      <c r="G1636">
        <v>0</v>
      </c>
      <c r="H1636" t="s">
        <v>47</v>
      </c>
      <c r="I1636">
        <v>0</v>
      </c>
      <c r="J1636" t="s">
        <v>47</v>
      </c>
      <c r="K1636">
        <v>0</v>
      </c>
      <c r="L1636" t="s">
        <v>47</v>
      </c>
      <c r="M1636">
        <v>1</v>
      </c>
      <c r="N1636" t="s">
        <v>45</v>
      </c>
      <c r="O1636">
        <v>1</v>
      </c>
      <c r="P1636" t="s">
        <v>45</v>
      </c>
      <c r="Q1636">
        <v>1</v>
      </c>
      <c r="R1636" t="s">
        <v>45</v>
      </c>
      <c r="S1636">
        <v>0</v>
      </c>
      <c r="T1636" t="s">
        <v>47</v>
      </c>
    </row>
    <row r="1637" spans="1:20" x14ac:dyDescent="0.35">
      <c r="A1637" s="1" t="s">
        <v>3341</v>
      </c>
      <c r="B1637" t="s">
        <v>12</v>
      </c>
      <c r="C1637" t="s">
        <v>47</v>
      </c>
      <c r="D1637" t="s">
        <v>3267</v>
      </c>
      <c r="E1637">
        <v>0</v>
      </c>
      <c r="F1637" t="s">
        <v>47</v>
      </c>
      <c r="G1637">
        <v>0</v>
      </c>
      <c r="H1637" t="s">
        <v>47</v>
      </c>
      <c r="I1637">
        <v>0</v>
      </c>
      <c r="J1637" t="s">
        <v>47</v>
      </c>
      <c r="K1637">
        <v>1</v>
      </c>
      <c r="L1637" t="s">
        <v>45</v>
      </c>
      <c r="M1637">
        <v>0</v>
      </c>
      <c r="N1637" t="s">
        <v>47</v>
      </c>
      <c r="O1637">
        <v>0</v>
      </c>
      <c r="P1637" t="s">
        <v>47</v>
      </c>
      <c r="Q1637">
        <v>1</v>
      </c>
      <c r="R1637" t="s">
        <v>45</v>
      </c>
      <c r="S1637">
        <v>0</v>
      </c>
      <c r="T1637" t="s">
        <v>47</v>
      </c>
    </row>
    <row r="1638" spans="1:20" x14ac:dyDescent="0.35">
      <c r="A1638" s="1" t="s">
        <v>3342</v>
      </c>
      <c r="B1638" t="s">
        <v>12</v>
      </c>
      <c r="C1638" t="s">
        <v>47</v>
      </c>
      <c r="D1638" t="s">
        <v>3268</v>
      </c>
      <c r="E1638">
        <v>1</v>
      </c>
      <c r="F1638" t="s">
        <v>45</v>
      </c>
      <c r="G1638">
        <v>1</v>
      </c>
      <c r="H1638" t="s">
        <v>45</v>
      </c>
      <c r="I1638">
        <v>0</v>
      </c>
      <c r="J1638" t="s">
        <v>47</v>
      </c>
      <c r="K1638">
        <v>0</v>
      </c>
      <c r="L1638" t="s">
        <v>47</v>
      </c>
      <c r="M1638">
        <v>0</v>
      </c>
      <c r="N1638" t="s">
        <v>47</v>
      </c>
      <c r="O1638">
        <v>1</v>
      </c>
      <c r="P1638" t="s">
        <v>45</v>
      </c>
      <c r="Q1638">
        <v>0</v>
      </c>
      <c r="R1638" t="s">
        <v>47</v>
      </c>
      <c r="S1638">
        <v>0</v>
      </c>
      <c r="T1638" t="s">
        <v>47</v>
      </c>
    </row>
    <row r="1639" spans="1:20" x14ac:dyDescent="0.35">
      <c r="A1639" s="1" t="s">
        <v>3343</v>
      </c>
      <c r="B1639" t="s">
        <v>12</v>
      </c>
      <c r="C1639" t="s">
        <v>47</v>
      </c>
      <c r="D1639" t="s">
        <v>3269</v>
      </c>
      <c r="E1639">
        <v>0</v>
      </c>
      <c r="F1639" t="s">
        <v>47</v>
      </c>
      <c r="G1639">
        <v>0</v>
      </c>
      <c r="H1639" t="s">
        <v>47</v>
      </c>
      <c r="I1639">
        <v>0</v>
      </c>
      <c r="J1639" t="s">
        <v>47</v>
      </c>
      <c r="K1639">
        <v>0</v>
      </c>
      <c r="L1639" t="s">
        <v>47</v>
      </c>
      <c r="M1639">
        <v>0</v>
      </c>
      <c r="N1639" t="s">
        <v>47</v>
      </c>
      <c r="O1639">
        <v>0</v>
      </c>
      <c r="P1639" t="s">
        <v>47</v>
      </c>
      <c r="Q1639">
        <v>0</v>
      </c>
      <c r="R1639" t="s">
        <v>47</v>
      </c>
      <c r="S1639">
        <v>1</v>
      </c>
      <c r="T1639" t="s">
        <v>45</v>
      </c>
    </row>
    <row r="1640" spans="1:20" x14ac:dyDescent="0.35">
      <c r="A1640" s="1" t="s">
        <v>3344</v>
      </c>
      <c r="B1640" t="s">
        <v>12</v>
      </c>
      <c r="C1640" t="s">
        <v>47</v>
      </c>
      <c r="D1640" t="s">
        <v>3270</v>
      </c>
      <c r="E1640">
        <v>1</v>
      </c>
      <c r="F1640" t="s">
        <v>45</v>
      </c>
      <c r="G1640">
        <v>0</v>
      </c>
      <c r="H1640" t="s">
        <v>47</v>
      </c>
      <c r="I1640">
        <v>0</v>
      </c>
      <c r="J1640" t="s">
        <v>47</v>
      </c>
      <c r="K1640">
        <v>0</v>
      </c>
      <c r="L1640" t="s">
        <v>47</v>
      </c>
      <c r="M1640">
        <v>0</v>
      </c>
      <c r="N1640" t="s">
        <v>47</v>
      </c>
      <c r="O1640">
        <v>0</v>
      </c>
      <c r="P1640" t="s">
        <v>47</v>
      </c>
      <c r="Q1640">
        <v>0</v>
      </c>
      <c r="R1640" t="s">
        <v>47</v>
      </c>
      <c r="S1640">
        <v>0</v>
      </c>
      <c r="T1640" t="s">
        <v>47</v>
      </c>
    </row>
    <row r="1641" spans="1:20" x14ac:dyDescent="0.35">
      <c r="A1641" s="1" t="s">
        <v>3345</v>
      </c>
      <c r="B1641" t="s">
        <v>12</v>
      </c>
      <c r="C1641" t="s">
        <v>47</v>
      </c>
      <c r="D1641" t="s">
        <v>3271</v>
      </c>
      <c r="E1641">
        <v>1</v>
      </c>
      <c r="F1641" t="s">
        <v>45</v>
      </c>
      <c r="G1641">
        <v>1</v>
      </c>
      <c r="H1641" t="s">
        <v>45</v>
      </c>
      <c r="I1641">
        <v>0</v>
      </c>
      <c r="J1641" t="s">
        <v>47</v>
      </c>
      <c r="K1641">
        <v>0</v>
      </c>
      <c r="L1641" t="s">
        <v>47</v>
      </c>
      <c r="M1641">
        <v>0</v>
      </c>
      <c r="N1641" t="s">
        <v>47</v>
      </c>
      <c r="O1641">
        <v>0</v>
      </c>
      <c r="P1641" t="s">
        <v>47</v>
      </c>
      <c r="Q1641">
        <v>1</v>
      </c>
      <c r="R1641" t="s">
        <v>45</v>
      </c>
      <c r="S1641">
        <v>0</v>
      </c>
      <c r="T1641" t="s">
        <v>47</v>
      </c>
    </row>
    <row r="1642" spans="1:20" x14ac:dyDescent="0.35">
      <c r="A1642" s="1" t="s">
        <v>3346</v>
      </c>
      <c r="B1642" t="s">
        <v>12</v>
      </c>
      <c r="C1642" t="s">
        <v>47</v>
      </c>
      <c r="D1642" t="s">
        <v>3272</v>
      </c>
      <c r="E1642">
        <v>1</v>
      </c>
      <c r="F1642" t="s">
        <v>45</v>
      </c>
      <c r="G1642">
        <v>1</v>
      </c>
      <c r="H1642" t="s">
        <v>55</v>
      </c>
      <c r="I1642">
        <v>0</v>
      </c>
      <c r="J1642" t="s">
        <v>47</v>
      </c>
      <c r="K1642">
        <v>1</v>
      </c>
      <c r="L1642" t="s">
        <v>48</v>
      </c>
      <c r="M1642">
        <v>0</v>
      </c>
      <c r="N1642" t="s">
        <v>47</v>
      </c>
      <c r="O1642">
        <v>0</v>
      </c>
      <c r="P1642" t="s">
        <v>47</v>
      </c>
      <c r="Q1642">
        <v>0</v>
      </c>
      <c r="R1642" t="s">
        <v>47</v>
      </c>
      <c r="S1642">
        <v>0</v>
      </c>
      <c r="T1642" t="s">
        <v>47</v>
      </c>
    </row>
    <row r="1643" spans="1:20" x14ac:dyDescent="0.35">
      <c r="A1643" s="1" t="s">
        <v>3347</v>
      </c>
      <c r="B1643" t="s">
        <v>12</v>
      </c>
      <c r="C1643" t="s">
        <v>47</v>
      </c>
      <c r="D1643" t="s">
        <v>3273</v>
      </c>
      <c r="E1643">
        <v>1</v>
      </c>
      <c r="F1643" t="s">
        <v>45</v>
      </c>
      <c r="G1643">
        <v>1</v>
      </c>
      <c r="H1643" t="s">
        <v>45</v>
      </c>
      <c r="I1643">
        <v>0</v>
      </c>
      <c r="J1643" t="s">
        <v>47</v>
      </c>
      <c r="K1643">
        <v>0</v>
      </c>
      <c r="L1643" t="s">
        <v>47</v>
      </c>
      <c r="M1643">
        <v>0</v>
      </c>
      <c r="N1643" t="s">
        <v>47</v>
      </c>
      <c r="O1643">
        <v>0</v>
      </c>
      <c r="P1643" t="s">
        <v>47</v>
      </c>
      <c r="Q1643">
        <v>0</v>
      </c>
      <c r="R1643" t="s">
        <v>47</v>
      </c>
      <c r="S1643">
        <v>0</v>
      </c>
      <c r="T1643" t="s">
        <v>47</v>
      </c>
    </row>
    <row r="1644" spans="1:20" x14ac:dyDescent="0.35">
      <c r="A1644" s="1" t="s">
        <v>3348</v>
      </c>
      <c r="B1644" t="s">
        <v>12</v>
      </c>
      <c r="C1644" t="s">
        <v>47</v>
      </c>
      <c r="D1644" t="s">
        <v>3274</v>
      </c>
      <c r="E1644">
        <v>1</v>
      </c>
      <c r="F1644" t="s">
        <v>45</v>
      </c>
      <c r="G1644">
        <v>1</v>
      </c>
      <c r="H1644" t="s">
        <v>45</v>
      </c>
      <c r="I1644">
        <v>0</v>
      </c>
      <c r="J1644" t="s">
        <v>47</v>
      </c>
      <c r="K1644">
        <v>0</v>
      </c>
      <c r="L1644" t="s">
        <v>47</v>
      </c>
      <c r="M1644">
        <v>0</v>
      </c>
      <c r="N1644" t="s">
        <v>47</v>
      </c>
      <c r="O1644">
        <v>0</v>
      </c>
      <c r="P1644" t="s">
        <v>47</v>
      </c>
      <c r="Q1644">
        <v>0</v>
      </c>
      <c r="R1644" t="s">
        <v>47</v>
      </c>
      <c r="S1644">
        <v>0</v>
      </c>
      <c r="T1644" t="s">
        <v>47</v>
      </c>
    </row>
    <row r="1645" spans="1:20" x14ac:dyDescent="0.35">
      <c r="A1645" s="1" t="s">
        <v>3349</v>
      </c>
      <c r="B1645" t="s">
        <v>12</v>
      </c>
      <c r="C1645" t="s">
        <v>47</v>
      </c>
      <c r="D1645" t="s">
        <v>3275</v>
      </c>
      <c r="E1645">
        <v>0</v>
      </c>
      <c r="F1645" t="s">
        <v>47</v>
      </c>
      <c r="G1645">
        <v>0</v>
      </c>
      <c r="H1645" t="s">
        <v>47</v>
      </c>
      <c r="I1645">
        <v>0</v>
      </c>
      <c r="J1645" t="s">
        <v>47</v>
      </c>
      <c r="K1645">
        <v>0</v>
      </c>
      <c r="L1645" t="s">
        <v>47</v>
      </c>
      <c r="M1645">
        <v>0</v>
      </c>
      <c r="N1645" t="s">
        <v>47</v>
      </c>
      <c r="O1645">
        <v>0</v>
      </c>
      <c r="P1645" t="s">
        <v>47</v>
      </c>
      <c r="Q1645">
        <v>0</v>
      </c>
      <c r="R1645" t="s">
        <v>47</v>
      </c>
      <c r="S1645">
        <v>0</v>
      </c>
      <c r="T1645" t="s">
        <v>47</v>
      </c>
    </row>
    <row r="1646" spans="1:20" x14ac:dyDescent="0.35">
      <c r="A1646" s="1" t="s">
        <v>3350</v>
      </c>
      <c r="B1646" t="s">
        <v>12</v>
      </c>
      <c r="C1646" t="s">
        <v>47</v>
      </c>
      <c r="D1646" t="s">
        <v>3276</v>
      </c>
      <c r="E1646">
        <v>1</v>
      </c>
      <c r="F1646" t="s">
        <v>45</v>
      </c>
      <c r="G1646">
        <v>0</v>
      </c>
      <c r="H1646" t="s">
        <v>47</v>
      </c>
      <c r="I1646">
        <v>0</v>
      </c>
      <c r="J1646" t="s">
        <v>47</v>
      </c>
      <c r="K1646">
        <v>0</v>
      </c>
      <c r="L1646" t="s">
        <v>47</v>
      </c>
      <c r="M1646">
        <v>1</v>
      </c>
      <c r="N1646" t="s">
        <v>55</v>
      </c>
      <c r="O1646">
        <v>1</v>
      </c>
      <c r="P1646" t="s">
        <v>45</v>
      </c>
      <c r="Q1646">
        <v>0</v>
      </c>
      <c r="R1646" t="s">
        <v>47</v>
      </c>
      <c r="S1646">
        <v>0</v>
      </c>
      <c r="T1646" t="s">
        <v>47</v>
      </c>
    </row>
    <row r="1647" spans="1:20" x14ac:dyDescent="0.35">
      <c r="A1647" s="1" t="s">
        <v>3351</v>
      </c>
      <c r="B1647" t="s">
        <v>12</v>
      </c>
      <c r="C1647" t="s">
        <v>47</v>
      </c>
      <c r="D1647" t="s">
        <v>3277</v>
      </c>
      <c r="E1647">
        <v>1</v>
      </c>
      <c r="F1647" t="s">
        <v>45</v>
      </c>
      <c r="G1647">
        <v>0</v>
      </c>
      <c r="H1647" t="s">
        <v>47</v>
      </c>
      <c r="I1647">
        <v>0</v>
      </c>
      <c r="J1647" t="s">
        <v>47</v>
      </c>
      <c r="K1647">
        <v>0</v>
      </c>
      <c r="L1647" t="s">
        <v>47</v>
      </c>
      <c r="M1647">
        <v>1</v>
      </c>
      <c r="N1647" t="s">
        <v>45</v>
      </c>
      <c r="O1647">
        <v>0</v>
      </c>
      <c r="P1647" t="s">
        <v>47</v>
      </c>
      <c r="Q1647">
        <v>0</v>
      </c>
      <c r="R1647" t="s">
        <v>47</v>
      </c>
      <c r="S1647">
        <v>0</v>
      </c>
      <c r="T1647" t="s">
        <v>47</v>
      </c>
    </row>
    <row r="1648" spans="1:20" x14ac:dyDescent="0.35">
      <c r="A1648" s="1" t="s">
        <v>3352</v>
      </c>
      <c r="B1648" t="s">
        <v>12</v>
      </c>
      <c r="C1648" t="s">
        <v>47</v>
      </c>
      <c r="D1648" t="s">
        <v>3278</v>
      </c>
      <c r="E1648">
        <v>1</v>
      </c>
      <c r="F1648" t="s">
        <v>45</v>
      </c>
      <c r="G1648">
        <v>0</v>
      </c>
      <c r="H1648" t="s">
        <v>47</v>
      </c>
      <c r="I1648">
        <v>0</v>
      </c>
      <c r="J1648" t="s">
        <v>47</v>
      </c>
      <c r="K1648">
        <v>0</v>
      </c>
      <c r="L1648" t="s">
        <v>47</v>
      </c>
      <c r="M1648">
        <v>0</v>
      </c>
      <c r="N1648" t="s">
        <v>47</v>
      </c>
      <c r="O1648">
        <v>0</v>
      </c>
      <c r="P1648" t="s">
        <v>47</v>
      </c>
      <c r="Q1648">
        <v>0</v>
      </c>
      <c r="R1648" t="s">
        <v>47</v>
      </c>
      <c r="S1648">
        <v>0</v>
      </c>
      <c r="T1648" t="s">
        <v>47</v>
      </c>
    </row>
    <row r="1649" spans="1:20" x14ac:dyDescent="0.35">
      <c r="A1649" s="1" t="s">
        <v>3353</v>
      </c>
      <c r="B1649" t="s">
        <v>12</v>
      </c>
      <c r="C1649" t="s">
        <v>47</v>
      </c>
      <c r="D1649" t="s">
        <v>3279</v>
      </c>
      <c r="E1649">
        <v>1</v>
      </c>
      <c r="F1649" t="s">
        <v>45</v>
      </c>
      <c r="G1649">
        <v>0</v>
      </c>
      <c r="H1649" t="s">
        <v>47</v>
      </c>
      <c r="I1649">
        <v>0</v>
      </c>
      <c r="J1649" t="s">
        <v>47</v>
      </c>
      <c r="K1649">
        <v>0</v>
      </c>
      <c r="L1649" t="s">
        <v>47</v>
      </c>
      <c r="M1649">
        <v>1</v>
      </c>
      <c r="N1649" t="s">
        <v>45</v>
      </c>
      <c r="O1649">
        <v>0</v>
      </c>
      <c r="P1649" t="s">
        <v>47</v>
      </c>
      <c r="Q1649">
        <v>0</v>
      </c>
      <c r="R1649" t="s">
        <v>47</v>
      </c>
      <c r="S1649">
        <v>0</v>
      </c>
      <c r="T1649" t="s">
        <v>47</v>
      </c>
    </row>
    <row r="1650" spans="1:20" x14ac:dyDescent="0.35">
      <c r="A1650" s="1" t="s">
        <v>3354</v>
      </c>
      <c r="B1650" t="s">
        <v>12</v>
      </c>
      <c r="C1650" t="s">
        <v>47</v>
      </c>
      <c r="D1650" t="s">
        <v>3280</v>
      </c>
      <c r="E1650">
        <v>1</v>
      </c>
      <c r="F1650" t="s">
        <v>45</v>
      </c>
      <c r="G1650">
        <v>0</v>
      </c>
      <c r="H1650" t="s">
        <v>47</v>
      </c>
      <c r="I1650">
        <v>0</v>
      </c>
      <c r="J1650" t="s">
        <v>47</v>
      </c>
      <c r="K1650">
        <v>1</v>
      </c>
      <c r="L1650" t="s">
        <v>45</v>
      </c>
      <c r="M1650">
        <v>0</v>
      </c>
      <c r="N1650" t="s">
        <v>47</v>
      </c>
      <c r="O1650">
        <v>1</v>
      </c>
      <c r="P1650" t="s">
        <v>45</v>
      </c>
      <c r="Q1650">
        <v>0</v>
      </c>
      <c r="R1650" t="s">
        <v>47</v>
      </c>
      <c r="S1650">
        <v>0</v>
      </c>
      <c r="T1650" t="s">
        <v>47</v>
      </c>
    </row>
    <row r="1651" spans="1:20" x14ac:dyDescent="0.35">
      <c r="A1651" s="1" t="s">
        <v>3355</v>
      </c>
      <c r="B1651" t="s">
        <v>12</v>
      </c>
      <c r="C1651" t="s">
        <v>47</v>
      </c>
      <c r="D1651" t="s">
        <v>3281</v>
      </c>
      <c r="E1651">
        <v>0</v>
      </c>
      <c r="F1651" t="s">
        <v>47</v>
      </c>
      <c r="G1651">
        <v>0</v>
      </c>
      <c r="H1651" t="s">
        <v>47</v>
      </c>
      <c r="I1651">
        <v>0</v>
      </c>
      <c r="J1651" t="s">
        <v>47</v>
      </c>
      <c r="K1651">
        <v>0</v>
      </c>
      <c r="L1651" t="s">
        <v>47</v>
      </c>
      <c r="M1651">
        <v>1</v>
      </c>
      <c r="N1651" t="s">
        <v>48</v>
      </c>
      <c r="O1651">
        <v>0</v>
      </c>
      <c r="P1651" t="s">
        <v>47</v>
      </c>
      <c r="Q1651">
        <v>0</v>
      </c>
      <c r="R1651" t="s">
        <v>47</v>
      </c>
      <c r="S1651">
        <v>1</v>
      </c>
      <c r="T1651" t="s">
        <v>45</v>
      </c>
    </row>
    <row r="1652" spans="1:20" x14ac:dyDescent="0.35">
      <c r="A1652" s="1" t="s">
        <v>3356</v>
      </c>
      <c r="B1652" t="s">
        <v>12</v>
      </c>
      <c r="C1652" t="s">
        <v>47</v>
      </c>
      <c r="D1652" t="s">
        <v>3282</v>
      </c>
      <c r="E1652">
        <v>1</v>
      </c>
      <c r="F1652" t="s">
        <v>45</v>
      </c>
      <c r="G1652">
        <v>1</v>
      </c>
      <c r="H1652" t="s">
        <v>45</v>
      </c>
      <c r="I1652">
        <v>0</v>
      </c>
      <c r="J1652" t="s">
        <v>47</v>
      </c>
      <c r="K1652">
        <v>0</v>
      </c>
      <c r="L1652" t="s">
        <v>47</v>
      </c>
      <c r="M1652">
        <v>1</v>
      </c>
      <c r="N1652" t="s">
        <v>45</v>
      </c>
      <c r="O1652">
        <v>0</v>
      </c>
      <c r="P1652" t="s">
        <v>47</v>
      </c>
      <c r="Q1652">
        <v>0</v>
      </c>
      <c r="R1652" t="s">
        <v>47</v>
      </c>
      <c r="S1652">
        <v>0</v>
      </c>
      <c r="T1652" t="s">
        <v>47</v>
      </c>
    </row>
    <row r="1653" spans="1:20" x14ac:dyDescent="0.35">
      <c r="A1653" s="1" t="s">
        <v>3357</v>
      </c>
      <c r="B1653" t="s">
        <v>12</v>
      </c>
      <c r="C1653" t="s">
        <v>47</v>
      </c>
      <c r="D1653" t="s">
        <v>3283</v>
      </c>
      <c r="E1653">
        <v>1</v>
      </c>
      <c r="F1653" t="s">
        <v>45</v>
      </c>
      <c r="G1653">
        <v>1</v>
      </c>
      <c r="H1653" t="s">
        <v>45</v>
      </c>
      <c r="I1653">
        <v>0</v>
      </c>
      <c r="J1653" t="s">
        <v>47</v>
      </c>
      <c r="K1653">
        <v>0</v>
      </c>
      <c r="L1653" t="s">
        <v>47</v>
      </c>
      <c r="M1653">
        <v>0</v>
      </c>
      <c r="N1653" t="s">
        <v>47</v>
      </c>
      <c r="O1653">
        <v>1</v>
      </c>
      <c r="P1653" t="s">
        <v>45</v>
      </c>
      <c r="Q1653">
        <v>0</v>
      </c>
      <c r="R1653" t="s">
        <v>47</v>
      </c>
      <c r="S1653">
        <v>0</v>
      </c>
      <c r="T1653" t="s">
        <v>47</v>
      </c>
    </row>
    <row r="1654" spans="1:20" x14ac:dyDescent="0.35">
      <c r="A1654" s="1" t="s">
        <v>3358</v>
      </c>
      <c r="B1654" t="s">
        <v>12</v>
      </c>
      <c r="C1654" t="s">
        <v>47</v>
      </c>
      <c r="D1654" t="s">
        <v>3284</v>
      </c>
      <c r="E1654">
        <v>1</v>
      </c>
      <c r="F1654" t="s">
        <v>55</v>
      </c>
      <c r="G1654">
        <v>0</v>
      </c>
      <c r="H1654" t="s">
        <v>47</v>
      </c>
      <c r="I1654">
        <v>0</v>
      </c>
      <c r="J1654" t="s">
        <v>47</v>
      </c>
      <c r="K1654">
        <v>0</v>
      </c>
      <c r="L1654" t="s">
        <v>47</v>
      </c>
      <c r="M1654">
        <v>1</v>
      </c>
      <c r="N1654" t="s">
        <v>45</v>
      </c>
      <c r="O1654">
        <v>0</v>
      </c>
      <c r="P1654" t="s">
        <v>47</v>
      </c>
      <c r="Q1654">
        <v>0</v>
      </c>
      <c r="R1654" t="s">
        <v>47</v>
      </c>
      <c r="S1654">
        <v>0</v>
      </c>
      <c r="T1654" t="s">
        <v>47</v>
      </c>
    </row>
    <row r="1655" spans="1:20" x14ac:dyDescent="0.35">
      <c r="A1655" s="1" t="s">
        <v>3359</v>
      </c>
      <c r="B1655" t="s">
        <v>12</v>
      </c>
      <c r="C1655" t="s">
        <v>47</v>
      </c>
      <c r="D1655" t="s">
        <v>3285</v>
      </c>
      <c r="E1655">
        <v>1</v>
      </c>
      <c r="F1655" t="s">
        <v>45</v>
      </c>
      <c r="G1655">
        <v>0</v>
      </c>
      <c r="H1655" t="s">
        <v>47</v>
      </c>
      <c r="I1655">
        <v>0</v>
      </c>
      <c r="J1655" t="s">
        <v>47</v>
      </c>
      <c r="K1655">
        <v>0</v>
      </c>
      <c r="L1655" t="s">
        <v>47</v>
      </c>
      <c r="M1655">
        <v>0</v>
      </c>
      <c r="N1655" t="s">
        <v>47</v>
      </c>
      <c r="O1655">
        <v>1</v>
      </c>
      <c r="P1655" t="s">
        <v>45</v>
      </c>
      <c r="Q1655">
        <v>0</v>
      </c>
      <c r="R1655" t="s">
        <v>47</v>
      </c>
      <c r="S1655">
        <v>0</v>
      </c>
      <c r="T1655" t="s">
        <v>47</v>
      </c>
    </row>
    <row r="1656" spans="1:20" x14ac:dyDescent="0.35">
      <c r="A1656" s="1" t="s">
        <v>3360</v>
      </c>
      <c r="B1656" t="s">
        <v>12</v>
      </c>
      <c r="C1656" t="s">
        <v>47</v>
      </c>
      <c r="D1656" t="s">
        <v>3286</v>
      </c>
      <c r="E1656">
        <v>1</v>
      </c>
      <c r="F1656" t="s">
        <v>45</v>
      </c>
      <c r="G1656">
        <v>1</v>
      </c>
      <c r="H1656" t="s">
        <v>45</v>
      </c>
      <c r="I1656">
        <v>0</v>
      </c>
      <c r="J1656" t="s">
        <v>47</v>
      </c>
      <c r="K1656">
        <v>1</v>
      </c>
      <c r="L1656" t="s">
        <v>45</v>
      </c>
      <c r="M1656">
        <v>0</v>
      </c>
      <c r="N1656" t="s">
        <v>47</v>
      </c>
      <c r="O1656">
        <v>1</v>
      </c>
      <c r="P1656" t="s">
        <v>45</v>
      </c>
      <c r="Q1656">
        <v>0</v>
      </c>
      <c r="R1656" t="s">
        <v>47</v>
      </c>
      <c r="S1656">
        <v>0</v>
      </c>
      <c r="T1656" t="s">
        <v>47</v>
      </c>
    </row>
    <row r="1657" spans="1:20" x14ac:dyDescent="0.35">
      <c r="A1657" s="1" t="s">
        <v>3361</v>
      </c>
      <c r="B1657" t="s">
        <v>12</v>
      </c>
      <c r="C1657" t="s">
        <v>47</v>
      </c>
      <c r="D1657" t="s">
        <v>3287</v>
      </c>
      <c r="E1657">
        <v>1</v>
      </c>
      <c r="F1657" t="s">
        <v>45</v>
      </c>
      <c r="G1657">
        <v>0</v>
      </c>
      <c r="H1657" t="s">
        <v>47</v>
      </c>
      <c r="I1657">
        <v>0</v>
      </c>
      <c r="J1657" t="s">
        <v>47</v>
      </c>
      <c r="K1657">
        <v>0</v>
      </c>
      <c r="L1657" t="s">
        <v>47</v>
      </c>
      <c r="M1657">
        <v>0</v>
      </c>
      <c r="N1657" t="s">
        <v>47</v>
      </c>
      <c r="O1657">
        <v>0</v>
      </c>
      <c r="P1657" t="s">
        <v>47</v>
      </c>
      <c r="Q1657">
        <v>0</v>
      </c>
      <c r="R1657" t="s">
        <v>47</v>
      </c>
      <c r="S1657">
        <v>0</v>
      </c>
      <c r="T1657" t="s">
        <v>47</v>
      </c>
    </row>
    <row r="1658" spans="1:20" x14ac:dyDescent="0.35">
      <c r="A1658" s="1" t="s">
        <v>3362</v>
      </c>
      <c r="B1658" t="s">
        <v>12</v>
      </c>
      <c r="C1658" t="s">
        <v>47</v>
      </c>
      <c r="D1658" t="s">
        <v>3288</v>
      </c>
      <c r="E1658">
        <v>0</v>
      </c>
      <c r="F1658" t="s">
        <v>47</v>
      </c>
      <c r="G1658">
        <v>0</v>
      </c>
      <c r="H1658" t="s">
        <v>47</v>
      </c>
      <c r="I1658">
        <v>0</v>
      </c>
      <c r="J1658" t="s">
        <v>47</v>
      </c>
      <c r="K1658">
        <v>0</v>
      </c>
      <c r="L1658" t="s">
        <v>47</v>
      </c>
      <c r="M1658">
        <v>0</v>
      </c>
      <c r="N1658" t="s">
        <v>47</v>
      </c>
      <c r="O1658">
        <v>0</v>
      </c>
      <c r="P1658" t="s">
        <v>47</v>
      </c>
      <c r="Q1658">
        <v>1</v>
      </c>
      <c r="R1658" t="s">
        <v>45</v>
      </c>
      <c r="S1658">
        <v>0</v>
      </c>
      <c r="T1658" t="s">
        <v>47</v>
      </c>
    </row>
    <row r="1659" spans="1:20" x14ac:dyDescent="0.35">
      <c r="A1659" s="1" t="s">
        <v>3363</v>
      </c>
      <c r="B1659" t="s">
        <v>12</v>
      </c>
      <c r="C1659" t="s">
        <v>47</v>
      </c>
      <c r="D1659" t="s">
        <v>3289</v>
      </c>
      <c r="E1659">
        <v>1</v>
      </c>
      <c r="F1659" t="s">
        <v>45</v>
      </c>
      <c r="G1659">
        <v>0</v>
      </c>
      <c r="H1659" t="s">
        <v>47</v>
      </c>
      <c r="I1659">
        <v>0</v>
      </c>
      <c r="J1659" t="s">
        <v>47</v>
      </c>
      <c r="K1659">
        <v>0</v>
      </c>
      <c r="L1659" t="s">
        <v>47</v>
      </c>
      <c r="M1659">
        <v>0</v>
      </c>
      <c r="N1659" t="s">
        <v>47</v>
      </c>
      <c r="O1659">
        <v>0</v>
      </c>
      <c r="P1659" t="s">
        <v>47</v>
      </c>
      <c r="Q1659">
        <v>1</v>
      </c>
      <c r="R1659" t="s">
        <v>45</v>
      </c>
      <c r="S1659">
        <v>0</v>
      </c>
      <c r="T1659" t="s">
        <v>47</v>
      </c>
    </row>
    <row r="1660" spans="1:20" x14ac:dyDescent="0.35">
      <c r="A1660" s="1" t="s">
        <v>3364</v>
      </c>
      <c r="B1660" t="s">
        <v>12</v>
      </c>
      <c r="C1660" t="s">
        <v>47</v>
      </c>
      <c r="D1660" t="s">
        <v>3290</v>
      </c>
      <c r="E1660">
        <v>1</v>
      </c>
      <c r="F1660" t="s">
        <v>45</v>
      </c>
      <c r="G1660">
        <v>0</v>
      </c>
      <c r="H1660" t="s">
        <v>47</v>
      </c>
      <c r="I1660">
        <v>0</v>
      </c>
      <c r="J1660" t="s">
        <v>47</v>
      </c>
      <c r="K1660">
        <v>0</v>
      </c>
      <c r="L1660" t="s">
        <v>47</v>
      </c>
      <c r="M1660">
        <v>1</v>
      </c>
      <c r="N1660" t="s">
        <v>48</v>
      </c>
      <c r="O1660">
        <v>0</v>
      </c>
      <c r="P1660" t="s">
        <v>47</v>
      </c>
      <c r="Q1660">
        <v>1</v>
      </c>
      <c r="R1660" t="s">
        <v>45</v>
      </c>
      <c r="S1660">
        <v>0</v>
      </c>
      <c r="T1660" t="s">
        <v>47</v>
      </c>
    </row>
    <row r="1661" spans="1:20" x14ac:dyDescent="0.35">
      <c r="A1661" s="1" t="s">
        <v>3365</v>
      </c>
      <c r="B1661" t="s">
        <v>12</v>
      </c>
      <c r="C1661" t="s">
        <v>47</v>
      </c>
      <c r="D1661" t="s">
        <v>3291</v>
      </c>
      <c r="E1661">
        <v>1</v>
      </c>
      <c r="F1661" t="s">
        <v>48</v>
      </c>
      <c r="G1661">
        <v>0</v>
      </c>
      <c r="H1661" t="s">
        <v>47</v>
      </c>
      <c r="I1661">
        <v>0</v>
      </c>
      <c r="J1661" t="s">
        <v>47</v>
      </c>
      <c r="K1661">
        <v>1</v>
      </c>
      <c r="L1661" t="s">
        <v>45</v>
      </c>
      <c r="M1661">
        <v>1</v>
      </c>
      <c r="N1661" t="s">
        <v>48</v>
      </c>
      <c r="O1661">
        <v>0</v>
      </c>
      <c r="P1661" t="s">
        <v>47</v>
      </c>
      <c r="Q1661">
        <v>0</v>
      </c>
      <c r="R1661" t="s">
        <v>47</v>
      </c>
      <c r="S1661">
        <v>1</v>
      </c>
      <c r="T1661" t="s">
        <v>45</v>
      </c>
    </row>
    <row r="1662" spans="1:20" x14ac:dyDescent="0.35">
      <c r="A1662" s="1" t="s">
        <v>3366</v>
      </c>
      <c r="B1662" t="s">
        <v>12</v>
      </c>
      <c r="C1662" t="s">
        <v>47</v>
      </c>
      <c r="D1662" t="s">
        <v>3292</v>
      </c>
      <c r="E1662">
        <v>1</v>
      </c>
      <c r="F1662" t="s">
        <v>45</v>
      </c>
      <c r="G1662">
        <v>0</v>
      </c>
      <c r="H1662" t="s">
        <v>47</v>
      </c>
      <c r="I1662">
        <v>0</v>
      </c>
      <c r="J1662" t="s">
        <v>47</v>
      </c>
      <c r="K1662">
        <v>0</v>
      </c>
      <c r="L1662" t="s">
        <v>47</v>
      </c>
      <c r="M1662">
        <v>1</v>
      </c>
      <c r="N1662" t="s">
        <v>45</v>
      </c>
      <c r="O1662">
        <v>0</v>
      </c>
      <c r="P1662" t="s">
        <v>47</v>
      </c>
      <c r="Q1662">
        <v>0</v>
      </c>
      <c r="R1662" t="s">
        <v>47</v>
      </c>
      <c r="S1662">
        <v>0</v>
      </c>
      <c r="T1662" t="s">
        <v>47</v>
      </c>
    </row>
    <row r="1663" spans="1:20" x14ac:dyDescent="0.35">
      <c r="A1663" s="1" t="s">
        <v>3367</v>
      </c>
      <c r="B1663" t="s">
        <v>12</v>
      </c>
      <c r="C1663" t="s">
        <v>47</v>
      </c>
      <c r="D1663" t="s">
        <v>3293</v>
      </c>
      <c r="E1663">
        <v>1</v>
      </c>
      <c r="F1663" t="s">
        <v>45</v>
      </c>
      <c r="G1663">
        <v>0</v>
      </c>
      <c r="H1663" t="s">
        <v>47</v>
      </c>
      <c r="I1663">
        <v>0</v>
      </c>
      <c r="J1663" t="s">
        <v>47</v>
      </c>
      <c r="K1663">
        <v>0</v>
      </c>
      <c r="L1663" t="s">
        <v>47</v>
      </c>
      <c r="M1663">
        <v>0</v>
      </c>
      <c r="N1663" t="s">
        <v>47</v>
      </c>
      <c r="O1663">
        <v>0</v>
      </c>
      <c r="P1663" t="s">
        <v>47</v>
      </c>
      <c r="Q1663">
        <v>0</v>
      </c>
      <c r="R1663" t="s">
        <v>47</v>
      </c>
      <c r="S1663">
        <v>0</v>
      </c>
      <c r="T1663" t="s">
        <v>47</v>
      </c>
    </row>
    <row r="1664" spans="1:20" x14ac:dyDescent="0.35">
      <c r="A1664" s="1" t="s">
        <v>3368</v>
      </c>
      <c r="B1664" t="s">
        <v>12</v>
      </c>
      <c r="C1664" t="s">
        <v>47</v>
      </c>
      <c r="D1664" t="s">
        <v>3294</v>
      </c>
      <c r="E1664">
        <v>1</v>
      </c>
      <c r="F1664" t="s">
        <v>55</v>
      </c>
      <c r="G1664">
        <v>0</v>
      </c>
      <c r="H1664" t="s">
        <v>47</v>
      </c>
      <c r="I1664">
        <v>0</v>
      </c>
      <c r="J1664" t="s">
        <v>47</v>
      </c>
      <c r="K1664">
        <v>0</v>
      </c>
      <c r="L1664" t="s">
        <v>47</v>
      </c>
      <c r="M1664">
        <v>1</v>
      </c>
      <c r="N1664" t="s">
        <v>45</v>
      </c>
      <c r="O1664">
        <v>0</v>
      </c>
      <c r="P1664" t="s">
        <v>47</v>
      </c>
      <c r="Q1664">
        <v>1</v>
      </c>
      <c r="R1664" t="s">
        <v>45</v>
      </c>
      <c r="S1664">
        <v>0</v>
      </c>
      <c r="T1664" t="s">
        <v>47</v>
      </c>
    </row>
    <row r="1665" spans="1:20" x14ac:dyDescent="0.35">
      <c r="A1665" s="1" t="s">
        <v>3369</v>
      </c>
      <c r="B1665" t="s">
        <v>12</v>
      </c>
      <c r="C1665" t="s">
        <v>47</v>
      </c>
      <c r="D1665" t="s">
        <v>3295</v>
      </c>
      <c r="E1665">
        <v>1</v>
      </c>
      <c r="F1665" t="s">
        <v>45</v>
      </c>
      <c r="G1665">
        <v>1</v>
      </c>
      <c r="H1665" t="s">
        <v>48</v>
      </c>
      <c r="I1665">
        <v>0</v>
      </c>
      <c r="J1665" t="s">
        <v>47</v>
      </c>
      <c r="K1665">
        <v>0</v>
      </c>
      <c r="L1665" t="s">
        <v>47</v>
      </c>
      <c r="M1665">
        <v>1</v>
      </c>
      <c r="N1665" t="s">
        <v>45</v>
      </c>
      <c r="O1665">
        <v>1</v>
      </c>
      <c r="P1665" t="s">
        <v>55</v>
      </c>
      <c r="Q1665">
        <v>1</v>
      </c>
      <c r="R1665" t="s">
        <v>45</v>
      </c>
      <c r="S1665">
        <v>0</v>
      </c>
      <c r="T1665" t="s">
        <v>47</v>
      </c>
    </row>
    <row r="1666" spans="1:20" x14ac:dyDescent="0.35">
      <c r="A1666" s="1" t="s">
        <v>3370</v>
      </c>
      <c r="B1666" t="s">
        <v>12</v>
      </c>
      <c r="C1666" t="s">
        <v>47</v>
      </c>
      <c r="D1666" t="s">
        <v>3296</v>
      </c>
      <c r="E1666">
        <v>1</v>
      </c>
      <c r="F1666" t="s">
        <v>45</v>
      </c>
      <c r="G1666">
        <v>1</v>
      </c>
      <c r="H1666" t="s">
        <v>45</v>
      </c>
      <c r="I1666">
        <v>0</v>
      </c>
      <c r="J1666" t="s">
        <v>47</v>
      </c>
      <c r="K1666">
        <v>0</v>
      </c>
      <c r="L1666" t="s">
        <v>47</v>
      </c>
      <c r="M1666">
        <v>1</v>
      </c>
      <c r="N1666" t="s">
        <v>45</v>
      </c>
      <c r="O1666">
        <v>0</v>
      </c>
      <c r="P1666" t="s">
        <v>47</v>
      </c>
      <c r="Q1666">
        <v>1</v>
      </c>
      <c r="R1666" t="s">
        <v>45</v>
      </c>
      <c r="S1666">
        <v>0</v>
      </c>
      <c r="T1666" t="s">
        <v>47</v>
      </c>
    </row>
    <row r="1667" spans="1:20" x14ac:dyDescent="0.35">
      <c r="A1667" s="1" t="s">
        <v>3371</v>
      </c>
      <c r="B1667" t="s">
        <v>12</v>
      </c>
      <c r="C1667" t="s">
        <v>47</v>
      </c>
      <c r="D1667" t="s">
        <v>3297</v>
      </c>
      <c r="E1667">
        <v>0</v>
      </c>
      <c r="F1667" t="s">
        <v>47</v>
      </c>
      <c r="G1667">
        <v>1</v>
      </c>
      <c r="H1667" t="s">
        <v>48</v>
      </c>
      <c r="I1667">
        <v>0</v>
      </c>
      <c r="J1667" t="s">
        <v>47</v>
      </c>
      <c r="K1667">
        <v>1</v>
      </c>
      <c r="L1667" t="s">
        <v>48</v>
      </c>
      <c r="M1667">
        <v>1</v>
      </c>
      <c r="N1667" t="s">
        <v>45</v>
      </c>
      <c r="O1667">
        <v>0</v>
      </c>
      <c r="P1667" t="s">
        <v>47</v>
      </c>
      <c r="Q1667">
        <v>1</v>
      </c>
      <c r="R1667" t="s">
        <v>45</v>
      </c>
      <c r="S1667">
        <v>0</v>
      </c>
      <c r="T1667" t="s">
        <v>47</v>
      </c>
    </row>
    <row r="1668" spans="1:20" x14ac:dyDescent="0.35">
      <c r="A1668" s="1" t="s">
        <v>3372</v>
      </c>
      <c r="B1668" t="s">
        <v>12</v>
      </c>
      <c r="C1668" t="s">
        <v>47</v>
      </c>
      <c r="D1668" t="s">
        <v>3298</v>
      </c>
      <c r="E1668">
        <v>1</v>
      </c>
      <c r="F1668" t="s">
        <v>55</v>
      </c>
      <c r="G1668">
        <v>0</v>
      </c>
      <c r="H1668" t="s">
        <v>47</v>
      </c>
      <c r="I1668">
        <v>0</v>
      </c>
      <c r="J1668" t="s">
        <v>47</v>
      </c>
      <c r="K1668">
        <v>0</v>
      </c>
      <c r="L1668" t="s">
        <v>47</v>
      </c>
      <c r="M1668">
        <v>1</v>
      </c>
      <c r="N1668" t="s">
        <v>45</v>
      </c>
      <c r="O1668">
        <v>0</v>
      </c>
      <c r="P1668" t="s">
        <v>47</v>
      </c>
      <c r="Q1668">
        <v>1</v>
      </c>
      <c r="R1668" t="s">
        <v>48</v>
      </c>
      <c r="S1668">
        <v>1</v>
      </c>
      <c r="T1668" t="s">
        <v>55</v>
      </c>
    </row>
    <row r="1669" spans="1:20" x14ac:dyDescent="0.35">
      <c r="A1669" s="1" t="s">
        <v>3373</v>
      </c>
      <c r="B1669" t="s">
        <v>12</v>
      </c>
      <c r="C1669" t="s">
        <v>47</v>
      </c>
      <c r="D1669" t="s">
        <v>3299</v>
      </c>
      <c r="E1669">
        <v>1</v>
      </c>
      <c r="F1669" t="s">
        <v>45</v>
      </c>
      <c r="G1669">
        <v>0</v>
      </c>
      <c r="H1669" t="s">
        <v>47</v>
      </c>
      <c r="I1669">
        <v>0</v>
      </c>
      <c r="J1669" t="s">
        <v>47</v>
      </c>
      <c r="K1669">
        <v>0</v>
      </c>
      <c r="L1669" t="s">
        <v>47</v>
      </c>
      <c r="M1669">
        <v>0</v>
      </c>
      <c r="N1669" t="s">
        <v>47</v>
      </c>
      <c r="O1669">
        <v>0</v>
      </c>
      <c r="P1669" t="s">
        <v>47</v>
      </c>
      <c r="Q1669">
        <v>0</v>
      </c>
      <c r="R1669" t="s">
        <v>47</v>
      </c>
      <c r="S1669">
        <v>0</v>
      </c>
      <c r="T1669" t="s">
        <v>47</v>
      </c>
    </row>
    <row r="1670" spans="1:20" x14ac:dyDescent="0.35">
      <c r="A1670" s="1" t="s">
        <v>3374</v>
      </c>
      <c r="B1670" t="s">
        <v>12</v>
      </c>
      <c r="C1670" t="s">
        <v>47</v>
      </c>
      <c r="D1670" t="s">
        <v>3300</v>
      </c>
      <c r="E1670">
        <v>1</v>
      </c>
      <c r="F1670" t="s">
        <v>45</v>
      </c>
      <c r="G1670">
        <v>0</v>
      </c>
      <c r="H1670" t="s">
        <v>47</v>
      </c>
      <c r="I1670">
        <v>0</v>
      </c>
      <c r="J1670" t="s">
        <v>47</v>
      </c>
      <c r="K1670">
        <v>0</v>
      </c>
      <c r="L1670" t="s">
        <v>47</v>
      </c>
      <c r="M1670">
        <v>1</v>
      </c>
      <c r="N1670" t="s">
        <v>45</v>
      </c>
      <c r="O1670">
        <v>0</v>
      </c>
      <c r="P1670" t="s">
        <v>47</v>
      </c>
      <c r="Q1670">
        <v>1</v>
      </c>
      <c r="R1670" t="s">
        <v>45</v>
      </c>
      <c r="S1670">
        <v>1</v>
      </c>
      <c r="T1670" t="s">
        <v>45</v>
      </c>
    </row>
    <row r="1671" spans="1:20" x14ac:dyDescent="0.35">
      <c r="A1671" s="1" t="s">
        <v>3375</v>
      </c>
      <c r="B1671" t="s">
        <v>12</v>
      </c>
      <c r="C1671" t="s">
        <v>47</v>
      </c>
      <c r="D1671" t="s">
        <v>3301</v>
      </c>
      <c r="E1671">
        <v>1</v>
      </c>
      <c r="F1671" t="s">
        <v>45</v>
      </c>
      <c r="G1671">
        <v>0</v>
      </c>
      <c r="H1671" t="s">
        <v>47</v>
      </c>
      <c r="I1671">
        <v>0</v>
      </c>
      <c r="J1671" t="s">
        <v>47</v>
      </c>
      <c r="K1671">
        <v>0</v>
      </c>
      <c r="L1671" t="s">
        <v>47</v>
      </c>
      <c r="M1671">
        <v>0</v>
      </c>
      <c r="N1671" t="s">
        <v>47</v>
      </c>
      <c r="O1671">
        <v>0</v>
      </c>
      <c r="P1671" t="s">
        <v>47</v>
      </c>
      <c r="Q1671">
        <v>1</v>
      </c>
      <c r="R1671" t="s">
        <v>45</v>
      </c>
      <c r="S1671">
        <v>0</v>
      </c>
      <c r="T1671" t="s">
        <v>47</v>
      </c>
    </row>
    <row r="1672" spans="1:20" x14ac:dyDescent="0.35">
      <c r="A1672" s="1" t="s">
        <v>3376</v>
      </c>
      <c r="B1672" t="s">
        <v>12</v>
      </c>
      <c r="C1672" t="s">
        <v>47</v>
      </c>
      <c r="D1672" t="s">
        <v>3302</v>
      </c>
      <c r="E1672">
        <v>1</v>
      </c>
      <c r="F1672" t="s">
        <v>45</v>
      </c>
      <c r="G1672">
        <v>1</v>
      </c>
      <c r="H1672" t="s">
        <v>45</v>
      </c>
      <c r="I1672">
        <v>0</v>
      </c>
      <c r="J1672" t="s">
        <v>47</v>
      </c>
      <c r="K1672">
        <v>0</v>
      </c>
      <c r="L1672" t="s">
        <v>47</v>
      </c>
      <c r="M1672">
        <v>1</v>
      </c>
      <c r="N1672" t="s">
        <v>55</v>
      </c>
      <c r="O1672">
        <v>0</v>
      </c>
      <c r="P1672" t="s">
        <v>47</v>
      </c>
      <c r="Q1672">
        <v>1</v>
      </c>
      <c r="R1672" t="s">
        <v>45</v>
      </c>
      <c r="S1672">
        <v>0</v>
      </c>
      <c r="T1672" t="s">
        <v>47</v>
      </c>
    </row>
    <row r="1673" spans="1:20" x14ac:dyDescent="0.35">
      <c r="A1673" s="1" t="s">
        <v>3377</v>
      </c>
      <c r="B1673" t="s">
        <v>12</v>
      </c>
      <c r="C1673" t="s">
        <v>47</v>
      </c>
      <c r="D1673" t="s">
        <v>3303</v>
      </c>
      <c r="E1673">
        <v>1</v>
      </c>
      <c r="F1673" t="s">
        <v>45</v>
      </c>
      <c r="G1673">
        <v>1</v>
      </c>
      <c r="H1673" t="s">
        <v>45</v>
      </c>
      <c r="I1673">
        <v>0</v>
      </c>
      <c r="J1673" t="s">
        <v>47</v>
      </c>
      <c r="K1673">
        <v>0</v>
      </c>
      <c r="L1673" t="s">
        <v>47</v>
      </c>
      <c r="M1673">
        <v>0</v>
      </c>
      <c r="N1673" t="s">
        <v>47</v>
      </c>
      <c r="O1673">
        <v>0</v>
      </c>
      <c r="P1673" t="s">
        <v>47</v>
      </c>
      <c r="Q1673">
        <v>1</v>
      </c>
      <c r="R1673" t="s">
        <v>45</v>
      </c>
      <c r="S1673">
        <v>0</v>
      </c>
      <c r="T1673" t="s">
        <v>47</v>
      </c>
    </row>
    <row r="1674" spans="1:20" x14ac:dyDescent="0.35">
      <c r="A1674" s="1" t="s">
        <v>3378</v>
      </c>
      <c r="B1674" t="s">
        <v>12</v>
      </c>
      <c r="C1674" t="s">
        <v>47</v>
      </c>
      <c r="D1674" t="s">
        <v>3304</v>
      </c>
      <c r="E1674">
        <v>1</v>
      </c>
      <c r="F1674" t="s">
        <v>45</v>
      </c>
      <c r="G1674">
        <v>1</v>
      </c>
      <c r="H1674" t="s">
        <v>45</v>
      </c>
      <c r="I1674">
        <v>0</v>
      </c>
      <c r="J1674" t="s">
        <v>47</v>
      </c>
      <c r="K1674">
        <v>0</v>
      </c>
      <c r="L1674" t="s">
        <v>47</v>
      </c>
      <c r="M1674">
        <v>0</v>
      </c>
      <c r="N1674" t="s">
        <v>47</v>
      </c>
      <c r="O1674">
        <v>0</v>
      </c>
      <c r="P1674" t="s">
        <v>47</v>
      </c>
      <c r="Q1674">
        <v>0</v>
      </c>
      <c r="R1674" t="s">
        <v>47</v>
      </c>
      <c r="S1674">
        <v>0</v>
      </c>
      <c r="T1674" t="s">
        <v>47</v>
      </c>
    </row>
    <row r="1675" spans="1:20" x14ac:dyDescent="0.35">
      <c r="A1675" s="1" t="s">
        <v>3379</v>
      </c>
      <c r="B1675" t="s">
        <v>12</v>
      </c>
      <c r="C1675" t="s">
        <v>47</v>
      </c>
      <c r="D1675" t="s">
        <v>3305</v>
      </c>
      <c r="E1675">
        <v>1</v>
      </c>
      <c r="F1675" t="s">
        <v>45</v>
      </c>
      <c r="G1675">
        <v>0</v>
      </c>
      <c r="H1675" t="s">
        <v>47</v>
      </c>
      <c r="I1675">
        <v>0</v>
      </c>
      <c r="J1675" t="s">
        <v>47</v>
      </c>
      <c r="K1675">
        <v>0</v>
      </c>
      <c r="L1675" t="s">
        <v>47</v>
      </c>
      <c r="M1675">
        <v>0</v>
      </c>
      <c r="N1675" t="s">
        <v>47</v>
      </c>
      <c r="O1675">
        <v>0</v>
      </c>
      <c r="P1675" t="s">
        <v>47</v>
      </c>
      <c r="Q1675">
        <v>0</v>
      </c>
      <c r="R1675" t="s">
        <v>47</v>
      </c>
      <c r="S1675">
        <v>0</v>
      </c>
      <c r="T1675" t="s">
        <v>47</v>
      </c>
    </row>
    <row r="1676" spans="1:20" x14ac:dyDescent="0.35">
      <c r="A1676" s="1" t="s">
        <v>3380</v>
      </c>
      <c r="B1676" t="s">
        <v>12</v>
      </c>
      <c r="C1676" t="s">
        <v>47</v>
      </c>
      <c r="D1676" t="s">
        <v>3306</v>
      </c>
      <c r="E1676">
        <v>1</v>
      </c>
      <c r="F1676" t="s">
        <v>45</v>
      </c>
      <c r="G1676">
        <v>0</v>
      </c>
      <c r="H1676" t="s">
        <v>47</v>
      </c>
      <c r="I1676">
        <v>0</v>
      </c>
      <c r="J1676" t="s">
        <v>47</v>
      </c>
      <c r="K1676">
        <v>0</v>
      </c>
      <c r="L1676" t="s">
        <v>47</v>
      </c>
      <c r="M1676">
        <v>1</v>
      </c>
      <c r="N1676" t="s">
        <v>55</v>
      </c>
      <c r="O1676">
        <v>1</v>
      </c>
      <c r="P1676" t="s">
        <v>45</v>
      </c>
      <c r="Q1676">
        <v>0</v>
      </c>
      <c r="R1676" t="s">
        <v>47</v>
      </c>
      <c r="S1676">
        <v>0</v>
      </c>
      <c r="T1676" t="s">
        <v>47</v>
      </c>
    </row>
    <row r="1677" spans="1:20" x14ac:dyDescent="0.35">
      <c r="A1677" s="1" t="s">
        <v>3381</v>
      </c>
      <c r="B1677" t="s">
        <v>12</v>
      </c>
      <c r="C1677" t="s">
        <v>47</v>
      </c>
      <c r="D1677" t="s">
        <v>3307</v>
      </c>
      <c r="E1677">
        <v>1</v>
      </c>
      <c r="F1677" t="s">
        <v>45</v>
      </c>
      <c r="G1677">
        <v>1</v>
      </c>
      <c r="H1677" t="s">
        <v>45</v>
      </c>
      <c r="I1677">
        <v>0</v>
      </c>
      <c r="J1677" t="s">
        <v>47</v>
      </c>
      <c r="K1677">
        <v>0</v>
      </c>
      <c r="L1677" t="s">
        <v>47</v>
      </c>
      <c r="M1677">
        <v>0</v>
      </c>
      <c r="N1677" t="s">
        <v>47</v>
      </c>
      <c r="O1677">
        <v>1</v>
      </c>
      <c r="P1677" t="s">
        <v>45</v>
      </c>
      <c r="Q1677">
        <v>1</v>
      </c>
      <c r="R1677" t="s">
        <v>45</v>
      </c>
      <c r="S1677">
        <v>0</v>
      </c>
      <c r="T1677" t="s">
        <v>47</v>
      </c>
    </row>
    <row r="1678" spans="1:20" x14ac:dyDescent="0.35">
      <c r="A1678" s="1" t="s">
        <v>3382</v>
      </c>
      <c r="B1678" t="s">
        <v>12</v>
      </c>
      <c r="C1678" t="s">
        <v>47</v>
      </c>
      <c r="D1678" t="s">
        <v>3308</v>
      </c>
      <c r="E1678">
        <v>1</v>
      </c>
      <c r="F1678" t="s">
        <v>45</v>
      </c>
      <c r="G1678">
        <v>1</v>
      </c>
      <c r="H1678" t="s">
        <v>45</v>
      </c>
      <c r="I1678">
        <v>0</v>
      </c>
      <c r="J1678" t="s">
        <v>47</v>
      </c>
      <c r="K1678">
        <v>0</v>
      </c>
      <c r="L1678" t="s">
        <v>47</v>
      </c>
      <c r="M1678">
        <v>0</v>
      </c>
      <c r="N1678" t="s">
        <v>47</v>
      </c>
      <c r="O1678">
        <v>0</v>
      </c>
      <c r="P1678" t="s">
        <v>47</v>
      </c>
      <c r="Q1678">
        <v>1</v>
      </c>
      <c r="R1678" t="s">
        <v>45</v>
      </c>
      <c r="S1678">
        <v>0</v>
      </c>
      <c r="T1678" t="s">
        <v>47</v>
      </c>
    </row>
    <row r="1679" spans="1:20" x14ac:dyDescent="0.35">
      <c r="A1679" s="1" t="s">
        <v>3383</v>
      </c>
      <c r="B1679" t="s">
        <v>12</v>
      </c>
      <c r="C1679" t="s">
        <v>47</v>
      </c>
      <c r="D1679" t="s">
        <v>3309</v>
      </c>
      <c r="E1679">
        <v>1</v>
      </c>
      <c r="F1679" t="s">
        <v>45</v>
      </c>
      <c r="G1679">
        <v>0</v>
      </c>
      <c r="H1679" t="s">
        <v>47</v>
      </c>
      <c r="I1679">
        <v>0</v>
      </c>
      <c r="J1679" t="s">
        <v>47</v>
      </c>
      <c r="K1679">
        <v>0</v>
      </c>
      <c r="L1679" t="s">
        <v>47</v>
      </c>
      <c r="M1679">
        <v>0</v>
      </c>
      <c r="N1679" t="s">
        <v>47</v>
      </c>
      <c r="O1679">
        <v>1</v>
      </c>
      <c r="P1679" t="s">
        <v>45</v>
      </c>
      <c r="Q1679">
        <v>1</v>
      </c>
      <c r="R1679" t="s">
        <v>45</v>
      </c>
      <c r="S1679">
        <v>0</v>
      </c>
      <c r="T1679" t="s">
        <v>47</v>
      </c>
    </row>
    <row r="1680" spans="1:20" x14ac:dyDescent="0.35">
      <c r="A1680" s="1" t="s">
        <v>3384</v>
      </c>
      <c r="B1680" t="s">
        <v>12</v>
      </c>
      <c r="C1680" t="s">
        <v>47</v>
      </c>
      <c r="D1680" t="s">
        <v>3310</v>
      </c>
      <c r="E1680">
        <v>1</v>
      </c>
      <c r="F1680" t="s">
        <v>45</v>
      </c>
      <c r="G1680">
        <v>0</v>
      </c>
      <c r="H1680" t="s">
        <v>47</v>
      </c>
      <c r="I1680">
        <v>0</v>
      </c>
      <c r="J1680" t="s">
        <v>47</v>
      </c>
      <c r="K1680">
        <v>0</v>
      </c>
      <c r="L1680" t="s">
        <v>47</v>
      </c>
      <c r="M1680">
        <v>0</v>
      </c>
      <c r="N1680" t="s">
        <v>47</v>
      </c>
      <c r="O1680">
        <v>0</v>
      </c>
      <c r="P1680" t="s">
        <v>47</v>
      </c>
      <c r="Q1680">
        <v>0</v>
      </c>
      <c r="R1680" t="s">
        <v>47</v>
      </c>
      <c r="S1680">
        <v>0</v>
      </c>
      <c r="T1680" t="s">
        <v>47</v>
      </c>
    </row>
    <row r="1681" spans="1:20" x14ac:dyDescent="0.35">
      <c r="A1681" s="1" t="s">
        <v>3385</v>
      </c>
      <c r="B1681" t="s">
        <v>12</v>
      </c>
      <c r="C1681" t="s">
        <v>47</v>
      </c>
      <c r="D1681" t="s">
        <v>3311</v>
      </c>
      <c r="E1681">
        <v>1</v>
      </c>
      <c r="F1681" t="s">
        <v>55</v>
      </c>
      <c r="G1681">
        <v>1</v>
      </c>
      <c r="H1681" t="s">
        <v>45</v>
      </c>
      <c r="I1681">
        <v>0</v>
      </c>
      <c r="J1681" t="s">
        <v>47</v>
      </c>
      <c r="K1681">
        <v>0</v>
      </c>
      <c r="L1681" t="s">
        <v>47</v>
      </c>
      <c r="M1681">
        <v>0</v>
      </c>
      <c r="N1681" t="s">
        <v>47</v>
      </c>
      <c r="O1681">
        <v>0</v>
      </c>
      <c r="P1681" t="s">
        <v>47</v>
      </c>
      <c r="Q1681">
        <v>1</v>
      </c>
      <c r="R1681" t="s">
        <v>45</v>
      </c>
      <c r="S1681">
        <v>0</v>
      </c>
      <c r="T1681" t="s">
        <v>47</v>
      </c>
    </row>
    <row r="1682" spans="1:20" x14ac:dyDescent="0.35">
      <c r="A1682" s="1" t="s">
        <v>3386</v>
      </c>
      <c r="B1682" t="s">
        <v>12</v>
      </c>
      <c r="C1682" t="s">
        <v>47</v>
      </c>
      <c r="D1682" t="s">
        <v>3312</v>
      </c>
      <c r="E1682">
        <v>1</v>
      </c>
      <c r="F1682" t="s">
        <v>45</v>
      </c>
      <c r="G1682">
        <v>1</v>
      </c>
      <c r="H1682" t="s">
        <v>45</v>
      </c>
      <c r="I1682">
        <v>0</v>
      </c>
      <c r="J1682" t="s">
        <v>47</v>
      </c>
      <c r="K1682">
        <v>0</v>
      </c>
      <c r="L1682" t="s">
        <v>47</v>
      </c>
      <c r="M1682">
        <v>0</v>
      </c>
      <c r="N1682" t="s">
        <v>47</v>
      </c>
      <c r="O1682">
        <v>1</v>
      </c>
      <c r="P1682" t="s">
        <v>45</v>
      </c>
      <c r="Q1682">
        <v>0</v>
      </c>
      <c r="R1682" t="s">
        <v>47</v>
      </c>
      <c r="S1682">
        <v>1</v>
      </c>
      <c r="T1682" t="s">
        <v>45</v>
      </c>
    </row>
    <row r="1683" spans="1:20" x14ac:dyDescent="0.35">
      <c r="A1683" s="1" t="s">
        <v>3387</v>
      </c>
      <c r="B1683" t="s">
        <v>12</v>
      </c>
      <c r="C1683" t="s">
        <v>47</v>
      </c>
      <c r="D1683" t="s">
        <v>3313</v>
      </c>
      <c r="E1683">
        <v>1</v>
      </c>
      <c r="F1683" t="s">
        <v>45</v>
      </c>
      <c r="G1683">
        <v>0</v>
      </c>
      <c r="H1683" t="s">
        <v>47</v>
      </c>
      <c r="I1683">
        <v>0</v>
      </c>
      <c r="J1683" t="s">
        <v>47</v>
      </c>
      <c r="K1683">
        <v>0</v>
      </c>
      <c r="L1683" t="s">
        <v>47</v>
      </c>
      <c r="M1683">
        <v>0</v>
      </c>
      <c r="N1683" t="s">
        <v>47</v>
      </c>
      <c r="O1683">
        <v>0</v>
      </c>
      <c r="P1683" t="s">
        <v>47</v>
      </c>
      <c r="Q1683">
        <v>1</v>
      </c>
      <c r="R1683" t="s">
        <v>45</v>
      </c>
      <c r="S1683">
        <v>0</v>
      </c>
      <c r="T1683" t="s">
        <v>47</v>
      </c>
    </row>
    <row r="1684" spans="1:20" x14ac:dyDescent="0.35">
      <c r="A1684" s="1" t="s">
        <v>3388</v>
      </c>
      <c r="B1684" t="s">
        <v>12</v>
      </c>
      <c r="C1684" t="s">
        <v>47</v>
      </c>
      <c r="D1684" t="s">
        <v>3314</v>
      </c>
      <c r="E1684">
        <v>1</v>
      </c>
      <c r="F1684" t="s">
        <v>45</v>
      </c>
      <c r="G1684">
        <v>1</v>
      </c>
      <c r="H1684" t="s">
        <v>45</v>
      </c>
      <c r="I1684">
        <v>0</v>
      </c>
      <c r="J1684" t="s">
        <v>47</v>
      </c>
      <c r="K1684">
        <v>0</v>
      </c>
      <c r="L1684" t="s">
        <v>47</v>
      </c>
      <c r="M1684">
        <v>0</v>
      </c>
      <c r="N1684" t="s">
        <v>47</v>
      </c>
      <c r="O1684">
        <v>0</v>
      </c>
      <c r="P1684" t="s">
        <v>47</v>
      </c>
      <c r="Q1684">
        <v>1</v>
      </c>
      <c r="R1684" t="s">
        <v>45</v>
      </c>
      <c r="S1684">
        <v>0</v>
      </c>
      <c r="T1684" t="s">
        <v>47</v>
      </c>
    </row>
    <row r="1685" spans="1:20" x14ac:dyDescent="0.35">
      <c r="A1685" s="1" t="s">
        <v>3389</v>
      </c>
      <c r="B1685" t="s">
        <v>12</v>
      </c>
      <c r="C1685" t="s">
        <v>47</v>
      </c>
      <c r="D1685" t="s">
        <v>3315</v>
      </c>
      <c r="E1685">
        <v>1</v>
      </c>
      <c r="F1685" t="s">
        <v>45</v>
      </c>
      <c r="G1685">
        <v>0</v>
      </c>
      <c r="H1685" t="s">
        <v>47</v>
      </c>
      <c r="I1685">
        <v>0</v>
      </c>
      <c r="J1685" t="s">
        <v>47</v>
      </c>
      <c r="K1685">
        <v>0</v>
      </c>
      <c r="L1685" t="s">
        <v>47</v>
      </c>
      <c r="M1685">
        <v>0</v>
      </c>
      <c r="N1685" t="s">
        <v>47</v>
      </c>
      <c r="O1685">
        <v>0</v>
      </c>
      <c r="P1685" t="s">
        <v>47</v>
      </c>
      <c r="Q1685">
        <v>1</v>
      </c>
      <c r="R1685" t="s">
        <v>45</v>
      </c>
      <c r="S1685">
        <v>1</v>
      </c>
      <c r="T1685" t="s">
        <v>45</v>
      </c>
    </row>
    <row r="1686" spans="1:20" x14ac:dyDescent="0.35">
      <c r="A1686" s="1" t="s">
        <v>3390</v>
      </c>
      <c r="B1686" t="s">
        <v>12</v>
      </c>
      <c r="C1686" t="s">
        <v>47</v>
      </c>
      <c r="D1686" t="s">
        <v>3316</v>
      </c>
      <c r="E1686">
        <v>1</v>
      </c>
      <c r="F1686" t="s">
        <v>45</v>
      </c>
      <c r="G1686">
        <v>0</v>
      </c>
      <c r="H1686" t="s">
        <v>47</v>
      </c>
      <c r="I1686">
        <v>0</v>
      </c>
      <c r="J1686" t="s">
        <v>47</v>
      </c>
      <c r="K1686">
        <v>0</v>
      </c>
      <c r="L1686" t="s">
        <v>47</v>
      </c>
      <c r="M1686">
        <v>0</v>
      </c>
      <c r="N1686" t="s">
        <v>47</v>
      </c>
      <c r="O1686">
        <v>0</v>
      </c>
      <c r="P1686" t="s">
        <v>47</v>
      </c>
      <c r="Q1686">
        <v>1</v>
      </c>
      <c r="R1686" t="s">
        <v>45</v>
      </c>
      <c r="S1686">
        <v>1</v>
      </c>
      <c r="T1686" t="s">
        <v>45</v>
      </c>
    </row>
    <row r="1687" spans="1:20" x14ac:dyDescent="0.35">
      <c r="A1687" s="1" t="s">
        <v>3391</v>
      </c>
      <c r="B1687" t="s">
        <v>12</v>
      </c>
      <c r="C1687" t="s">
        <v>47</v>
      </c>
      <c r="D1687" t="s">
        <v>3317</v>
      </c>
      <c r="E1687">
        <v>1</v>
      </c>
      <c r="F1687" t="s">
        <v>45</v>
      </c>
      <c r="G1687">
        <v>1</v>
      </c>
      <c r="H1687" t="s">
        <v>45</v>
      </c>
      <c r="I1687">
        <v>0</v>
      </c>
      <c r="J1687" t="s">
        <v>47</v>
      </c>
      <c r="K1687">
        <v>0</v>
      </c>
      <c r="L1687" t="s">
        <v>47</v>
      </c>
      <c r="M1687">
        <v>0</v>
      </c>
      <c r="N1687" t="s">
        <v>47</v>
      </c>
      <c r="O1687">
        <v>1</v>
      </c>
      <c r="P1687" t="s">
        <v>45</v>
      </c>
      <c r="Q1687">
        <v>1</v>
      </c>
      <c r="R1687" t="s">
        <v>45</v>
      </c>
      <c r="S1687">
        <v>0</v>
      </c>
      <c r="T1687" t="s">
        <v>47</v>
      </c>
    </row>
    <row r="1688" spans="1:20" x14ac:dyDescent="0.35">
      <c r="A1688" s="1" t="s">
        <v>3392</v>
      </c>
      <c r="B1688" t="s">
        <v>12</v>
      </c>
      <c r="C1688" t="s">
        <v>47</v>
      </c>
      <c r="D1688" t="s">
        <v>3318</v>
      </c>
      <c r="E1688">
        <v>0</v>
      </c>
      <c r="F1688" t="s">
        <v>47</v>
      </c>
      <c r="G1688">
        <v>0</v>
      </c>
      <c r="H1688" t="s">
        <v>47</v>
      </c>
      <c r="I1688">
        <v>0</v>
      </c>
      <c r="J1688" t="s">
        <v>47</v>
      </c>
      <c r="K1688">
        <v>0</v>
      </c>
      <c r="L1688" t="s">
        <v>47</v>
      </c>
      <c r="M1688">
        <v>0</v>
      </c>
      <c r="N1688" t="s">
        <v>47</v>
      </c>
      <c r="O1688">
        <v>0</v>
      </c>
      <c r="P1688" t="s">
        <v>47</v>
      </c>
      <c r="Q1688">
        <v>1</v>
      </c>
      <c r="R1688" t="s">
        <v>45</v>
      </c>
      <c r="S1688">
        <v>0</v>
      </c>
      <c r="T1688" t="s">
        <v>47</v>
      </c>
    </row>
    <row r="1689" spans="1:20" x14ac:dyDescent="0.35">
      <c r="A1689" s="1" t="s">
        <v>3393</v>
      </c>
      <c r="B1689" t="s">
        <v>12</v>
      </c>
      <c r="C1689" t="s">
        <v>47</v>
      </c>
      <c r="D1689" t="s">
        <v>3319</v>
      </c>
      <c r="E1689">
        <v>1</v>
      </c>
      <c r="F1689" t="s">
        <v>48</v>
      </c>
      <c r="G1689">
        <v>0</v>
      </c>
      <c r="H1689" t="s">
        <v>47</v>
      </c>
      <c r="I1689">
        <v>1</v>
      </c>
      <c r="J1689" t="s">
        <v>48</v>
      </c>
      <c r="K1689">
        <v>0</v>
      </c>
      <c r="L1689" t="s">
        <v>47</v>
      </c>
      <c r="M1689">
        <v>0</v>
      </c>
      <c r="N1689" t="s">
        <v>47</v>
      </c>
      <c r="O1689">
        <v>0</v>
      </c>
      <c r="P1689" t="s">
        <v>47</v>
      </c>
      <c r="Q1689">
        <v>1</v>
      </c>
      <c r="R1689" t="s">
        <v>45</v>
      </c>
      <c r="S1689">
        <v>1</v>
      </c>
      <c r="T1689" t="s">
        <v>45</v>
      </c>
    </row>
    <row r="1690" spans="1:20" x14ac:dyDescent="0.35">
      <c r="A1690" s="1" t="s">
        <v>3394</v>
      </c>
      <c r="B1690" t="s">
        <v>12</v>
      </c>
      <c r="C1690" t="s">
        <v>47</v>
      </c>
      <c r="D1690" t="s">
        <v>3320</v>
      </c>
      <c r="E1690">
        <v>1</v>
      </c>
      <c r="F1690" t="s">
        <v>45</v>
      </c>
      <c r="G1690">
        <v>1</v>
      </c>
      <c r="H1690" t="s">
        <v>45</v>
      </c>
      <c r="I1690">
        <v>0</v>
      </c>
      <c r="J1690" t="s">
        <v>47</v>
      </c>
      <c r="K1690">
        <v>1</v>
      </c>
      <c r="L1690" t="s">
        <v>45</v>
      </c>
      <c r="M1690">
        <v>0</v>
      </c>
      <c r="N1690" t="s">
        <v>47</v>
      </c>
      <c r="O1690">
        <v>0</v>
      </c>
      <c r="P1690" t="s">
        <v>47</v>
      </c>
      <c r="Q1690">
        <v>1</v>
      </c>
      <c r="R1690" t="s">
        <v>45</v>
      </c>
      <c r="S1690">
        <v>0</v>
      </c>
      <c r="T1690" t="s">
        <v>47</v>
      </c>
    </row>
    <row r="1691" spans="1:20" x14ac:dyDescent="0.35">
      <c r="A1691" s="1" t="s">
        <v>3395</v>
      </c>
      <c r="B1691" t="s">
        <v>12</v>
      </c>
      <c r="C1691" t="s">
        <v>47</v>
      </c>
      <c r="D1691" t="s">
        <v>3321</v>
      </c>
      <c r="E1691">
        <v>1</v>
      </c>
      <c r="F1691" t="s">
        <v>48</v>
      </c>
      <c r="G1691">
        <v>0</v>
      </c>
      <c r="H1691" t="s">
        <v>47</v>
      </c>
      <c r="I1691">
        <v>0</v>
      </c>
      <c r="J1691" t="s">
        <v>47</v>
      </c>
      <c r="K1691">
        <v>0</v>
      </c>
      <c r="L1691" t="s">
        <v>47</v>
      </c>
      <c r="M1691">
        <v>0</v>
      </c>
      <c r="N1691" t="s">
        <v>47</v>
      </c>
      <c r="O1691">
        <v>0</v>
      </c>
      <c r="P1691" t="s">
        <v>47</v>
      </c>
      <c r="Q1691">
        <v>1</v>
      </c>
      <c r="R1691" t="s">
        <v>45</v>
      </c>
      <c r="S1691">
        <v>0</v>
      </c>
      <c r="T1691" t="s">
        <v>47</v>
      </c>
    </row>
    <row r="1692" spans="1:20" x14ac:dyDescent="0.35">
      <c r="A1692" s="1" t="s">
        <v>3396</v>
      </c>
      <c r="B1692" t="s">
        <v>12</v>
      </c>
      <c r="C1692" t="s">
        <v>47</v>
      </c>
      <c r="D1692" t="s">
        <v>3322</v>
      </c>
      <c r="E1692">
        <v>0</v>
      </c>
      <c r="F1692" t="s">
        <v>47</v>
      </c>
      <c r="G1692">
        <v>0</v>
      </c>
      <c r="H1692" t="s">
        <v>47</v>
      </c>
      <c r="I1692">
        <v>0</v>
      </c>
      <c r="J1692" t="s">
        <v>47</v>
      </c>
      <c r="K1692">
        <v>0</v>
      </c>
      <c r="L1692" t="s">
        <v>47</v>
      </c>
      <c r="M1692">
        <v>0</v>
      </c>
      <c r="N1692" t="s">
        <v>47</v>
      </c>
      <c r="O1692">
        <v>0</v>
      </c>
      <c r="P1692" t="s">
        <v>47</v>
      </c>
      <c r="Q1692">
        <v>1</v>
      </c>
      <c r="R1692" t="s">
        <v>45</v>
      </c>
      <c r="S1692">
        <v>0</v>
      </c>
      <c r="T1692" t="s">
        <v>47</v>
      </c>
    </row>
    <row r="1693" spans="1:20" x14ac:dyDescent="0.35">
      <c r="A1693" s="1" t="s">
        <v>3397</v>
      </c>
      <c r="B1693" t="s">
        <v>12</v>
      </c>
      <c r="C1693" t="s">
        <v>47</v>
      </c>
      <c r="D1693" t="s">
        <v>3323</v>
      </c>
      <c r="E1693">
        <v>1</v>
      </c>
      <c r="F1693" t="s">
        <v>45</v>
      </c>
      <c r="G1693">
        <v>1</v>
      </c>
      <c r="H1693" t="s">
        <v>45</v>
      </c>
      <c r="I1693">
        <v>0</v>
      </c>
      <c r="J1693" t="s">
        <v>47</v>
      </c>
      <c r="K1693">
        <v>0</v>
      </c>
      <c r="L1693" t="s">
        <v>47</v>
      </c>
      <c r="M1693">
        <v>0</v>
      </c>
      <c r="N1693" t="s">
        <v>47</v>
      </c>
      <c r="O1693">
        <v>0</v>
      </c>
      <c r="P1693" t="s">
        <v>47</v>
      </c>
      <c r="Q1693">
        <v>1</v>
      </c>
      <c r="R1693" t="s">
        <v>45</v>
      </c>
      <c r="S1693">
        <v>0</v>
      </c>
      <c r="T1693" t="s">
        <v>47</v>
      </c>
    </row>
    <row r="1694" spans="1:20" x14ac:dyDescent="0.35">
      <c r="A1694" s="1" t="s">
        <v>3398</v>
      </c>
      <c r="B1694" t="s">
        <v>12</v>
      </c>
      <c r="C1694" t="s">
        <v>47</v>
      </c>
      <c r="D1694" t="s">
        <v>3324</v>
      </c>
      <c r="E1694">
        <v>1</v>
      </c>
      <c r="F1694" t="s">
        <v>45</v>
      </c>
      <c r="G1694">
        <v>0</v>
      </c>
      <c r="H1694" t="s">
        <v>47</v>
      </c>
      <c r="I1694">
        <v>0</v>
      </c>
      <c r="J1694" t="s">
        <v>47</v>
      </c>
      <c r="K1694">
        <v>0</v>
      </c>
      <c r="L1694" t="s">
        <v>47</v>
      </c>
      <c r="M1694">
        <v>0</v>
      </c>
      <c r="N1694" t="s">
        <v>47</v>
      </c>
      <c r="O1694">
        <v>0</v>
      </c>
      <c r="P1694" t="s">
        <v>47</v>
      </c>
      <c r="Q1694">
        <v>1</v>
      </c>
      <c r="R1694" t="s">
        <v>45</v>
      </c>
      <c r="S1694">
        <v>0</v>
      </c>
      <c r="T1694" t="s">
        <v>47</v>
      </c>
    </row>
    <row r="1695" spans="1:20" x14ac:dyDescent="0.35">
      <c r="A1695" s="1" t="s">
        <v>3399</v>
      </c>
      <c r="B1695" t="s">
        <v>12</v>
      </c>
      <c r="C1695" t="s">
        <v>47</v>
      </c>
      <c r="D1695" t="s">
        <v>3325</v>
      </c>
      <c r="E1695">
        <v>0</v>
      </c>
      <c r="F1695" t="s">
        <v>47</v>
      </c>
      <c r="G1695">
        <v>0</v>
      </c>
      <c r="H1695" t="s">
        <v>47</v>
      </c>
      <c r="I1695">
        <v>0</v>
      </c>
      <c r="J1695" t="s">
        <v>47</v>
      </c>
      <c r="K1695">
        <v>0</v>
      </c>
      <c r="L1695" t="s">
        <v>47</v>
      </c>
      <c r="M1695">
        <v>0</v>
      </c>
      <c r="N1695" t="s">
        <v>47</v>
      </c>
      <c r="O1695">
        <v>0</v>
      </c>
      <c r="P1695" t="s">
        <v>47</v>
      </c>
      <c r="Q1695">
        <v>1</v>
      </c>
      <c r="R1695" t="s">
        <v>45</v>
      </c>
      <c r="S1695">
        <v>1</v>
      </c>
      <c r="T1695" t="s">
        <v>48</v>
      </c>
    </row>
    <row r="1696" spans="1:20" x14ac:dyDescent="0.35">
      <c r="A1696" s="1" t="s">
        <v>3400</v>
      </c>
      <c r="B1696" t="s">
        <v>12</v>
      </c>
      <c r="C1696" t="s">
        <v>47</v>
      </c>
      <c r="D1696" t="s">
        <v>3326</v>
      </c>
      <c r="E1696">
        <v>1</v>
      </c>
      <c r="F1696" t="s">
        <v>45</v>
      </c>
      <c r="G1696">
        <v>1</v>
      </c>
      <c r="H1696" t="s">
        <v>45</v>
      </c>
      <c r="I1696">
        <v>0</v>
      </c>
      <c r="J1696" t="s">
        <v>47</v>
      </c>
      <c r="K1696">
        <v>0</v>
      </c>
      <c r="L1696" t="s">
        <v>47</v>
      </c>
      <c r="M1696">
        <v>0</v>
      </c>
      <c r="N1696" t="s">
        <v>47</v>
      </c>
      <c r="O1696">
        <v>0</v>
      </c>
      <c r="P1696" t="s">
        <v>47</v>
      </c>
      <c r="Q1696">
        <v>1</v>
      </c>
      <c r="R1696" t="s">
        <v>45</v>
      </c>
      <c r="S1696">
        <v>0</v>
      </c>
      <c r="T1696" t="s">
        <v>47</v>
      </c>
    </row>
    <row r="1697" spans="1:20" x14ac:dyDescent="0.35">
      <c r="A1697" s="1" t="s">
        <v>3401</v>
      </c>
      <c r="B1697" t="s">
        <v>12</v>
      </c>
      <c r="C1697" t="s">
        <v>47</v>
      </c>
      <c r="D1697" t="s">
        <v>3327</v>
      </c>
      <c r="E1697">
        <v>1</v>
      </c>
      <c r="F1697" t="s">
        <v>45</v>
      </c>
      <c r="G1697">
        <v>1</v>
      </c>
      <c r="H1697" t="s">
        <v>45</v>
      </c>
      <c r="I1697">
        <v>0</v>
      </c>
      <c r="J1697" t="s">
        <v>47</v>
      </c>
      <c r="K1697">
        <v>0</v>
      </c>
      <c r="L1697" t="s">
        <v>47</v>
      </c>
      <c r="M1697">
        <v>0</v>
      </c>
      <c r="N1697" t="s">
        <v>47</v>
      </c>
      <c r="O1697">
        <v>0</v>
      </c>
      <c r="P1697" t="s">
        <v>47</v>
      </c>
      <c r="Q1697">
        <v>1</v>
      </c>
      <c r="R1697" t="s">
        <v>45</v>
      </c>
      <c r="S1697">
        <v>0</v>
      </c>
      <c r="T1697" t="s">
        <v>47</v>
      </c>
    </row>
    <row r="1698" spans="1:20" x14ac:dyDescent="0.35">
      <c r="A1698" s="1" t="s">
        <v>3402</v>
      </c>
      <c r="B1698" t="s">
        <v>12</v>
      </c>
      <c r="C1698" t="s">
        <v>47</v>
      </c>
      <c r="D1698" t="s">
        <v>3328</v>
      </c>
      <c r="E1698">
        <v>0</v>
      </c>
      <c r="F1698" t="s">
        <v>47</v>
      </c>
      <c r="G1698">
        <v>0</v>
      </c>
      <c r="H1698" t="s">
        <v>47</v>
      </c>
      <c r="I1698">
        <v>0</v>
      </c>
      <c r="J1698" t="s">
        <v>47</v>
      </c>
      <c r="K1698">
        <v>0</v>
      </c>
      <c r="L1698" t="s">
        <v>47</v>
      </c>
      <c r="M1698">
        <v>0</v>
      </c>
      <c r="N1698" t="s">
        <v>47</v>
      </c>
      <c r="O1698">
        <v>0</v>
      </c>
      <c r="P1698" t="s">
        <v>47</v>
      </c>
      <c r="Q1698">
        <v>1</v>
      </c>
      <c r="R1698" t="s">
        <v>45</v>
      </c>
      <c r="S1698">
        <v>0</v>
      </c>
      <c r="T1698" t="s">
        <v>47</v>
      </c>
    </row>
    <row r="1699" spans="1:20" x14ac:dyDescent="0.35">
      <c r="A1699" s="1" t="s">
        <v>3403</v>
      </c>
      <c r="B1699" t="s">
        <v>12</v>
      </c>
      <c r="C1699" t="s">
        <v>47</v>
      </c>
      <c r="D1699" t="s">
        <v>3329</v>
      </c>
      <c r="E1699">
        <v>1</v>
      </c>
      <c r="F1699" t="s">
        <v>45</v>
      </c>
      <c r="G1699">
        <v>1</v>
      </c>
      <c r="H1699" t="s">
        <v>55</v>
      </c>
      <c r="I1699">
        <v>0</v>
      </c>
      <c r="J1699" t="s">
        <v>47</v>
      </c>
      <c r="K1699">
        <v>0</v>
      </c>
      <c r="L1699" t="s">
        <v>47</v>
      </c>
      <c r="M1699">
        <v>0</v>
      </c>
      <c r="N1699" t="s">
        <v>47</v>
      </c>
      <c r="O1699">
        <v>0</v>
      </c>
      <c r="P1699" t="s">
        <v>47</v>
      </c>
      <c r="Q1699">
        <v>0</v>
      </c>
      <c r="R1699" t="s">
        <v>47</v>
      </c>
      <c r="S1699">
        <v>0</v>
      </c>
      <c r="T1699" t="s">
        <v>47</v>
      </c>
    </row>
    <row r="1700" spans="1:20" x14ac:dyDescent="0.35">
      <c r="A1700" s="1" t="s">
        <v>3404</v>
      </c>
      <c r="B1700" t="s">
        <v>12</v>
      </c>
      <c r="C1700" t="s">
        <v>47</v>
      </c>
      <c r="D1700" t="s">
        <v>3330</v>
      </c>
      <c r="E1700">
        <v>1</v>
      </c>
      <c r="F1700" t="s">
        <v>45</v>
      </c>
      <c r="G1700">
        <v>1</v>
      </c>
      <c r="H1700" t="s">
        <v>45</v>
      </c>
      <c r="I1700">
        <v>0</v>
      </c>
      <c r="J1700" t="s">
        <v>47</v>
      </c>
      <c r="K1700">
        <v>0</v>
      </c>
      <c r="L1700" t="s">
        <v>47</v>
      </c>
      <c r="M1700">
        <v>0</v>
      </c>
      <c r="N1700" t="s">
        <v>47</v>
      </c>
      <c r="O1700">
        <v>1</v>
      </c>
      <c r="P1700" t="s">
        <v>45</v>
      </c>
      <c r="Q1700">
        <v>0</v>
      </c>
      <c r="R1700" t="s">
        <v>47</v>
      </c>
      <c r="S1700">
        <v>0</v>
      </c>
      <c r="T1700" t="s">
        <v>47</v>
      </c>
    </row>
    <row r="1701" spans="1:20" x14ac:dyDescent="0.35">
      <c r="A1701" s="1" t="s">
        <v>3405</v>
      </c>
      <c r="B1701" t="s">
        <v>12</v>
      </c>
      <c r="C1701" t="s">
        <v>47</v>
      </c>
      <c r="D1701" t="s">
        <v>3331</v>
      </c>
      <c r="E1701">
        <v>1</v>
      </c>
      <c r="F1701" t="s">
        <v>45</v>
      </c>
      <c r="G1701">
        <v>0</v>
      </c>
      <c r="H1701" t="s">
        <v>47</v>
      </c>
      <c r="I1701">
        <v>0</v>
      </c>
      <c r="J1701" t="s">
        <v>47</v>
      </c>
      <c r="K1701">
        <v>0</v>
      </c>
      <c r="L1701" t="s">
        <v>47</v>
      </c>
      <c r="M1701">
        <v>0</v>
      </c>
      <c r="N1701" t="s">
        <v>47</v>
      </c>
      <c r="O1701">
        <v>0</v>
      </c>
      <c r="P1701" t="s">
        <v>47</v>
      </c>
      <c r="Q1701">
        <v>1</v>
      </c>
      <c r="R1701" t="s">
        <v>45</v>
      </c>
      <c r="S1701">
        <v>0</v>
      </c>
      <c r="T1701" t="s">
        <v>47</v>
      </c>
    </row>
    <row r="1702" spans="1:20" x14ac:dyDescent="0.35">
      <c r="A1702" s="1" t="s">
        <v>3430</v>
      </c>
      <c r="B1702" t="s">
        <v>14</v>
      </c>
      <c r="C1702" t="s">
        <v>47</v>
      </c>
      <c r="D1702" t="s">
        <v>3406</v>
      </c>
      <c r="E1702">
        <v>0</v>
      </c>
      <c r="F1702" t="s">
        <v>47</v>
      </c>
      <c r="G1702">
        <v>0</v>
      </c>
      <c r="H1702" t="s">
        <v>47</v>
      </c>
      <c r="I1702">
        <v>0</v>
      </c>
      <c r="J1702" t="s">
        <v>47</v>
      </c>
      <c r="K1702">
        <v>1</v>
      </c>
      <c r="L1702" t="s">
        <v>45</v>
      </c>
      <c r="M1702">
        <v>0</v>
      </c>
      <c r="N1702" t="s">
        <v>47</v>
      </c>
      <c r="O1702">
        <v>0</v>
      </c>
      <c r="P1702" t="s">
        <v>47</v>
      </c>
      <c r="Q1702">
        <v>0</v>
      </c>
      <c r="R1702" t="s">
        <v>47</v>
      </c>
      <c r="S1702">
        <v>1</v>
      </c>
      <c r="T1702" t="s">
        <v>45</v>
      </c>
    </row>
    <row r="1703" spans="1:20" x14ac:dyDescent="0.35">
      <c r="A1703" s="1" t="s">
        <v>3431</v>
      </c>
      <c r="B1703" t="s">
        <v>14</v>
      </c>
      <c r="C1703" t="s">
        <v>47</v>
      </c>
      <c r="D1703" t="s">
        <v>3407</v>
      </c>
      <c r="E1703">
        <v>0</v>
      </c>
      <c r="F1703" t="s">
        <v>47</v>
      </c>
      <c r="G1703">
        <v>0</v>
      </c>
      <c r="H1703" t="s">
        <v>47</v>
      </c>
      <c r="I1703">
        <v>1</v>
      </c>
      <c r="J1703" t="s">
        <v>48</v>
      </c>
      <c r="K1703">
        <v>0</v>
      </c>
      <c r="L1703" t="s">
        <v>47</v>
      </c>
      <c r="M1703">
        <v>0</v>
      </c>
      <c r="N1703" t="s">
        <v>47</v>
      </c>
      <c r="O1703">
        <v>0</v>
      </c>
      <c r="P1703" t="s">
        <v>47</v>
      </c>
      <c r="Q1703">
        <v>0</v>
      </c>
      <c r="R1703" t="s">
        <v>47</v>
      </c>
      <c r="S1703">
        <v>1</v>
      </c>
      <c r="T1703" t="s">
        <v>48</v>
      </c>
    </row>
    <row r="1704" spans="1:20" x14ac:dyDescent="0.35">
      <c r="A1704" s="1" t="s">
        <v>3432</v>
      </c>
      <c r="B1704" t="s">
        <v>14</v>
      </c>
      <c r="C1704" t="s">
        <v>47</v>
      </c>
      <c r="D1704" t="s">
        <v>3408</v>
      </c>
      <c r="E1704">
        <v>0</v>
      </c>
      <c r="F1704" t="s">
        <v>47</v>
      </c>
      <c r="G1704">
        <v>0</v>
      </c>
      <c r="H1704" t="s">
        <v>47</v>
      </c>
      <c r="I1704">
        <v>0</v>
      </c>
      <c r="J1704" t="s">
        <v>47</v>
      </c>
      <c r="K1704">
        <v>1</v>
      </c>
      <c r="L1704" t="s">
        <v>48</v>
      </c>
      <c r="M1704">
        <v>0</v>
      </c>
      <c r="N1704" t="s">
        <v>47</v>
      </c>
      <c r="O1704">
        <v>0</v>
      </c>
      <c r="P1704" t="s">
        <v>47</v>
      </c>
      <c r="Q1704">
        <v>0</v>
      </c>
      <c r="R1704" t="s">
        <v>47</v>
      </c>
      <c r="S1704">
        <v>1</v>
      </c>
      <c r="T1704" t="s">
        <v>45</v>
      </c>
    </row>
    <row r="1705" spans="1:20" x14ac:dyDescent="0.35">
      <c r="A1705" s="1" t="s">
        <v>3433</v>
      </c>
      <c r="B1705" t="s">
        <v>14</v>
      </c>
      <c r="C1705" t="s">
        <v>47</v>
      </c>
      <c r="D1705" t="s">
        <v>3409</v>
      </c>
      <c r="E1705">
        <v>0</v>
      </c>
      <c r="F1705" t="s">
        <v>47</v>
      </c>
      <c r="G1705">
        <v>0</v>
      </c>
      <c r="H1705" t="s">
        <v>47</v>
      </c>
      <c r="I1705">
        <v>1</v>
      </c>
      <c r="J1705" t="s">
        <v>45</v>
      </c>
      <c r="K1705">
        <v>0</v>
      </c>
      <c r="L1705" t="s">
        <v>47</v>
      </c>
      <c r="M1705">
        <v>0</v>
      </c>
      <c r="N1705" t="s">
        <v>47</v>
      </c>
      <c r="O1705">
        <v>0</v>
      </c>
      <c r="P1705" t="s">
        <v>47</v>
      </c>
      <c r="Q1705">
        <v>0</v>
      </c>
      <c r="R1705" t="s">
        <v>47</v>
      </c>
      <c r="S1705">
        <v>0</v>
      </c>
      <c r="T1705" t="s">
        <v>47</v>
      </c>
    </row>
    <row r="1706" spans="1:20" x14ac:dyDescent="0.35">
      <c r="A1706" s="1" t="s">
        <v>3434</v>
      </c>
      <c r="B1706" t="s">
        <v>14</v>
      </c>
      <c r="C1706" t="s">
        <v>47</v>
      </c>
      <c r="D1706" t="s">
        <v>3410</v>
      </c>
      <c r="E1706">
        <v>0</v>
      </c>
      <c r="F1706" t="s">
        <v>47</v>
      </c>
      <c r="G1706">
        <v>0</v>
      </c>
      <c r="H1706" t="s">
        <v>47</v>
      </c>
      <c r="I1706">
        <v>0</v>
      </c>
      <c r="J1706" t="s">
        <v>47</v>
      </c>
      <c r="K1706">
        <v>1</v>
      </c>
      <c r="L1706" t="s">
        <v>48</v>
      </c>
      <c r="M1706">
        <v>0</v>
      </c>
      <c r="N1706" t="s">
        <v>47</v>
      </c>
      <c r="O1706">
        <v>0</v>
      </c>
      <c r="P1706" t="s">
        <v>47</v>
      </c>
      <c r="Q1706">
        <v>0</v>
      </c>
      <c r="R1706" t="s">
        <v>47</v>
      </c>
      <c r="S1706">
        <v>1</v>
      </c>
      <c r="T1706" t="s">
        <v>45</v>
      </c>
    </row>
    <row r="1707" spans="1:20" x14ac:dyDescent="0.35">
      <c r="A1707" s="1" t="s">
        <v>3435</v>
      </c>
      <c r="B1707" t="s">
        <v>14</v>
      </c>
      <c r="C1707" t="s">
        <v>47</v>
      </c>
      <c r="D1707" t="s">
        <v>3411</v>
      </c>
      <c r="E1707">
        <v>0</v>
      </c>
      <c r="F1707" t="s">
        <v>47</v>
      </c>
      <c r="G1707">
        <v>0</v>
      </c>
      <c r="H1707" t="s">
        <v>47</v>
      </c>
      <c r="I1707">
        <v>1</v>
      </c>
      <c r="J1707" t="s">
        <v>45</v>
      </c>
      <c r="K1707">
        <v>0</v>
      </c>
      <c r="L1707" t="s">
        <v>47</v>
      </c>
      <c r="M1707">
        <v>0</v>
      </c>
      <c r="N1707" t="s">
        <v>47</v>
      </c>
      <c r="O1707">
        <v>0</v>
      </c>
      <c r="P1707" t="s">
        <v>47</v>
      </c>
      <c r="Q1707">
        <v>0</v>
      </c>
      <c r="R1707" t="s">
        <v>47</v>
      </c>
      <c r="S1707">
        <v>0</v>
      </c>
      <c r="T1707" t="s">
        <v>47</v>
      </c>
    </row>
    <row r="1708" spans="1:20" x14ac:dyDescent="0.35">
      <c r="A1708" s="1" t="s">
        <v>3436</v>
      </c>
      <c r="B1708" t="s">
        <v>14</v>
      </c>
      <c r="C1708" t="s">
        <v>47</v>
      </c>
      <c r="D1708" t="s">
        <v>3412</v>
      </c>
      <c r="E1708">
        <v>0</v>
      </c>
      <c r="F1708" t="s">
        <v>47</v>
      </c>
      <c r="G1708">
        <v>0</v>
      </c>
      <c r="H1708" t="s">
        <v>47</v>
      </c>
      <c r="I1708">
        <v>0</v>
      </c>
      <c r="J1708" t="s">
        <v>47</v>
      </c>
      <c r="K1708">
        <v>1</v>
      </c>
      <c r="L1708" t="s">
        <v>45</v>
      </c>
      <c r="M1708">
        <v>0</v>
      </c>
      <c r="N1708" t="s">
        <v>47</v>
      </c>
      <c r="O1708">
        <v>0</v>
      </c>
      <c r="P1708" t="s">
        <v>47</v>
      </c>
      <c r="Q1708">
        <v>1</v>
      </c>
      <c r="R1708" t="s">
        <v>45</v>
      </c>
      <c r="S1708">
        <v>1</v>
      </c>
      <c r="T1708" t="s">
        <v>48</v>
      </c>
    </row>
    <row r="1709" spans="1:20" x14ac:dyDescent="0.35">
      <c r="A1709" s="1" t="s">
        <v>3437</v>
      </c>
      <c r="B1709" t="s">
        <v>14</v>
      </c>
      <c r="C1709" t="s">
        <v>47</v>
      </c>
      <c r="D1709" t="s">
        <v>3413</v>
      </c>
      <c r="E1709">
        <v>0</v>
      </c>
      <c r="F1709" t="s">
        <v>47</v>
      </c>
      <c r="G1709">
        <v>0</v>
      </c>
      <c r="H1709" t="s">
        <v>47</v>
      </c>
      <c r="I1709">
        <v>1</v>
      </c>
      <c r="J1709" t="s">
        <v>48</v>
      </c>
      <c r="K1709">
        <v>0</v>
      </c>
      <c r="L1709" t="s">
        <v>47</v>
      </c>
      <c r="M1709">
        <v>0</v>
      </c>
      <c r="N1709" t="s">
        <v>47</v>
      </c>
      <c r="O1709">
        <v>0</v>
      </c>
      <c r="P1709" t="s">
        <v>47</v>
      </c>
      <c r="Q1709">
        <v>0</v>
      </c>
      <c r="R1709" t="s">
        <v>47</v>
      </c>
      <c r="S1709">
        <v>0</v>
      </c>
      <c r="T1709" t="s">
        <v>47</v>
      </c>
    </row>
    <row r="1710" spans="1:20" x14ac:dyDescent="0.35">
      <c r="A1710" s="1" t="s">
        <v>3438</v>
      </c>
      <c r="B1710" t="s">
        <v>14</v>
      </c>
      <c r="C1710" t="s">
        <v>47</v>
      </c>
      <c r="D1710" t="s">
        <v>3414</v>
      </c>
      <c r="E1710">
        <v>0</v>
      </c>
      <c r="F1710" t="s">
        <v>47</v>
      </c>
      <c r="G1710">
        <v>0</v>
      </c>
      <c r="H1710" t="s">
        <v>47</v>
      </c>
      <c r="I1710">
        <v>0</v>
      </c>
      <c r="J1710" t="s">
        <v>47</v>
      </c>
      <c r="K1710">
        <v>1</v>
      </c>
      <c r="L1710" t="s">
        <v>45</v>
      </c>
      <c r="M1710">
        <v>0</v>
      </c>
      <c r="N1710" t="s">
        <v>47</v>
      </c>
      <c r="O1710">
        <v>0</v>
      </c>
      <c r="P1710" t="s">
        <v>47</v>
      </c>
      <c r="Q1710">
        <v>0</v>
      </c>
      <c r="R1710" t="s">
        <v>47</v>
      </c>
      <c r="S1710">
        <v>0</v>
      </c>
      <c r="T1710" t="s">
        <v>47</v>
      </c>
    </row>
    <row r="1711" spans="1:20" x14ac:dyDescent="0.35">
      <c r="A1711" s="1" t="s">
        <v>3439</v>
      </c>
      <c r="B1711" t="s">
        <v>14</v>
      </c>
      <c r="C1711" t="s">
        <v>47</v>
      </c>
      <c r="D1711" t="s">
        <v>3415</v>
      </c>
      <c r="E1711">
        <v>0</v>
      </c>
      <c r="F1711" t="s">
        <v>47</v>
      </c>
      <c r="G1711">
        <v>0</v>
      </c>
      <c r="H1711" t="s">
        <v>47</v>
      </c>
      <c r="I1711">
        <v>1</v>
      </c>
      <c r="J1711" t="s">
        <v>45</v>
      </c>
      <c r="K1711">
        <v>1</v>
      </c>
      <c r="L1711" t="s">
        <v>48</v>
      </c>
      <c r="M1711">
        <v>0</v>
      </c>
      <c r="N1711" t="s">
        <v>47</v>
      </c>
      <c r="O1711">
        <v>0</v>
      </c>
      <c r="P1711" t="s">
        <v>47</v>
      </c>
      <c r="Q1711">
        <v>0</v>
      </c>
      <c r="R1711" t="s">
        <v>47</v>
      </c>
      <c r="S1711">
        <v>0</v>
      </c>
      <c r="T1711" t="s">
        <v>47</v>
      </c>
    </row>
    <row r="1712" spans="1:20" x14ac:dyDescent="0.35">
      <c r="A1712" s="1" t="s">
        <v>3440</v>
      </c>
      <c r="B1712" t="s">
        <v>14</v>
      </c>
      <c r="C1712" t="s">
        <v>47</v>
      </c>
      <c r="D1712" t="s">
        <v>3416</v>
      </c>
      <c r="E1712">
        <v>0</v>
      </c>
      <c r="F1712" t="s">
        <v>47</v>
      </c>
      <c r="G1712">
        <v>0</v>
      </c>
      <c r="H1712" t="s">
        <v>47</v>
      </c>
      <c r="I1712">
        <v>0</v>
      </c>
      <c r="J1712" t="s">
        <v>47</v>
      </c>
      <c r="K1712">
        <v>1</v>
      </c>
      <c r="L1712" t="s">
        <v>48</v>
      </c>
      <c r="M1712">
        <v>0</v>
      </c>
      <c r="N1712" t="s">
        <v>47</v>
      </c>
      <c r="O1712">
        <v>0</v>
      </c>
      <c r="P1712" t="s">
        <v>47</v>
      </c>
      <c r="Q1712">
        <v>0</v>
      </c>
      <c r="R1712" t="s">
        <v>47</v>
      </c>
      <c r="S1712">
        <v>1</v>
      </c>
      <c r="T1712" t="s">
        <v>45</v>
      </c>
    </row>
    <row r="1713" spans="1:20" x14ac:dyDescent="0.35">
      <c r="A1713" s="1" t="s">
        <v>3441</v>
      </c>
      <c r="B1713" t="s">
        <v>14</v>
      </c>
      <c r="C1713" t="s">
        <v>47</v>
      </c>
      <c r="D1713" t="s">
        <v>3417</v>
      </c>
      <c r="E1713">
        <v>0</v>
      </c>
      <c r="F1713" t="s">
        <v>47</v>
      </c>
      <c r="G1713">
        <v>0</v>
      </c>
      <c r="H1713" t="s">
        <v>47</v>
      </c>
      <c r="I1713">
        <v>1</v>
      </c>
      <c r="J1713" t="s">
        <v>45</v>
      </c>
      <c r="K1713">
        <v>0</v>
      </c>
      <c r="L1713" t="s">
        <v>47</v>
      </c>
      <c r="M1713">
        <v>0</v>
      </c>
      <c r="N1713" t="s">
        <v>47</v>
      </c>
      <c r="O1713">
        <v>0</v>
      </c>
      <c r="P1713" t="s">
        <v>47</v>
      </c>
      <c r="Q1713">
        <v>0</v>
      </c>
      <c r="R1713" t="s">
        <v>47</v>
      </c>
      <c r="S1713">
        <v>0</v>
      </c>
      <c r="T1713" t="s">
        <v>47</v>
      </c>
    </row>
    <row r="1714" spans="1:20" x14ac:dyDescent="0.35">
      <c r="A1714" s="1" t="s">
        <v>3442</v>
      </c>
      <c r="B1714" t="s">
        <v>14</v>
      </c>
      <c r="C1714" t="s">
        <v>47</v>
      </c>
      <c r="D1714" t="s">
        <v>3418</v>
      </c>
      <c r="E1714">
        <v>0</v>
      </c>
      <c r="F1714" t="s">
        <v>47</v>
      </c>
      <c r="G1714">
        <v>0</v>
      </c>
      <c r="H1714" t="s">
        <v>47</v>
      </c>
      <c r="I1714">
        <v>0</v>
      </c>
      <c r="J1714" t="s">
        <v>47</v>
      </c>
      <c r="K1714">
        <v>1</v>
      </c>
      <c r="L1714" t="s">
        <v>45</v>
      </c>
      <c r="M1714">
        <v>0</v>
      </c>
      <c r="N1714" t="s">
        <v>47</v>
      </c>
      <c r="O1714">
        <v>0</v>
      </c>
      <c r="P1714" t="s">
        <v>47</v>
      </c>
      <c r="Q1714">
        <v>0</v>
      </c>
      <c r="R1714" t="s">
        <v>47</v>
      </c>
      <c r="S1714">
        <v>1</v>
      </c>
      <c r="T1714" t="s">
        <v>48</v>
      </c>
    </row>
    <row r="1715" spans="1:20" x14ac:dyDescent="0.35">
      <c r="A1715" s="1" t="s">
        <v>3443</v>
      </c>
      <c r="B1715" t="s">
        <v>14</v>
      </c>
      <c r="C1715" t="s">
        <v>47</v>
      </c>
      <c r="D1715" t="s">
        <v>3419</v>
      </c>
      <c r="E1715">
        <v>0</v>
      </c>
      <c r="F1715" t="s">
        <v>47</v>
      </c>
      <c r="G1715">
        <v>0</v>
      </c>
      <c r="H1715" t="s">
        <v>47</v>
      </c>
      <c r="I1715">
        <v>1</v>
      </c>
      <c r="J1715" t="s">
        <v>48</v>
      </c>
      <c r="K1715">
        <v>0</v>
      </c>
      <c r="L1715" t="s">
        <v>47</v>
      </c>
      <c r="M1715">
        <v>0</v>
      </c>
      <c r="N1715" t="s">
        <v>47</v>
      </c>
      <c r="O1715">
        <v>0</v>
      </c>
      <c r="P1715" t="s">
        <v>47</v>
      </c>
      <c r="Q1715">
        <v>0</v>
      </c>
      <c r="R1715" t="s">
        <v>47</v>
      </c>
      <c r="S1715">
        <v>0</v>
      </c>
      <c r="T1715" t="s">
        <v>47</v>
      </c>
    </row>
    <row r="1716" spans="1:20" x14ac:dyDescent="0.35">
      <c r="A1716" s="1" t="s">
        <v>3444</v>
      </c>
      <c r="B1716" t="s">
        <v>14</v>
      </c>
      <c r="C1716" t="s">
        <v>47</v>
      </c>
      <c r="D1716" t="s">
        <v>3420</v>
      </c>
      <c r="E1716">
        <v>0</v>
      </c>
      <c r="F1716" t="s">
        <v>47</v>
      </c>
      <c r="G1716">
        <v>0</v>
      </c>
      <c r="H1716" t="s">
        <v>47</v>
      </c>
      <c r="I1716">
        <v>0</v>
      </c>
      <c r="J1716" t="s">
        <v>47</v>
      </c>
      <c r="K1716">
        <v>1</v>
      </c>
      <c r="L1716" t="s">
        <v>45</v>
      </c>
      <c r="M1716">
        <v>0</v>
      </c>
      <c r="N1716" t="s">
        <v>47</v>
      </c>
      <c r="O1716">
        <v>0</v>
      </c>
      <c r="P1716" t="s">
        <v>47</v>
      </c>
      <c r="Q1716">
        <v>0</v>
      </c>
      <c r="R1716" t="s">
        <v>47</v>
      </c>
      <c r="S1716">
        <v>0</v>
      </c>
      <c r="T1716" t="s">
        <v>47</v>
      </c>
    </row>
    <row r="1717" spans="1:20" x14ac:dyDescent="0.35">
      <c r="A1717" s="1" t="s">
        <v>3445</v>
      </c>
      <c r="B1717" t="s">
        <v>14</v>
      </c>
      <c r="C1717" t="s">
        <v>47</v>
      </c>
      <c r="D1717" t="s">
        <v>3421</v>
      </c>
      <c r="E1717">
        <v>0</v>
      </c>
      <c r="F1717" t="s">
        <v>47</v>
      </c>
      <c r="G1717">
        <v>0</v>
      </c>
      <c r="H1717" t="s">
        <v>47</v>
      </c>
      <c r="I1717">
        <v>1</v>
      </c>
      <c r="J1717" t="s">
        <v>48</v>
      </c>
      <c r="K1717">
        <v>0</v>
      </c>
      <c r="L1717" t="s">
        <v>47</v>
      </c>
      <c r="M1717">
        <v>0</v>
      </c>
      <c r="N1717" t="s">
        <v>47</v>
      </c>
      <c r="O1717">
        <v>0</v>
      </c>
      <c r="P1717" t="s">
        <v>47</v>
      </c>
      <c r="Q1717">
        <v>0</v>
      </c>
      <c r="R1717" t="s">
        <v>47</v>
      </c>
      <c r="S1717">
        <v>1</v>
      </c>
      <c r="T1717" t="s">
        <v>45</v>
      </c>
    </row>
    <row r="1718" spans="1:20" x14ac:dyDescent="0.35">
      <c r="A1718" s="1" t="s">
        <v>3446</v>
      </c>
      <c r="B1718" t="s">
        <v>14</v>
      </c>
      <c r="C1718" t="s">
        <v>47</v>
      </c>
      <c r="D1718" t="s">
        <v>3422</v>
      </c>
      <c r="E1718">
        <v>0</v>
      </c>
      <c r="F1718" t="s">
        <v>47</v>
      </c>
      <c r="G1718">
        <v>0</v>
      </c>
      <c r="H1718" t="s">
        <v>47</v>
      </c>
      <c r="I1718">
        <v>0</v>
      </c>
      <c r="J1718" t="s">
        <v>47</v>
      </c>
      <c r="K1718">
        <v>1</v>
      </c>
      <c r="L1718" t="s">
        <v>55</v>
      </c>
      <c r="M1718">
        <v>0</v>
      </c>
      <c r="N1718" t="s">
        <v>47</v>
      </c>
      <c r="O1718">
        <v>0</v>
      </c>
      <c r="P1718" t="s">
        <v>47</v>
      </c>
      <c r="Q1718">
        <v>0</v>
      </c>
      <c r="R1718" t="s">
        <v>47</v>
      </c>
      <c r="S1718">
        <v>0</v>
      </c>
      <c r="T1718" t="s">
        <v>47</v>
      </c>
    </row>
    <row r="1719" spans="1:20" x14ac:dyDescent="0.35">
      <c r="A1719" s="1" t="s">
        <v>3447</v>
      </c>
      <c r="B1719" t="s">
        <v>14</v>
      </c>
      <c r="C1719" t="s">
        <v>47</v>
      </c>
      <c r="D1719" t="s">
        <v>3423</v>
      </c>
      <c r="E1719">
        <v>0</v>
      </c>
      <c r="F1719" t="s">
        <v>47</v>
      </c>
      <c r="G1719">
        <v>0</v>
      </c>
      <c r="H1719" t="s">
        <v>47</v>
      </c>
      <c r="I1719">
        <v>1</v>
      </c>
      <c r="J1719" t="s">
        <v>45</v>
      </c>
      <c r="K1719">
        <v>0</v>
      </c>
      <c r="L1719" t="s">
        <v>47</v>
      </c>
      <c r="M1719">
        <v>0</v>
      </c>
      <c r="N1719" t="s">
        <v>47</v>
      </c>
      <c r="O1719">
        <v>0</v>
      </c>
      <c r="P1719" t="s">
        <v>47</v>
      </c>
      <c r="Q1719">
        <v>0</v>
      </c>
      <c r="R1719" t="s">
        <v>47</v>
      </c>
      <c r="S1719">
        <v>0</v>
      </c>
      <c r="T1719" t="s">
        <v>47</v>
      </c>
    </row>
    <row r="1720" spans="1:20" x14ac:dyDescent="0.35">
      <c r="A1720" s="1" t="s">
        <v>3448</v>
      </c>
      <c r="B1720" t="s">
        <v>14</v>
      </c>
      <c r="C1720" t="s">
        <v>47</v>
      </c>
      <c r="D1720" t="s">
        <v>3424</v>
      </c>
      <c r="E1720">
        <v>0</v>
      </c>
      <c r="F1720" t="s">
        <v>47</v>
      </c>
      <c r="G1720">
        <v>0</v>
      </c>
      <c r="H1720" t="s">
        <v>47</v>
      </c>
      <c r="I1720">
        <v>0</v>
      </c>
      <c r="J1720" t="s">
        <v>47</v>
      </c>
      <c r="K1720">
        <v>1</v>
      </c>
      <c r="L1720" t="s">
        <v>48</v>
      </c>
      <c r="M1720">
        <v>0</v>
      </c>
      <c r="N1720" t="s">
        <v>47</v>
      </c>
      <c r="O1720">
        <v>0</v>
      </c>
      <c r="P1720" t="s">
        <v>47</v>
      </c>
      <c r="Q1720">
        <v>0</v>
      </c>
      <c r="R1720" t="s">
        <v>47</v>
      </c>
      <c r="S1720">
        <v>1</v>
      </c>
      <c r="T1720" t="s">
        <v>45</v>
      </c>
    </row>
    <row r="1721" spans="1:20" x14ac:dyDescent="0.35">
      <c r="A1721" s="1" t="s">
        <v>3449</v>
      </c>
      <c r="B1721" t="s">
        <v>14</v>
      </c>
      <c r="C1721" t="s">
        <v>47</v>
      </c>
      <c r="D1721" t="s">
        <v>3425</v>
      </c>
      <c r="E1721">
        <v>0</v>
      </c>
      <c r="F1721" t="s">
        <v>47</v>
      </c>
      <c r="G1721">
        <v>0</v>
      </c>
      <c r="H1721" t="s">
        <v>47</v>
      </c>
      <c r="I1721">
        <v>1</v>
      </c>
      <c r="J1721" t="s">
        <v>55</v>
      </c>
      <c r="K1721">
        <v>0</v>
      </c>
      <c r="L1721" t="s">
        <v>47</v>
      </c>
      <c r="M1721">
        <v>0</v>
      </c>
      <c r="N1721" t="s">
        <v>47</v>
      </c>
      <c r="O1721">
        <v>0</v>
      </c>
      <c r="P1721" t="s">
        <v>47</v>
      </c>
      <c r="Q1721">
        <v>0</v>
      </c>
      <c r="R1721" t="s">
        <v>47</v>
      </c>
      <c r="S1721">
        <v>0</v>
      </c>
      <c r="T1721" t="s">
        <v>47</v>
      </c>
    </row>
    <row r="1722" spans="1:20" x14ac:dyDescent="0.35">
      <c r="A1722" s="1" t="s">
        <v>3450</v>
      </c>
      <c r="B1722" t="s">
        <v>14</v>
      </c>
      <c r="C1722" t="s">
        <v>47</v>
      </c>
      <c r="D1722" t="s">
        <v>3426</v>
      </c>
      <c r="E1722">
        <v>0</v>
      </c>
      <c r="F1722" t="s">
        <v>47</v>
      </c>
      <c r="G1722">
        <v>0</v>
      </c>
      <c r="H1722" t="s">
        <v>47</v>
      </c>
      <c r="I1722">
        <v>0</v>
      </c>
      <c r="J1722" t="s">
        <v>47</v>
      </c>
      <c r="K1722">
        <v>1</v>
      </c>
      <c r="L1722" t="s">
        <v>45</v>
      </c>
      <c r="M1722">
        <v>0</v>
      </c>
      <c r="N1722" t="s">
        <v>47</v>
      </c>
      <c r="O1722">
        <v>0</v>
      </c>
      <c r="P1722" t="s">
        <v>47</v>
      </c>
      <c r="Q1722">
        <v>1</v>
      </c>
      <c r="R1722" t="s">
        <v>45</v>
      </c>
      <c r="S1722">
        <v>1</v>
      </c>
      <c r="T1722" t="s">
        <v>45</v>
      </c>
    </row>
    <row r="1723" spans="1:20" x14ac:dyDescent="0.35">
      <c r="A1723" s="1" t="s">
        <v>3451</v>
      </c>
      <c r="B1723" t="s">
        <v>14</v>
      </c>
      <c r="C1723" t="s">
        <v>47</v>
      </c>
      <c r="D1723" t="s">
        <v>3427</v>
      </c>
      <c r="E1723">
        <v>0</v>
      </c>
      <c r="F1723" t="s">
        <v>47</v>
      </c>
      <c r="G1723">
        <v>0</v>
      </c>
      <c r="H1723" t="s">
        <v>47</v>
      </c>
      <c r="I1723">
        <v>1</v>
      </c>
      <c r="J1723" t="s">
        <v>48</v>
      </c>
      <c r="K1723">
        <v>0</v>
      </c>
      <c r="L1723" t="s">
        <v>47</v>
      </c>
      <c r="M1723">
        <v>0</v>
      </c>
      <c r="N1723" t="s">
        <v>47</v>
      </c>
      <c r="O1723">
        <v>0</v>
      </c>
      <c r="P1723" t="s">
        <v>47</v>
      </c>
      <c r="Q1723">
        <v>0</v>
      </c>
      <c r="R1723" t="s">
        <v>47</v>
      </c>
      <c r="S1723">
        <v>1</v>
      </c>
      <c r="T1723" t="s">
        <v>48</v>
      </c>
    </row>
    <row r="1724" spans="1:20" x14ac:dyDescent="0.35">
      <c r="A1724" s="1" t="s">
        <v>3452</v>
      </c>
      <c r="B1724" t="s">
        <v>14</v>
      </c>
      <c r="C1724" t="s">
        <v>47</v>
      </c>
      <c r="D1724" t="s">
        <v>3428</v>
      </c>
      <c r="E1724">
        <v>0</v>
      </c>
      <c r="F1724" t="s">
        <v>47</v>
      </c>
      <c r="G1724">
        <v>0</v>
      </c>
      <c r="H1724" t="s">
        <v>47</v>
      </c>
      <c r="I1724">
        <v>0</v>
      </c>
      <c r="J1724" t="s">
        <v>47</v>
      </c>
      <c r="K1724">
        <v>1</v>
      </c>
      <c r="L1724" t="s">
        <v>45</v>
      </c>
      <c r="M1724">
        <v>0</v>
      </c>
      <c r="N1724" t="s">
        <v>47</v>
      </c>
      <c r="O1724">
        <v>0</v>
      </c>
      <c r="P1724" t="s">
        <v>47</v>
      </c>
      <c r="Q1724">
        <v>0</v>
      </c>
      <c r="R1724" t="s">
        <v>47</v>
      </c>
      <c r="S1724">
        <v>0</v>
      </c>
      <c r="T1724" t="s">
        <v>47</v>
      </c>
    </row>
    <row r="1725" spans="1:20" x14ac:dyDescent="0.35">
      <c r="A1725" s="1" t="s">
        <v>3453</v>
      </c>
      <c r="B1725" t="s">
        <v>14</v>
      </c>
      <c r="C1725" t="s">
        <v>47</v>
      </c>
      <c r="D1725" t="s">
        <v>3429</v>
      </c>
      <c r="E1725">
        <v>0</v>
      </c>
      <c r="F1725" t="s">
        <v>47</v>
      </c>
      <c r="G1725">
        <v>0</v>
      </c>
      <c r="H1725" t="s">
        <v>47</v>
      </c>
      <c r="I1725">
        <v>1</v>
      </c>
      <c r="J1725" t="s">
        <v>48</v>
      </c>
      <c r="K1725">
        <v>0</v>
      </c>
      <c r="L1725" t="s">
        <v>47</v>
      </c>
      <c r="M1725">
        <v>0</v>
      </c>
      <c r="N1725" t="s">
        <v>47</v>
      </c>
      <c r="O1725">
        <v>0</v>
      </c>
      <c r="P1725" t="s">
        <v>47</v>
      </c>
      <c r="Q1725">
        <v>0</v>
      </c>
      <c r="R1725" t="s">
        <v>47</v>
      </c>
      <c r="S1725">
        <v>1</v>
      </c>
      <c r="T1725" t="s">
        <v>45</v>
      </c>
    </row>
    <row r="1726" spans="1:20" x14ac:dyDescent="0.35">
      <c r="A1726" s="1" t="s">
        <v>4007</v>
      </c>
      <c r="B1726" t="s">
        <v>12</v>
      </c>
      <c r="C1726" t="s">
        <v>47</v>
      </c>
      <c r="D1726" t="s">
        <v>3454</v>
      </c>
      <c r="E1726">
        <v>0</v>
      </c>
      <c r="F1726" t="s">
        <v>47</v>
      </c>
      <c r="G1726">
        <v>0</v>
      </c>
      <c r="H1726" t="s">
        <v>47</v>
      </c>
      <c r="I1726">
        <v>0</v>
      </c>
      <c r="J1726" t="s">
        <v>47</v>
      </c>
      <c r="K1726">
        <v>1</v>
      </c>
      <c r="L1726" t="s">
        <v>45</v>
      </c>
      <c r="M1726">
        <v>0</v>
      </c>
      <c r="N1726" t="s">
        <v>47</v>
      </c>
      <c r="O1726">
        <v>0</v>
      </c>
      <c r="P1726" t="s">
        <v>47</v>
      </c>
      <c r="Q1726">
        <v>0</v>
      </c>
      <c r="R1726" t="s">
        <v>47</v>
      </c>
      <c r="S1726">
        <v>1</v>
      </c>
      <c r="T1726" t="s">
        <v>45</v>
      </c>
    </row>
    <row r="1727" spans="1:20" x14ac:dyDescent="0.35">
      <c r="A1727" s="1" t="s">
        <v>4008</v>
      </c>
      <c r="B1727" t="s">
        <v>12</v>
      </c>
      <c r="C1727" t="s">
        <v>47</v>
      </c>
      <c r="D1727" t="s">
        <v>3455</v>
      </c>
      <c r="E1727">
        <v>0</v>
      </c>
      <c r="F1727" t="s">
        <v>47</v>
      </c>
      <c r="G1727">
        <v>0</v>
      </c>
      <c r="H1727" t="s">
        <v>47</v>
      </c>
      <c r="I1727">
        <v>1</v>
      </c>
      <c r="J1727" t="s">
        <v>48</v>
      </c>
      <c r="K1727">
        <v>0</v>
      </c>
      <c r="L1727" t="s">
        <v>47</v>
      </c>
      <c r="M1727">
        <v>0</v>
      </c>
      <c r="N1727" t="s">
        <v>47</v>
      </c>
      <c r="O1727">
        <v>0</v>
      </c>
      <c r="P1727" t="s">
        <v>47</v>
      </c>
      <c r="Q1727">
        <v>0</v>
      </c>
      <c r="R1727" t="s">
        <v>47</v>
      </c>
      <c r="S1727">
        <v>1</v>
      </c>
      <c r="T1727" t="s">
        <v>48</v>
      </c>
    </row>
    <row r="1728" spans="1:20" x14ac:dyDescent="0.35">
      <c r="A1728" s="1" t="s">
        <v>4009</v>
      </c>
      <c r="B1728" t="s">
        <v>12</v>
      </c>
      <c r="C1728" t="s">
        <v>47</v>
      </c>
      <c r="D1728" t="s">
        <v>3456</v>
      </c>
      <c r="E1728">
        <v>0</v>
      </c>
      <c r="F1728" t="s">
        <v>47</v>
      </c>
      <c r="G1728">
        <v>0</v>
      </c>
      <c r="H1728" t="s">
        <v>47</v>
      </c>
      <c r="I1728">
        <v>0</v>
      </c>
      <c r="J1728" t="s">
        <v>47</v>
      </c>
      <c r="K1728">
        <v>1</v>
      </c>
      <c r="L1728" t="s">
        <v>48</v>
      </c>
      <c r="M1728">
        <v>0</v>
      </c>
      <c r="N1728" t="s">
        <v>47</v>
      </c>
      <c r="O1728">
        <v>0</v>
      </c>
      <c r="P1728" t="s">
        <v>47</v>
      </c>
      <c r="Q1728">
        <v>0</v>
      </c>
      <c r="R1728" t="s">
        <v>47</v>
      </c>
      <c r="S1728">
        <v>1</v>
      </c>
      <c r="T1728" t="s">
        <v>45</v>
      </c>
    </row>
    <row r="1729" spans="1:20" x14ac:dyDescent="0.35">
      <c r="A1729" s="1" t="s">
        <v>4010</v>
      </c>
      <c r="B1729" t="s">
        <v>12</v>
      </c>
      <c r="C1729" t="s">
        <v>47</v>
      </c>
      <c r="D1729" t="s">
        <v>3457</v>
      </c>
      <c r="E1729">
        <v>0</v>
      </c>
      <c r="F1729" t="s">
        <v>47</v>
      </c>
      <c r="G1729">
        <v>0</v>
      </c>
      <c r="H1729" t="s">
        <v>47</v>
      </c>
      <c r="I1729">
        <v>1</v>
      </c>
      <c r="J1729" t="s">
        <v>45</v>
      </c>
      <c r="K1729">
        <v>0</v>
      </c>
      <c r="L1729" t="s">
        <v>47</v>
      </c>
      <c r="M1729">
        <v>0</v>
      </c>
      <c r="N1729" t="s">
        <v>47</v>
      </c>
      <c r="O1729">
        <v>0</v>
      </c>
      <c r="P1729" t="s">
        <v>47</v>
      </c>
      <c r="Q1729">
        <v>0</v>
      </c>
      <c r="R1729" t="s">
        <v>47</v>
      </c>
      <c r="S1729">
        <v>0</v>
      </c>
      <c r="T1729" t="s">
        <v>47</v>
      </c>
    </row>
    <row r="1730" spans="1:20" x14ac:dyDescent="0.35">
      <c r="A1730" s="1" t="s">
        <v>4011</v>
      </c>
      <c r="B1730" t="s">
        <v>12</v>
      </c>
      <c r="C1730" t="s">
        <v>47</v>
      </c>
      <c r="D1730" t="s">
        <v>3458</v>
      </c>
      <c r="E1730">
        <v>0</v>
      </c>
      <c r="F1730" t="s">
        <v>47</v>
      </c>
      <c r="G1730">
        <v>0</v>
      </c>
      <c r="H1730" t="s">
        <v>47</v>
      </c>
      <c r="I1730">
        <v>0</v>
      </c>
      <c r="J1730" t="s">
        <v>47</v>
      </c>
      <c r="K1730">
        <v>1</v>
      </c>
      <c r="L1730" t="s">
        <v>48</v>
      </c>
      <c r="M1730">
        <v>0</v>
      </c>
      <c r="N1730" t="s">
        <v>47</v>
      </c>
      <c r="O1730">
        <v>0</v>
      </c>
      <c r="P1730" t="s">
        <v>47</v>
      </c>
      <c r="Q1730">
        <v>0</v>
      </c>
      <c r="R1730" t="s">
        <v>47</v>
      </c>
      <c r="S1730">
        <v>1</v>
      </c>
      <c r="T1730" t="s">
        <v>45</v>
      </c>
    </row>
    <row r="1731" spans="1:20" x14ac:dyDescent="0.35">
      <c r="A1731" s="1" t="s">
        <v>4012</v>
      </c>
      <c r="B1731" t="s">
        <v>12</v>
      </c>
      <c r="C1731" t="s">
        <v>47</v>
      </c>
      <c r="D1731" t="s">
        <v>3459</v>
      </c>
      <c r="E1731">
        <v>0</v>
      </c>
      <c r="F1731" t="s">
        <v>47</v>
      </c>
      <c r="G1731">
        <v>0</v>
      </c>
      <c r="H1731" t="s">
        <v>47</v>
      </c>
      <c r="I1731">
        <v>1</v>
      </c>
      <c r="J1731" t="s">
        <v>48</v>
      </c>
      <c r="K1731">
        <v>0</v>
      </c>
      <c r="L1731" t="s">
        <v>47</v>
      </c>
      <c r="M1731">
        <v>0</v>
      </c>
      <c r="N1731" t="s">
        <v>47</v>
      </c>
      <c r="O1731">
        <v>0</v>
      </c>
      <c r="P1731" t="s">
        <v>47</v>
      </c>
      <c r="Q1731">
        <v>0</v>
      </c>
      <c r="R1731" t="s">
        <v>47</v>
      </c>
      <c r="S1731">
        <v>0</v>
      </c>
      <c r="T1731" t="s">
        <v>47</v>
      </c>
    </row>
    <row r="1732" spans="1:20" x14ac:dyDescent="0.35">
      <c r="A1732" s="1" t="s">
        <v>4013</v>
      </c>
      <c r="B1732" t="s">
        <v>12</v>
      </c>
      <c r="C1732" t="s">
        <v>47</v>
      </c>
      <c r="D1732" t="s">
        <v>3460</v>
      </c>
      <c r="E1732">
        <v>0</v>
      </c>
      <c r="F1732" t="s">
        <v>47</v>
      </c>
      <c r="G1732">
        <v>0</v>
      </c>
      <c r="H1732" t="s">
        <v>47</v>
      </c>
      <c r="I1732">
        <v>0</v>
      </c>
      <c r="J1732" t="s">
        <v>47</v>
      </c>
      <c r="K1732">
        <v>1</v>
      </c>
      <c r="L1732" t="s">
        <v>45</v>
      </c>
      <c r="M1732">
        <v>0</v>
      </c>
      <c r="N1732" t="s">
        <v>47</v>
      </c>
      <c r="O1732">
        <v>0</v>
      </c>
      <c r="P1732" t="s">
        <v>47</v>
      </c>
      <c r="Q1732">
        <v>0</v>
      </c>
      <c r="R1732" t="s">
        <v>47</v>
      </c>
      <c r="S1732">
        <v>0</v>
      </c>
      <c r="T1732" t="s">
        <v>47</v>
      </c>
    </row>
    <row r="1733" spans="1:20" x14ac:dyDescent="0.35">
      <c r="A1733" s="1" t="s">
        <v>4014</v>
      </c>
      <c r="B1733" t="s">
        <v>12</v>
      </c>
      <c r="C1733" t="s">
        <v>47</v>
      </c>
      <c r="D1733" t="s">
        <v>3461</v>
      </c>
      <c r="E1733">
        <v>0</v>
      </c>
      <c r="F1733" t="s">
        <v>47</v>
      </c>
      <c r="G1733">
        <v>0</v>
      </c>
      <c r="H1733" t="s">
        <v>47</v>
      </c>
      <c r="I1733">
        <v>1</v>
      </c>
      <c r="J1733" t="s">
        <v>45</v>
      </c>
      <c r="K1733">
        <v>0</v>
      </c>
      <c r="L1733" t="s">
        <v>47</v>
      </c>
      <c r="M1733">
        <v>0</v>
      </c>
      <c r="N1733" t="s">
        <v>47</v>
      </c>
      <c r="O1733">
        <v>0</v>
      </c>
      <c r="P1733" t="s">
        <v>47</v>
      </c>
      <c r="Q1733">
        <v>0</v>
      </c>
      <c r="R1733" t="s">
        <v>47</v>
      </c>
      <c r="S1733">
        <v>1</v>
      </c>
      <c r="T1733" t="s">
        <v>48</v>
      </c>
    </row>
    <row r="1734" spans="1:20" x14ac:dyDescent="0.35">
      <c r="A1734" s="1" t="s">
        <v>4015</v>
      </c>
      <c r="B1734" t="s">
        <v>12</v>
      </c>
      <c r="C1734" t="s">
        <v>47</v>
      </c>
      <c r="D1734" t="s">
        <v>3462</v>
      </c>
      <c r="E1734">
        <v>0</v>
      </c>
      <c r="F1734" t="s">
        <v>47</v>
      </c>
      <c r="G1734">
        <v>0</v>
      </c>
      <c r="H1734" t="s">
        <v>47</v>
      </c>
      <c r="I1734">
        <v>0</v>
      </c>
      <c r="J1734" t="s">
        <v>47</v>
      </c>
      <c r="K1734">
        <v>1</v>
      </c>
      <c r="L1734" t="s">
        <v>48</v>
      </c>
      <c r="M1734">
        <v>0</v>
      </c>
      <c r="N1734" t="s">
        <v>47</v>
      </c>
      <c r="O1734">
        <v>0</v>
      </c>
      <c r="P1734" t="s">
        <v>47</v>
      </c>
      <c r="Q1734">
        <v>0</v>
      </c>
      <c r="R1734" t="s">
        <v>47</v>
      </c>
      <c r="S1734">
        <v>1</v>
      </c>
      <c r="T1734" t="s">
        <v>45</v>
      </c>
    </row>
    <row r="1735" spans="1:20" x14ac:dyDescent="0.35">
      <c r="A1735" s="1" t="s">
        <v>4016</v>
      </c>
      <c r="B1735" t="s">
        <v>12</v>
      </c>
      <c r="C1735" t="s">
        <v>47</v>
      </c>
      <c r="D1735" t="s">
        <v>3463</v>
      </c>
      <c r="E1735">
        <v>0</v>
      </c>
      <c r="F1735" t="s">
        <v>47</v>
      </c>
      <c r="G1735">
        <v>0</v>
      </c>
      <c r="H1735" t="s">
        <v>47</v>
      </c>
      <c r="I1735">
        <v>1</v>
      </c>
      <c r="J1735" t="s">
        <v>48</v>
      </c>
      <c r="K1735">
        <v>0</v>
      </c>
      <c r="L1735" t="s">
        <v>47</v>
      </c>
      <c r="M1735">
        <v>0</v>
      </c>
      <c r="N1735" t="s">
        <v>47</v>
      </c>
      <c r="O1735">
        <v>0</v>
      </c>
      <c r="P1735" t="s">
        <v>47</v>
      </c>
      <c r="Q1735">
        <v>0</v>
      </c>
      <c r="R1735" t="s">
        <v>47</v>
      </c>
      <c r="S1735">
        <v>0</v>
      </c>
      <c r="T1735" t="s">
        <v>47</v>
      </c>
    </row>
    <row r="1736" spans="1:20" x14ac:dyDescent="0.35">
      <c r="A1736" s="1" t="s">
        <v>4017</v>
      </c>
      <c r="B1736" t="s">
        <v>12</v>
      </c>
      <c r="C1736" t="s">
        <v>47</v>
      </c>
      <c r="D1736" t="s">
        <v>3464</v>
      </c>
      <c r="E1736">
        <v>0</v>
      </c>
      <c r="F1736" t="s">
        <v>47</v>
      </c>
      <c r="G1736">
        <v>0</v>
      </c>
      <c r="H1736" t="s">
        <v>47</v>
      </c>
      <c r="I1736">
        <v>0</v>
      </c>
      <c r="J1736" t="s">
        <v>47</v>
      </c>
      <c r="K1736">
        <v>1</v>
      </c>
      <c r="L1736" t="s">
        <v>45</v>
      </c>
      <c r="M1736">
        <v>0</v>
      </c>
      <c r="N1736" t="s">
        <v>47</v>
      </c>
      <c r="O1736">
        <v>0</v>
      </c>
      <c r="P1736" t="s">
        <v>47</v>
      </c>
      <c r="Q1736">
        <v>1</v>
      </c>
      <c r="R1736" t="s">
        <v>45</v>
      </c>
      <c r="S1736">
        <v>1</v>
      </c>
      <c r="T1736" t="s">
        <v>45</v>
      </c>
    </row>
    <row r="1737" spans="1:20" x14ac:dyDescent="0.35">
      <c r="A1737" s="1" t="s">
        <v>4018</v>
      </c>
      <c r="B1737" t="s">
        <v>12</v>
      </c>
      <c r="C1737" t="s">
        <v>47</v>
      </c>
      <c r="D1737" t="s">
        <v>3465</v>
      </c>
      <c r="E1737">
        <v>0</v>
      </c>
      <c r="F1737" t="s">
        <v>47</v>
      </c>
      <c r="G1737">
        <v>0</v>
      </c>
      <c r="H1737" t="s">
        <v>47</v>
      </c>
      <c r="I1737">
        <v>1</v>
      </c>
      <c r="J1737" t="s">
        <v>55</v>
      </c>
      <c r="K1737">
        <v>1</v>
      </c>
      <c r="L1737" t="s">
        <v>48</v>
      </c>
      <c r="M1737">
        <v>0</v>
      </c>
      <c r="N1737" t="s">
        <v>47</v>
      </c>
      <c r="O1737">
        <v>0</v>
      </c>
      <c r="P1737" t="s">
        <v>47</v>
      </c>
      <c r="Q1737">
        <v>0</v>
      </c>
      <c r="R1737" t="s">
        <v>47</v>
      </c>
      <c r="S1737">
        <v>0</v>
      </c>
      <c r="T1737" t="s">
        <v>47</v>
      </c>
    </row>
    <row r="1738" spans="1:20" x14ac:dyDescent="0.35">
      <c r="A1738" s="1" t="s">
        <v>4019</v>
      </c>
      <c r="B1738" t="s">
        <v>12</v>
      </c>
      <c r="C1738" t="s">
        <v>47</v>
      </c>
      <c r="D1738" t="s">
        <v>3466</v>
      </c>
      <c r="E1738">
        <v>0</v>
      </c>
      <c r="F1738" t="s">
        <v>47</v>
      </c>
      <c r="G1738">
        <v>0</v>
      </c>
      <c r="H1738" t="s">
        <v>47</v>
      </c>
      <c r="I1738">
        <v>0</v>
      </c>
      <c r="J1738" t="s">
        <v>47</v>
      </c>
      <c r="K1738">
        <v>1</v>
      </c>
      <c r="L1738" t="s">
        <v>55</v>
      </c>
      <c r="M1738">
        <v>0</v>
      </c>
      <c r="N1738" t="s">
        <v>47</v>
      </c>
      <c r="O1738">
        <v>0</v>
      </c>
      <c r="P1738" t="s">
        <v>47</v>
      </c>
      <c r="Q1738">
        <v>0</v>
      </c>
      <c r="R1738" t="s">
        <v>47</v>
      </c>
      <c r="S1738">
        <v>0</v>
      </c>
      <c r="T1738" t="s">
        <v>47</v>
      </c>
    </row>
    <row r="1739" spans="1:20" x14ac:dyDescent="0.35">
      <c r="A1739" s="1" t="s">
        <v>4020</v>
      </c>
      <c r="B1739" t="s">
        <v>12</v>
      </c>
      <c r="C1739" t="s">
        <v>47</v>
      </c>
      <c r="D1739" t="s">
        <v>3467</v>
      </c>
      <c r="E1739">
        <v>0</v>
      </c>
      <c r="F1739" t="s">
        <v>47</v>
      </c>
      <c r="G1739">
        <v>0</v>
      </c>
      <c r="H1739" t="s">
        <v>47</v>
      </c>
      <c r="I1739">
        <v>1</v>
      </c>
      <c r="J1739" t="s">
        <v>48</v>
      </c>
      <c r="K1739">
        <v>0</v>
      </c>
      <c r="L1739" t="s">
        <v>47</v>
      </c>
      <c r="M1739">
        <v>0</v>
      </c>
      <c r="N1739" t="s">
        <v>47</v>
      </c>
      <c r="O1739">
        <v>0</v>
      </c>
      <c r="P1739" t="s">
        <v>47</v>
      </c>
      <c r="Q1739">
        <v>0</v>
      </c>
      <c r="R1739" t="s">
        <v>47</v>
      </c>
      <c r="S1739">
        <v>1</v>
      </c>
      <c r="T1739" t="s">
        <v>48</v>
      </c>
    </row>
    <row r="1740" spans="1:20" x14ac:dyDescent="0.35">
      <c r="A1740" s="1" t="s">
        <v>4021</v>
      </c>
      <c r="B1740" t="s">
        <v>12</v>
      </c>
      <c r="C1740" t="s">
        <v>47</v>
      </c>
      <c r="D1740" t="s">
        <v>3468</v>
      </c>
      <c r="E1740">
        <v>0</v>
      </c>
      <c r="F1740" t="s">
        <v>47</v>
      </c>
      <c r="G1740">
        <v>0</v>
      </c>
      <c r="H1740" t="s">
        <v>47</v>
      </c>
      <c r="I1740">
        <v>0</v>
      </c>
      <c r="J1740" t="s">
        <v>47</v>
      </c>
      <c r="K1740">
        <v>1</v>
      </c>
      <c r="L1740" t="s">
        <v>45</v>
      </c>
      <c r="M1740">
        <v>0</v>
      </c>
      <c r="N1740" t="s">
        <v>47</v>
      </c>
      <c r="O1740">
        <v>0</v>
      </c>
      <c r="P1740" t="s">
        <v>47</v>
      </c>
      <c r="Q1740">
        <v>0</v>
      </c>
      <c r="R1740" t="s">
        <v>47</v>
      </c>
      <c r="S1740">
        <v>1</v>
      </c>
      <c r="T1740" t="s">
        <v>45</v>
      </c>
    </row>
    <row r="1741" spans="1:20" x14ac:dyDescent="0.35">
      <c r="A1741" s="1" t="s">
        <v>4022</v>
      </c>
      <c r="B1741" t="s">
        <v>12</v>
      </c>
      <c r="C1741" t="s">
        <v>47</v>
      </c>
      <c r="D1741" t="s">
        <v>3469</v>
      </c>
      <c r="E1741">
        <v>0</v>
      </c>
      <c r="F1741" t="s">
        <v>47</v>
      </c>
      <c r="G1741">
        <v>0</v>
      </c>
      <c r="H1741" t="s">
        <v>47</v>
      </c>
      <c r="I1741">
        <v>0</v>
      </c>
      <c r="J1741" t="s">
        <v>47</v>
      </c>
      <c r="K1741">
        <v>1</v>
      </c>
      <c r="L1741" t="s">
        <v>48</v>
      </c>
      <c r="M1741">
        <v>0</v>
      </c>
      <c r="N1741" t="s">
        <v>47</v>
      </c>
      <c r="O1741">
        <v>0</v>
      </c>
      <c r="P1741" t="s">
        <v>47</v>
      </c>
      <c r="Q1741">
        <v>0</v>
      </c>
      <c r="R1741" t="s">
        <v>47</v>
      </c>
      <c r="S1741">
        <v>1</v>
      </c>
      <c r="T1741" t="s">
        <v>45</v>
      </c>
    </row>
    <row r="1742" spans="1:20" x14ac:dyDescent="0.35">
      <c r="A1742" s="1" t="s">
        <v>4023</v>
      </c>
      <c r="B1742" t="s">
        <v>12</v>
      </c>
      <c r="C1742" t="s">
        <v>47</v>
      </c>
      <c r="D1742" t="s">
        <v>3470</v>
      </c>
      <c r="E1742">
        <v>0</v>
      </c>
      <c r="F1742" t="s">
        <v>47</v>
      </c>
      <c r="G1742">
        <v>0</v>
      </c>
      <c r="H1742" t="s">
        <v>47</v>
      </c>
      <c r="I1742">
        <v>1</v>
      </c>
      <c r="J1742" t="s">
        <v>45</v>
      </c>
      <c r="K1742">
        <v>0</v>
      </c>
      <c r="L1742" t="s">
        <v>47</v>
      </c>
      <c r="M1742">
        <v>0</v>
      </c>
      <c r="N1742" t="s">
        <v>47</v>
      </c>
      <c r="O1742">
        <v>0</v>
      </c>
      <c r="P1742" t="s">
        <v>47</v>
      </c>
      <c r="Q1742">
        <v>0</v>
      </c>
      <c r="R1742" t="s">
        <v>47</v>
      </c>
      <c r="S1742">
        <v>0</v>
      </c>
      <c r="T1742" t="s">
        <v>47</v>
      </c>
    </row>
    <row r="1743" spans="1:20" x14ac:dyDescent="0.35">
      <c r="A1743" s="1" t="s">
        <v>4024</v>
      </c>
      <c r="B1743" t="s">
        <v>12</v>
      </c>
      <c r="C1743" t="s">
        <v>47</v>
      </c>
      <c r="D1743" t="s">
        <v>3471</v>
      </c>
      <c r="E1743">
        <v>0</v>
      </c>
      <c r="F1743" t="s">
        <v>47</v>
      </c>
      <c r="G1743">
        <v>0</v>
      </c>
      <c r="H1743" t="s">
        <v>47</v>
      </c>
      <c r="I1743">
        <v>0</v>
      </c>
      <c r="J1743" t="s">
        <v>47</v>
      </c>
      <c r="K1743">
        <v>1</v>
      </c>
      <c r="L1743" t="s">
        <v>48</v>
      </c>
      <c r="M1743">
        <v>0</v>
      </c>
      <c r="N1743" t="s">
        <v>47</v>
      </c>
      <c r="O1743">
        <v>0</v>
      </c>
      <c r="P1743" t="s">
        <v>47</v>
      </c>
      <c r="Q1743">
        <v>0</v>
      </c>
      <c r="R1743" t="s">
        <v>47</v>
      </c>
      <c r="S1743">
        <v>1</v>
      </c>
      <c r="T1743" t="s">
        <v>45</v>
      </c>
    </row>
    <row r="1744" spans="1:20" x14ac:dyDescent="0.35">
      <c r="A1744" s="1" t="s">
        <v>4025</v>
      </c>
      <c r="B1744" t="s">
        <v>12</v>
      </c>
      <c r="C1744" t="s">
        <v>47</v>
      </c>
      <c r="D1744" t="s">
        <v>3472</v>
      </c>
      <c r="E1744">
        <v>0</v>
      </c>
      <c r="F1744" t="s">
        <v>47</v>
      </c>
      <c r="G1744">
        <v>0</v>
      </c>
      <c r="H1744" t="s">
        <v>47</v>
      </c>
      <c r="I1744">
        <v>1</v>
      </c>
      <c r="J1744" t="s">
        <v>48</v>
      </c>
      <c r="K1744">
        <v>0</v>
      </c>
      <c r="L1744" t="s">
        <v>47</v>
      </c>
      <c r="M1744">
        <v>0</v>
      </c>
      <c r="N1744" t="s">
        <v>47</v>
      </c>
      <c r="O1744">
        <v>0</v>
      </c>
      <c r="P1744" t="s">
        <v>47</v>
      </c>
      <c r="Q1744">
        <v>0</v>
      </c>
      <c r="R1744" t="s">
        <v>47</v>
      </c>
      <c r="S1744">
        <v>0</v>
      </c>
      <c r="T1744" t="s">
        <v>47</v>
      </c>
    </row>
    <row r="1745" spans="1:20" x14ac:dyDescent="0.35">
      <c r="A1745" s="1" t="s">
        <v>4026</v>
      </c>
      <c r="B1745" t="s">
        <v>12</v>
      </c>
      <c r="C1745" t="s">
        <v>47</v>
      </c>
      <c r="D1745" t="s">
        <v>3473</v>
      </c>
      <c r="E1745">
        <v>0</v>
      </c>
      <c r="F1745" t="s">
        <v>47</v>
      </c>
      <c r="G1745">
        <v>0</v>
      </c>
      <c r="H1745" t="s">
        <v>47</v>
      </c>
      <c r="I1745">
        <v>0</v>
      </c>
      <c r="J1745" t="s">
        <v>47</v>
      </c>
      <c r="K1745">
        <v>1</v>
      </c>
      <c r="L1745" t="s">
        <v>45</v>
      </c>
      <c r="M1745">
        <v>0</v>
      </c>
      <c r="N1745" t="s">
        <v>47</v>
      </c>
      <c r="O1745">
        <v>0</v>
      </c>
      <c r="P1745" t="s">
        <v>47</v>
      </c>
      <c r="Q1745">
        <v>1</v>
      </c>
      <c r="R1745" t="s">
        <v>45</v>
      </c>
      <c r="S1745">
        <v>1</v>
      </c>
      <c r="T1745" t="s">
        <v>45</v>
      </c>
    </row>
    <row r="1746" spans="1:20" x14ac:dyDescent="0.35">
      <c r="A1746" s="1" t="s">
        <v>4027</v>
      </c>
      <c r="B1746" t="s">
        <v>14</v>
      </c>
      <c r="C1746" t="s">
        <v>47</v>
      </c>
      <c r="D1746" t="s">
        <v>3474</v>
      </c>
      <c r="E1746">
        <v>0</v>
      </c>
      <c r="F1746" t="s">
        <v>47</v>
      </c>
      <c r="G1746">
        <v>0</v>
      </c>
      <c r="H1746" t="s">
        <v>47</v>
      </c>
      <c r="I1746">
        <v>0</v>
      </c>
      <c r="J1746" t="s">
        <v>47</v>
      </c>
      <c r="K1746">
        <v>1</v>
      </c>
      <c r="L1746" t="s">
        <v>45</v>
      </c>
      <c r="M1746">
        <v>0</v>
      </c>
      <c r="N1746" t="s">
        <v>47</v>
      </c>
      <c r="O1746">
        <v>0</v>
      </c>
      <c r="P1746" t="s">
        <v>47</v>
      </c>
      <c r="Q1746">
        <v>0</v>
      </c>
      <c r="R1746" t="s">
        <v>47</v>
      </c>
      <c r="S1746">
        <v>1</v>
      </c>
      <c r="T1746" t="s">
        <v>45</v>
      </c>
    </row>
    <row r="1747" spans="1:20" x14ac:dyDescent="0.35">
      <c r="A1747" s="1" t="s">
        <v>4028</v>
      </c>
      <c r="B1747" t="s">
        <v>14</v>
      </c>
      <c r="C1747" t="s">
        <v>47</v>
      </c>
      <c r="D1747" t="s">
        <v>3475</v>
      </c>
      <c r="E1747">
        <v>0</v>
      </c>
      <c r="F1747" t="s">
        <v>47</v>
      </c>
      <c r="G1747">
        <v>0</v>
      </c>
      <c r="H1747" t="s">
        <v>47</v>
      </c>
      <c r="I1747">
        <v>1</v>
      </c>
      <c r="J1747" t="s">
        <v>48</v>
      </c>
      <c r="K1747">
        <v>0</v>
      </c>
      <c r="L1747" t="s">
        <v>47</v>
      </c>
      <c r="M1747">
        <v>0</v>
      </c>
      <c r="N1747" t="s">
        <v>47</v>
      </c>
      <c r="O1747">
        <v>0</v>
      </c>
      <c r="P1747" t="s">
        <v>47</v>
      </c>
      <c r="Q1747">
        <v>0</v>
      </c>
      <c r="R1747" t="s">
        <v>47</v>
      </c>
      <c r="S1747">
        <v>0</v>
      </c>
      <c r="T1747" t="s">
        <v>47</v>
      </c>
    </row>
    <row r="1748" spans="1:20" x14ac:dyDescent="0.35">
      <c r="A1748" s="1" t="s">
        <v>4029</v>
      </c>
      <c r="B1748" t="s">
        <v>14</v>
      </c>
      <c r="C1748" t="s">
        <v>47</v>
      </c>
      <c r="D1748" t="s">
        <v>3476</v>
      </c>
      <c r="E1748">
        <v>0</v>
      </c>
      <c r="F1748" t="s">
        <v>47</v>
      </c>
      <c r="G1748">
        <v>0</v>
      </c>
      <c r="H1748" t="s">
        <v>47</v>
      </c>
      <c r="I1748">
        <v>0</v>
      </c>
      <c r="J1748" t="s">
        <v>47</v>
      </c>
      <c r="K1748">
        <v>1</v>
      </c>
      <c r="L1748" t="s">
        <v>45</v>
      </c>
      <c r="M1748">
        <v>0</v>
      </c>
      <c r="N1748" t="s">
        <v>47</v>
      </c>
      <c r="O1748">
        <v>0</v>
      </c>
      <c r="P1748" t="s">
        <v>47</v>
      </c>
      <c r="Q1748">
        <v>0</v>
      </c>
      <c r="R1748" t="s">
        <v>47</v>
      </c>
      <c r="S1748">
        <v>1</v>
      </c>
      <c r="T1748" t="s">
        <v>48</v>
      </c>
    </row>
    <row r="1749" spans="1:20" x14ac:dyDescent="0.35">
      <c r="A1749" s="1" t="s">
        <v>4030</v>
      </c>
      <c r="B1749" t="s">
        <v>14</v>
      </c>
      <c r="C1749" t="s">
        <v>47</v>
      </c>
      <c r="D1749" t="s">
        <v>3477</v>
      </c>
      <c r="E1749">
        <v>0</v>
      </c>
      <c r="F1749" t="s">
        <v>47</v>
      </c>
      <c r="G1749">
        <v>0</v>
      </c>
      <c r="H1749" t="s">
        <v>47</v>
      </c>
      <c r="I1749">
        <v>1</v>
      </c>
      <c r="J1749" t="s">
        <v>48</v>
      </c>
      <c r="K1749">
        <v>0</v>
      </c>
      <c r="L1749" t="s">
        <v>47</v>
      </c>
      <c r="M1749">
        <v>0</v>
      </c>
      <c r="N1749" t="s">
        <v>47</v>
      </c>
      <c r="O1749">
        <v>0</v>
      </c>
      <c r="P1749" t="s">
        <v>47</v>
      </c>
      <c r="Q1749">
        <v>0</v>
      </c>
      <c r="R1749" t="s">
        <v>47</v>
      </c>
      <c r="S1749">
        <v>0</v>
      </c>
      <c r="T1749" t="s">
        <v>47</v>
      </c>
    </row>
    <row r="1750" spans="1:20" x14ac:dyDescent="0.35">
      <c r="A1750" s="1" t="s">
        <v>4031</v>
      </c>
      <c r="B1750" t="s">
        <v>14</v>
      </c>
      <c r="C1750" t="s">
        <v>47</v>
      </c>
      <c r="D1750" t="s">
        <v>3478</v>
      </c>
      <c r="E1750">
        <v>0</v>
      </c>
      <c r="F1750" t="s">
        <v>47</v>
      </c>
      <c r="G1750">
        <v>0</v>
      </c>
      <c r="H1750" t="s">
        <v>47</v>
      </c>
      <c r="I1750">
        <v>0</v>
      </c>
      <c r="J1750" t="s">
        <v>47</v>
      </c>
      <c r="K1750">
        <v>1</v>
      </c>
      <c r="L1750" t="s">
        <v>45</v>
      </c>
      <c r="M1750">
        <v>0</v>
      </c>
      <c r="N1750" t="s">
        <v>47</v>
      </c>
      <c r="O1750">
        <v>0</v>
      </c>
      <c r="P1750" t="s">
        <v>47</v>
      </c>
      <c r="Q1750">
        <v>1</v>
      </c>
      <c r="R1750" t="s">
        <v>45</v>
      </c>
      <c r="S1750">
        <v>0</v>
      </c>
      <c r="T1750" t="s">
        <v>47</v>
      </c>
    </row>
    <row r="1751" spans="1:20" x14ac:dyDescent="0.35">
      <c r="A1751" s="1" t="s">
        <v>4032</v>
      </c>
      <c r="B1751" t="s">
        <v>14</v>
      </c>
      <c r="C1751" t="s">
        <v>47</v>
      </c>
      <c r="D1751" t="s">
        <v>3479</v>
      </c>
      <c r="E1751">
        <v>0</v>
      </c>
      <c r="F1751" t="s">
        <v>47</v>
      </c>
      <c r="G1751">
        <v>0</v>
      </c>
      <c r="H1751" t="s">
        <v>47</v>
      </c>
      <c r="I1751">
        <v>0</v>
      </c>
      <c r="J1751" t="s">
        <v>47</v>
      </c>
      <c r="K1751">
        <v>0</v>
      </c>
      <c r="L1751" t="s">
        <v>47</v>
      </c>
      <c r="M1751">
        <v>0</v>
      </c>
      <c r="N1751" t="s">
        <v>47</v>
      </c>
      <c r="O1751">
        <v>0</v>
      </c>
      <c r="P1751" t="s">
        <v>47</v>
      </c>
      <c r="Q1751">
        <v>0</v>
      </c>
      <c r="R1751" t="s">
        <v>47</v>
      </c>
      <c r="S1751">
        <v>1</v>
      </c>
      <c r="T1751" t="s">
        <v>48</v>
      </c>
    </row>
    <row r="1752" spans="1:20" x14ac:dyDescent="0.35">
      <c r="A1752" s="1" t="s">
        <v>4033</v>
      </c>
      <c r="B1752" t="s">
        <v>14</v>
      </c>
      <c r="C1752" t="s">
        <v>47</v>
      </c>
      <c r="D1752" t="s">
        <v>3480</v>
      </c>
      <c r="E1752">
        <v>0</v>
      </c>
      <c r="F1752" t="s">
        <v>47</v>
      </c>
      <c r="G1752">
        <v>0</v>
      </c>
      <c r="H1752" t="s">
        <v>47</v>
      </c>
      <c r="I1752">
        <v>1</v>
      </c>
      <c r="J1752" t="s">
        <v>45</v>
      </c>
      <c r="K1752">
        <v>0</v>
      </c>
      <c r="L1752" t="s">
        <v>47</v>
      </c>
      <c r="M1752">
        <v>0</v>
      </c>
      <c r="N1752" t="s">
        <v>47</v>
      </c>
      <c r="O1752">
        <v>0</v>
      </c>
      <c r="P1752" t="s">
        <v>47</v>
      </c>
      <c r="Q1752">
        <v>0</v>
      </c>
      <c r="R1752" t="s">
        <v>47</v>
      </c>
      <c r="S1752">
        <v>0</v>
      </c>
      <c r="T1752" t="s">
        <v>47</v>
      </c>
    </row>
    <row r="1753" spans="1:20" x14ac:dyDescent="0.35">
      <c r="A1753" s="1" t="s">
        <v>4034</v>
      </c>
      <c r="B1753" t="s">
        <v>14</v>
      </c>
      <c r="C1753" t="s">
        <v>47</v>
      </c>
      <c r="D1753" t="s">
        <v>3481</v>
      </c>
      <c r="E1753">
        <v>0</v>
      </c>
      <c r="F1753" t="s">
        <v>47</v>
      </c>
      <c r="G1753">
        <v>0</v>
      </c>
      <c r="H1753" t="s">
        <v>47</v>
      </c>
      <c r="I1753">
        <v>0</v>
      </c>
      <c r="J1753" t="s">
        <v>47</v>
      </c>
      <c r="K1753">
        <v>1</v>
      </c>
      <c r="L1753" t="s">
        <v>48</v>
      </c>
      <c r="M1753">
        <v>0</v>
      </c>
      <c r="N1753" t="s">
        <v>47</v>
      </c>
      <c r="O1753">
        <v>0</v>
      </c>
      <c r="P1753" t="s">
        <v>47</v>
      </c>
      <c r="Q1753">
        <v>0</v>
      </c>
      <c r="R1753" t="s">
        <v>47</v>
      </c>
      <c r="S1753">
        <v>0</v>
      </c>
      <c r="T1753" t="s">
        <v>47</v>
      </c>
    </row>
    <row r="1754" spans="1:20" x14ac:dyDescent="0.35">
      <c r="A1754" s="1" t="s">
        <v>4035</v>
      </c>
      <c r="B1754" t="s">
        <v>14</v>
      </c>
      <c r="C1754" t="s">
        <v>47</v>
      </c>
      <c r="D1754" t="s">
        <v>3482</v>
      </c>
      <c r="E1754">
        <v>0</v>
      </c>
      <c r="F1754" t="s">
        <v>47</v>
      </c>
      <c r="G1754">
        <v>0</v>
      </c>
      <c r="H1754" t="s">
        <v>47</v>
      </c>
      <c r="I1754">
        <v>0</v>
      </c>
      <c r="J1754" t="s">
        <v>47</v>
      </c>
      <c r="K1754">
        <v>1</v>
      </c>
      <c r="L1754" t="s">
        <v>45</v>
      </c>
      <c r="M1754">
        <v>0</v>
      </c>
      <c r="N1754" t="s">
        <v>47</v>
      </c>
      <c r="O1754">
        <v>0</v>
      </c>
      <c r="P1754" t="s">
        <v>47</v>
      </c>
      <c r="Q1754">
        <v>0</v>
      </c>
      <c r="R1754" t="s">
        <v>47</v>
      </c>
      <c r="S1754">
        <v>1</v>
      </c>
      <c r="T1754" t="s">
        <v>45</v>
      </c>
    </row>
    <row r="1755" spans="1:20" x14ac:dyDescent="0.35">
      <c r="A1755" s="1" t="s">
        <v>4036</v>
      </c>
      <c r="B1755" t="s">
        <v>14</v>
      </c>
      <c r="C1755" t="s">
        <v>47</v>
      </c>
      <c r="D1755" t="s">
        <v>3483</v>
      </c>
      <c r="E1755">
        <v>0</v>
      </c>
      <c r="F1755" t="s">
        <v>47</v>
      </c>
      <c r="G1755">
        <v>0</v>
      </c>
      <c r="H1755" t="s">
        <v>47</v>
      </c>
      <c r="I1755">
        <v>1</v>
      </c>
      <c r="J1755" t="s">
        <v>48</v>
      </c>
      <c r="K1755">
        <v>0</v>
      </c>
      <c r="L1755" t="s">
        <v>47</v>
      </c>
      <c r="M1755">
        <v>0</v>
      </c>
      <c r="N1755" t="s">
        <v>47</v>
      </c>
      <c r="O1755">
        <v>0</v>
      </c>
      <c r="P1755" t="s">
        <v>47</v>
      </c>
      <c r="Q1755">
        <v>0</v>
      </c>
      <c r="R1755" t="s">
        <v>47</v>
      </c>
      <c r="S1755">
        <v>0</v>
      </c>
      <c r="T1755" t="s">
        <v>47</v>
      </c>
    </row>
    <row r="1756" spans="1:20" x14ac:dyDescent="0.35">
      <c r="A1756" s="1" t="s">
        <v>4037</v>
      </c>
      <c r="B1756" t="s">
        <v>14</v>
      </c>
      <c r="C1756" t="s">
        <v>47</v>
      </c>
      <c r="D1756" t="s">
        <v>3484</v>
      </c>
      <c r="E1756">
        <v>0</v>
      </c>
      <c r="F1756" t="s">
        <v>47</v>
      </c>
      <c r="G1756">
        <v>0</v>
      </c>
      <c r="H1756" t="s">
        <v>47</v>
      </c>
      <c r="I1756">
        <v>0</v>
      </c>
      <c r="J1756" t="s">
        <v>47</v>
      </c>
      <c r="K1756">
        <v>1</v>
      </c>
      <c r="L1756" t="s">
        <v>55</v>
      </c>
      <c r="M1756">
        <v>0</v>
      </c>
      <c r="N1756" t="s">
        <v>47</v>
      </c>
      <c r="O1756">
        <v>0</v>
      </c>
      <c r="P1756" t="s">
        <v>47</v>
      </c>
      <c r="Q1756">
        <v>0</v>
      </c>
      <c r="R1756" t="s">
        <v>47</v>
      </c>
      <c r="S1756">
        <v>0</v>
      </c>
      <c r="T1756" t="s">
        <v>47</v>
      </c>
    </row>
    <row r="1757" spans="1:20" x14ac:dyDescent="0.35">
      <c r="A1757" s="1" t="s">
        <v>4038</v>
      </c>
      <c r="B1757" t="s">
        <v>14</v>
      </c>
      <c r="C1757" t="s">
        <v>47</v>
      </c>
      <c r="D1757" t="s">
        <v>3485</v>
      </c>
      <c r="E1757">
        <v>0</v>
      </c>
      <c r="F1757" t="s">
        <v>47</v>
      </c>
      <c r="G1757">
        <v>0</v>
      </c>
      <c r="H1757" t="s">
        <v>47</v>
      </c>
      <c r="I1757">
        <v>0</v>
      </c>
      <c r="J1757" t="s">
        <v>47</v>
      </c>
      <c r="K1757">
        <v>0</v>
      </c>
      <c r="L1757" t="s">
        <v>47</v>
      </c>
      <c r="M1757">
        <v>0</v>
      </c>
      <c r="N1757" t="s">
        <v>47</v>
      </c>
      <c r="O1757">
        <v>0</v>
      </c>
      <c r="P1757" t="s">
        <v>47</v>
      </c>
      <c r="Q1757">
        <v>0</v>
      </c>
      <c r="R1757" t="s">
        <v>47</v>
      </c>
      <c r="S1757">
        <v>1</v>
      </c>
      <c r="T1757" t="s">
        <v>48</v>
      </c>
    </row>
    <row r="1758" spans="1:20" x14ac:dyDescent="0.35">
      <c r="A1758" s="1" t="s">
        <v>4039</v>
      </c>
      <c r="B1758" t="s">
        <v>14</v>
      </c>
      <c r="C1758" t="s">
        <v>47</v>
      </c>
      <c r="D1758" t="s">
        <v>3486</v>
      </c>
      <c r="E1758">
        <v>0</v>
      </c>
      <c r="F1758" t="s">
        <v>47</v>
      </c>
      <c r="G1758">
        <v>0</v>
      </c>
      <c r="H1758" t="s">
        <v>47</v>
      </c>
      <c r="I1758">
        <v>1</v>
      </c>
      <c r="J1758" t="s">
        <v>45</v>
      </c>
      <c r="K1758">
        <v>0</v>
      </c>
      <c r="L1758" t="s">
        <v>47</v>
      </c>
      <c r="M1758">
        <v>0</v>
      </c>
      <c r="N1758" t="s">
        <v>47</v>
      </c>
      <c r="O1758">
        <v>0</v>
      </c>
      <c r="P1758" t="s">
        <v>47</v>
      </c>
      <c r="Q1758">
        <v>0</v>
      </c>
      <c r="R1758" t="s">
        <v>47</v>
      </c>
      <c r="S1758">
        <v>0</v>
      </c>
      <c r="T1758" t="s">
        <v>47</v>
      </c>
    </row>
    <row r="1759" spans="1:20" x14ac:dyDescent="0.35">
      <c r="A1759" s="1" t="s">
        <v>4040</v>
      </c>
      <c r="B1759" t="s">
        <v>14</v>
      </c>
      <c r="C1759" t="s">
        <v>47</v>
      </c>
      <c r="D1759" t="s">
        <v>3487</v>
      </c>
      <c r="E1759">
        <v>0</v>
      </c>
      <c r="F1759" t="s">
        <v>47</v>
      </c>
      <c r="G1759">
        <v>0</v>
      </c>
      <c r="H1759" t="s">
        <v>47</v>
      </c>
      <c r="I1759">
        <v>1</v>
      </c>
      <c r="J1759" t="s">
        <v>48</v>
      </c>
      <c r="K1759">
        <v>0</v>
      </c>
      <c r="L1759" t="s">
        <v>47</v>
      </c>
      <c r="M1759">
        <v>0</v>
      </c>
      <c r="N1759" t="s">
        <v>47</v>
      </c>
      <c r="O1759">
        <v>0</v>
      </c>
      <c r="P1759" t="s">
        <v>47</v>
      </c>
      <c r="Q1759">
        <v>0</v>
      </c>
      <c r="R1759" t="s">
        <v>47</v>
      </c>
      <c r="S1759">
        <v>0</v>
      </c>
      <c r="T1759" t="s">
        <v>47</v>
      </c>
    </row>
    <row r="1760" spans="1:20" x14ac:dyDescent="0.35">
      <c r="A1760" s="1" t="s">
        <v>4041</v>
      </c>
      <c r="B1760" t="s">
        <v>14</v>
      </c>
      <c r="C1760" t="s">
        <v>47</v>
      </c>
      <c r="D1760" t="s">
        <v>3488</v>
      </c>
      <c r="E1760">
        <v>0</v>
      </c>
      <c r="F1760" t="s">
        <v>47</v>
      </c>
      <c r="G1760">
        <v>0</v>
      </c>
      <c r="H1760" t="s">
        <v>47</v>
      </c>
      <c r="I1760">
        <v>0</v>
      </c>
      <c r="J1760" t="s">
        <v>47</v>
      </c>
      <c r="K1760">
        <v>1</v>
      </c>
      <c r="L1760" t="s">
        <v>45</v>
      </c>
      <c r="M1760">
        <v>0</v>
      </c>
      <c r="N1760" t="s">
        <v>47</v>
      </c>
      <c r="O1760">
        <v>0</v>
      </c>
      <c r="P1760" t="s">
        <v>47</v>
      </c>
      <c r="Q1760">
        <v>0</v>
      </c>
      <c r="R1760" t="s">
        <v>47</v>
      </c>
      <c r="S1760">
        <v>0</v>
      </c>
      <c r="T1760" t="s">
        <v>47</v>
      </c>
    </row>
    <row r="1761" spans="1:20" x14ac:dyDescent="0.35">
      <c r="A1761" s="1" t="s">
        <v>4042</v>
      </c>
      <c r="B1761" t="s">
        <v>14</v>
      </c>
      <c r="C1761" t="s">
        <v>47</v>
      </c>
      <c r="D1761" t="s">
        <v>3489</v>
      </c>
      <c r="E1761">
        <v>0</v>
      </c>
      <c r="F1761" t="s">
        <v>47</v>
      </c>
      <c r="G1761">
        <v>0</v>
      </c>
      <c r="H1761" t="s">
        <v>47</v>
      </c>
      <c r="I1761">
        <v>0</v>
      </c>
      <c r="J1761" t="s">
        <v>47</v>
      </c>
      <c r="K1761">
        <v>0</v>
      </c>
      <c r="L1761" t="s">
        <v>47</v>
      </c>
      <c r="M1761">
        <v>0</v>
      </c>
      <c r="N1761" t="s">
        <v>47</v>
      </c>
      <c r="O1761">
        <v>0</v>
      </c>
      <c r="P1761" t="s">
        <v>47</v>
      </c>
      <c r="Q1761">
        <v>0</v>
      </c>
      <c r="R1761" t="s">
        <v>47</v>
      </c>
      <c r="S1761">
        <v>1</v>
      </c>
      <c r="T1761" t="s">
        <v>48</v>
      </c>
    </row>
    <row r="1762" spans="1:20" x14ac:dyDescent="0.35">
      <c r="A1762" s="1" t="s">
        <v>4043</v>
      </c>
      <c r="B1762" t="s">
        <v>14</v>
      </c>
      <c r="C1762" t="s">
        <v>47</v>
      </c>
      <c r="D1762" t="s">
        <v>3490</v>
      </c>
      <c r="E1762">
        <v>0</v>
      </c>
      <c r="F1762" t="s">
        <v>47</v>
      </c>
      <c r="G1762">
        <v>0</v>
      </c>
      <c r="H1762" t="s">
        <v>47</v>
      </c>
      <c r="I1762">
        <v>1</v>
      </c>
      <c r="J1762" t="s">
        <v>48</v>
      </c>
      <c r="K1762">
        <v>0</v>
      </c>
      <c r="L1762" t="s">
        <v>47</v>
      </c>
      <c r="M1762">
        <v>0</v>
      </c>
      <c r="N1762" t="s">
        <v>47</v>
      </c>
      <c r="O1762">
        <v>0</v>
      </c>
      <c r="P1762" t="s">
        <v>47</v>
      </c>
      <c r="Q1762">
        <v>0</v>
      </c>
      <c r="R1762" t="s">
        <v>47</v>
      </c>
      <c r="S1762">
        <v>0</v>
      </c>
      <c r="T1762" t="s">
        <v>47</v>
      </c>
    </row>
    <row r="1763" spans="1:20" x14ac:dyDescent="0.35">
      <c r="A1763" s="1" t="s">
        <v>4044</v>
      </c>
      <c r="B1763" t="s">
        <v>14</v>
      </c>
      <c r="C1763" t="s">
        <v>47</v>
      </c>
      <c r="D1763" t="s">
        <v>3491</v>
      </c>
      <c r="E1763">
        <v>0</v>
      </c>
      <c r="F1763" t="s">
        <v>47</v>
      </c>
      <c r="G1763">
        <v>0</v>
      </c>
      <c r="H1763" t="s">
        <v>47</v>
      </c>
      <c r="I1763">
        <v>0</v>
      </c>
      <c r="J1763" t="s">
        <v>47</v>
      </c>
      <c r="K1763">
        <v>1</v>
      </c>
      <c r="L1763" t="s">
        <v>45</v>
      </c>
      <c r="M1763">
        <v>0</v>
      </c>
      <c r="N1763" t="s">
        <v>47</v>
      </c>
      <c r="O1763">
        <v>0</v>
      </c>
      <c r="P1763" t="s">
        <v>47</v>
      </c>
      <c r="Q1763">
        <v>0</v>
      </c>
      <c r="R1763" t="s">
        <v>47</v>
      </c>
      <c r="S1763">
        <v>0</v>
      </c>
      <c r="T1763" t="s">
        <v>47</v>
      </c>
    </row>
    <row r="1764" spans="1:20" x14ac:dyDescent="0.35">
      <c r="A1764" s="1" t="s">
        <v>4045</v>
      </c>
      <c r="B1764" t="s">
        <v>14</v>
      </c>
      <c r="C1764" t="s">
        <v>47</v>
      </c>
      <c r="D1764" t="s">
        <v>3492</v>
      </c>
      <c r="E1764">
        <v>0</v>
      </c>
      <c r="F1764" t="s">
        <v>47</v>
      </c>
      <c r="G1764">
        <v>0</v>
      </c>
      <c r="H1764" t="s">
        <v>47</v>
      </c>
      <c r="I1764">
        <v>0</v>
      </c>
      <c r="J1764" t="s">
        <v>47</v>
      </c>
      <c r="K1764">
        <v>1</v>
      </c>
      <c r="L1764" t="s">
        <v>48</v>
      </c>
      <c r="M1764">
        <v>0</v>
      </c>
      <c r="N1764" t="s">
        <v>47</v>
      </c>
      <c r="O1764">
        <v>0</v>
      </c>
      <c r="P1764" t="s">
        <v>47</v>
      </c>
      <c r="Q1764">
        <v>0</v>
      </c>
      <c r="R1764" t="s">
        <v>47</v>
      </c>
      <c r="S1764">
        <v>1</v>
      </c>
      <c r="T1764" t="s">
        <v>45</v>
      </c>
    </row>
    <row r="1765" spans="1:20" x14ac:dyDescent="0.35">
      <c r="A1765" s="1" t="s">
        <v>4046</v>
      </c>
      <c r="B1765" t="s">
        <v>14</v>
      </c>
      <c r="C1765" t="s">
        <v>47</v>
      </c>
      <c r="D1765" t="s">
        <v>3493</v>
      </c>
      <c r="E1765">
        <v>0</v>
      </c>
      <c r="F1765" t="s">
        <v>47</v>
      </c>
      <c r="G1765">
        <v>0</v>
      </c>
      <c r="H1765" t="s">
        <v>47</v>
      </c>
      <c r="I1765">
        <v>1</v>
      </c>
      <c r="J1765" t="s">
        <v>45</v>
      </c>
      <c r="K1765">
        <v>0</v>
      </c>
      <c r="L1765" t="s">
        <v>47</v>
      </c>
      <c r="M1765">
        <v>0</v>
      </c>
      <c r="N1765" t="s">
        <v>47</v>
      </c>
      <c r="O1765">
        <v>0</v>
      </c>
      <c r="P1765" t="s">
        <v>47</v>
      </c>
      <c r="Q1765">
        <v>0</v>
      </c>
      <c r="R1765" t="s">
        <v>47</v>
      </c>
      <c r="S1765">
        <v>0</v>
      </c>
      <c r="T1765" t="s">
        <v>47</v>
      </c>
    </row>
    <row r="1766" spans="1:20" x14ac:dyDescent="0.35">
      <c r="A1766" s="1" t="s">
        <v>4047</v>
      </c>
      <c r="B1766" t="s">
        <v>14</v>
      </c>
      <c r="C1766" t="s">
        <v>47</v>
      </c>
      <c r="D1766" t="s">
        <v>3494</v>
      </c>
      <c r="E1766">
        <v>0</v>
      </c>
      <c r="F1766" t="s">
        <v>47</v>
      </c>
      <c r="G1766">
        <v>0</v>
      </c>
      <c r="H1766" t="s">
        <v>47</v>
      </c>
      <c r="I1766">
        <v>0</v>
      </c>
      <c r="J1766" t="s">
        <v>47</v>
      </c>
      <c r="K1766">
        <v>1</v>
      </c>
      <c r="L1766" t="s">
        <v>45</v>
      </c>
      <c r="M1766">
        <v>0</v>
      </c>
      <c r="N1766" t="s">
        <v>47</v>
      </c>
      <c r="O1766">
        <v>0</v>
      </c>
      <c r="P1766" t="s">
        <v>47</v>
      </c>
      <c r="Q1766">
        <v>0</v>
      </c>
      <c r="R1766" t="s">
        <v>47</v>
      </c>
      <c r="S1766">
        <v>0</v>
      </c>
      <c r="T1766" t="s">
        <v>47</v>
      </c>
    </row>
    <row r="1767" spans="1:20" x14ac:dyDescent="0.35">
      <c r="A1767" s="1" t="s">
        <v>4048</v>
      </c>
      <c r="B1767" t="s">
        <v>14</v>
      </c>
      <c r="C1767" t="s">
        <v>47</v>
      </c>
      <c r="D1767" t="s">
        <v>3495</v>
      </c>
      <c r="E1767">
        <v>0</v>
      </c>
      <c r="F1767" t="s">
        <v>47</v>
      </c>
      <c r="G1767">
        <v>0</v>
      </c>
      <c r="H1767" t="s">
        <v>47</v>
      </c>
      <c r="I1767">
        <v>0</v>
      </c>
      <c r="J1767" t="s">
        <v>47</v>
      </c>
      <c r="K1767">
        <v>0</v>
      </c>
      <c r="L1767" t="s">
        <v>47</v>
      </c>
      <c r="M1767">
        <v>0</v>
      </c>
      <c r="N1767" t="s">
        <v>47</v>
      </c>
      <c r="O1767">
        <v>0</v>
      </c>
      <c r="P1767" t="s">
        <v>47</v>
      </c>
      <c r="Q1767">
        <v>0</v>
      </c>
      <c r="R1767" t="s">
        <v>47</v>
      </c>
      <c r="S1767">
        <v>1</v>
      </c>
      <c r="T1767" t="s">
        <v>48</v>
      </c>
    </row>
    <row r="1768" spans="1:20" x14ac:dyDescent="0.35">
      <c r="A1768" s="1" t="s">
        <v>4049</v>
      </c>
      <c r="B1768" t="s">
        <v>14</v>
      </c>
      <c r="C1768" t="s">
        <v>47</v>
      </c>
      <c r="D1768" t="s">
        <v>3496</v>
      </c>
      <c r="E1768">
        <v>0</v>
      </c>
      <c r="F1768" t="s">
        <v>47</v>
      </c>
      <c r="G1768">
        <v>0</v>
      </c>
      <c r="H1768" t="s">
        <v>47</v>
      </c>
      <c r="I1768">
        <v>1</v>
      </c>
      <c r="J1768" t="s">
        <v>48</v>
      </c>
      <c r="K1768">
        <v>0</v>
      </c>
      <c r="L1768" t="s">
        <v>47</v>
      </c>
      <c r="M1768">
        <v>0</v>
      </c>
      <c r="N1768" t="s">
        <v>47</v>
      </c>
      <c r="O1768">
        <v>0</v>
      </c>
      <c r="P1768" t="s">
        <v>47</v>
      </c>
      <c r="Q1768">
        <v>0</v>
      </c>
      <c r="R1768" t="s">
        <v>47</v>
      </c>
      <c r="S1768">
        <v>0</v>
      </c>
      <c r="T1768" t="s">
        <v>47</v>
      </c>
    </row>
    <row r="1769" spans="1:20" x14ac:dyDescent="0.35">
      <c r="A1769" s="1" t="s">
        <v>4050</v>
      </c>
      <c r="B1769" t="s">
        <v>14</v>
      </c>
      <c r="C1769" t="s">
        <v>47</v>
      </c>
      <c r="D1769" t="s">
        <v>3497</v>
      </c>
      <c r="E1769">
        <v>0</v>
      </c>
      <c r="F1769" t="s">
        <v>47</v>
      </c>
      <c r="G1769">
        <v>0</v>
      </c>
      <c r="H1769" t="s">
        <v>47</v>
      </c>
      <c r="I1769">
        <v>0</v>
      </c>
      <c r="J1769" t="s">
        <v>47</v>
      </c>
      <c r="K1769">
        <v>1</v>
      </c>
      <c r="L1769" t="s">
        <v>48</v>
      </c>
      <c r="M1769">
        <v>0</v>
      </c>
      <c r="N1769" t="s">
        <v>47</v>
      </c>
      <c r="O1769">
        <v>0</v>
      </c>
      <c r="P1769" t="s">
        <v>47</v>
      </c>
      <c r="Q1769">
        <v>0</v>
      </c>
      <c r="R1769" t="s">
        <v>47</v>
      </c>
      <c r="S1769">
        <v>0</v>
      </c>
      <c r="T1769" t="s">
        <v>47</v>
      </c>
    </row>
    <row r="1770" spans="1:20" x14ac:dyDescent="0.35">
      <c r="A1770" s="1" t="s">
        <v>4051</v>
      </c>
      <c r="B1770" t="s">
        <v>14</v>
      </c>
      <c r="C1770" t="s">
        <v>47</v>
      </c>
      <c r="D1770" t="s">
        <v>3498</v>
      </c>
      <c r="E1770">
        <v>0</v>
      </c>
      <c r="F1770" t="s">
        <v>47</v>
      </c>
      <c r="G1770">
        <v>0</v>
      </c>
      <c r="H1770" t="s">
        <v>47</v>
      </c>
      <c r="I1770">
        <v>1</v>
      </c>
      <c r="J1770" t="s">
        <v>45</v>
      </c>
      <c r="K1770">
        <v>0</v>
      </c>
      <c r="L1770" t="s">
        <v>47</v>
      </c>
      <c r="M1770">
        <v>0</v>
      </c>
      <c r="N1770" t="s">
        <v>47</v>
      </c>
      <c r="O1770">
        <v>0</v>
      </c>
      <c r="P1770" t="s">
        <v>47</v>
      </c>
      <c r="Q1770">
        <v>0</v>
      </c>
      <c r="R1770" t="s">
        <v>47</v>
      </c>
      <c r="S1770">
        <v>1</v>
      </c>
      <c r="T1770" t="s">
        <v>45</v>
      </c>
    </row>
    <row r="1771" spans="1:20" x14ac:dyDescent="0.35">
      <c r="A1771" s="1" t="s">
        <v>4052</v>
      </c>
      <c r="B1771" t="s">
        <v>14</v>
      </c>
      <c r="C1771" t="s">
        <v>47</v>
      </c>
      <c r="D1771" t="s">
        <v>3499</v>
      </c>
      <c r="E1771">
        <v>0</v>
      </c>
      <c r="F1771" t="s">
        <v>47</v>
      </c>
      <c r="G1771">
        <v>0</v>
      </c>
      <c r="H1771" t="s">
        <v>47</v>
      </c>
      <c r="I1771">
        <v>1</v>
      </c>
      <c r="J1771" t="s">
        <v>48</v>
      </c>
      <c r="K1771">
        <v>0</v>
      </c>
      <c r="L1771" t="s">
        <v>47</v>
      </c>
      <c r="M1771">
        <v>0</v>
      </c>
      <c r="N1771" t="s">
        <v>47</v>
      </c>
      <c r="O1771">
        <v>0</v>
      </c>
      <c r="P1771" t="s">
        <v>47</v>
      </c>
      <c r="Q1771">
        <v>0</v>
      </c>
      <c r="R1771" t="s">
        <v>47</v>
      </c>
      <c r="S1771">
        <v>0</v>
      </c>
      <c r="T1771" t="s">
        <v>47</v>
      </c>
    </row>
    <row r="1772" spans="1:20" x14ac:dyDescent="0.35">
      <c r="A1772" s="1" t="s">
        <v>4053</v>
      </c>
      <c r="B1772" t="s">
        <v>14</v>
      </c>
      <c r="C1772" t="s">
        <v>47</v>
      </c>
      <c r="D1772" t="s">
        <v>3500</v>
      </c>
      <c r="E1772">
        <v>0</v>
      </c>
      <c r="F1772" t="s">
        <v>47</v>
      </c>
      <c r="G1772">
        <v>0</v>
      </c>
      <c r="H1772" t="s">
        <v>47</v>
      </c>
      <c r="I1772">
        <v>0</v>
      </c>
      <c r="J1772" t="s">
        <v>47</v>
      </c>
      <c r="K1772">
        <v>1</v>
      </c>
      <c r="L1772" t="s">
        <v>55</v>
      </c>
      <c r="M1772">
        <v>0</v>
      </c>
      <c r="N1772" t="s">
        <v>47</v>
      </c>
      <c r="O1772">
        <v>0</v>
      </c>
      <c r="P1772" t="s">
        <v>47</v>
      </c>
      <c r="Q1772">
        <v>1</v>
      </c>
      <c r="R1772" t="s">
        <v>48</v>
      </c>
      <c r="S1772">
        <v>0</v>
      </c>
      <c r="T1772" t="s">
        <v>47</v>
      </c>
    </row>
    <row r="1773" spans="1:20" x14ac:dyDescent="0.35">
      <c r="A1773" s="1" t="s">
        <v>4054</v>
      </c>
      <c r="B1773" t="s">
        <v>14</v>
      </c>
      <c r="C1773" t="s">
        <v>47</v>
      </c>
      <c r="D1773" t="s">
        <v>3501</v>
      </c>
      <c r="E1773">
        <v>0</v>
      </c>
      <c r="F1773" t="s">
        <v>47</v>
      </c>
      <c r="G1773">
        <v>0</v>
      </c>
      <c r="H1773" t="s">
        <v>47</v>
      </c>
      <c r="I1773">
        <v>0</v>
      </c>
      <c r="J1773" t="s">
        <v>47</v>
      </c>
      <c r="K1773">
        <v>1</v>
      </c>
      <c r="L1773" t="s">
        <v>45</v>
      </c>
      <c r="M1773">
        <v>0</v>
      </c>
      <c r="N1773" t="s">
        <v>47</v>
      </c>
      <c r="O1773">
        <v>0</v>
      </c>
      <c r="P1773" t="s">
        <v>47</v>
      </c>
      <c r="Q1773">
        <v>1</v>
      </c>
      <c r="R1773" t="s">
        <v>45</v>
      </c>
      <c r="S1773">
        <v>1</v>
      </c>
      <c r="T1773" t="s">
        <v>45</v>
      </c>
    </row>
    <row r="1774" spans="1:20" x14ac:dyDescent="0.35">
      <c r="A1774" s="1" t="s">
        <v>4055</v>
      </c>
      <c r="B1774" t="s">
        <v>14</v>
      </c>
      <c r="C1774" t="s">
        <v>47</v>
      </c>
      <c r="D1774" t="s">
        <v>3502</v>
      </c>
      <c r="E1774">
        <v>0</v>
      </c>
      <c r="F1774" t="s">
        <v>47</v>
      </c>
      <c r="G1774">
        <v>0</v>
      </c>
      <c r="H1774" t="s">
        <v>47</v>
      </c>
      <c r="I1774">
        <v>1</v>
      </c>
      <c r="J1774" t="s">
        <v>55</v>
      </c>
      <c r="K1774">
        <v>0</v>
      </c>
      <c r="L1774" t="s">
        <v>47</v>
      </c>
      <c r="M1774">
        <v>0</v>
      </c>
      <c r="N1774" t="s">
        <v>47</v>
      </c>
      <c r="O1774">
        <v>0</v>
      </c>
      <c r="P1774" t="s">
        <v>47</v>
      </c>
      <c r="Q1774">
        <v>0</v>
      </c>
      <c r="R1774" t="s">
        <v>47</v>
      </c>
      <c r="S1774">
        <v>0</v>
      </c>
      <c r="T1774" t="s">
        <v>47</v>
      </c>
    </row>
    <row r="1775" spans="1:20" x14ac:dyDescent="0.35">
      <c r="A1775" s="1" t="s">
        <v>4056</v>
      </c>
      <c r="B1775" t="s">
        <v>14</v>
      </c>
      <c r="C1775" t="s">
        <v>47</v>
      </c>
      <c r="D1775" t="s">
        <v>3503</v>
      </c>
      <c r="E1775">
        <v>0</v>
      </c>
      <c r="F1775" t="s">
        <v>47</v>
      </c>
      <c r="G1775">
        <v>0</v>
      </c>
      <c r="H1775" t="s">
        <v>47</v>
      </c>
      <c r="I1775">
        <v>0</v>
      </c>
      <c r="J1775" t="s">
        <v>47</v>
      </c>
      <c r="K1775">
        <v>1</v>
      </c>
      <c r="L1775" t="s">
        <v>45</v>
      </c>
      <c r="M1775">
        <v>0</v>
      </c>
      <c r="N1775" t="s">
        <v>47</v>
      </c>
      <c r="O1775">
        <v>0</v>
      </c>
      <c r="P1775" t="s">
        <v>47</v>
      </c>
      <c r="Q1775">
        <v>0</v>
      </c>
      <c r="R1775" t="s">
        <v>47</v>
      </c>
      <c r="S1775">
        <v>0</v>
      </c>
      <c r="T1775" t="s">
        <v>47</v>
      </c>
    </row>
    <row r="1776" spans="1:20" x14ac:dyDescent="0.35">
      <c r="A1776" s="1" t="s">
        <v>4057</v>
      </c>
      <c r="B1776" t="s">
        <v>14</v>
      </c>
      <c r="C1776" t="s">
        <v>47</v>
      </c>
      <c r="D1776" t="s">
        <v>3504</v>
      </c>
      <c r="E1776">
        <v>0</v>
      </c>
      <c r="F1776" t="s">
        <v>47</v>
      </c>
      <c r="G1776">
        <v>0</v>
      </c>
      <c r="H1776" t="s">
        <v>47</v>
      </c>
      <c r="I1776">
        <v>0</v>
      </c>
      <c r="J1776" t="s">
        <v>47</v>
      </c>
      <c r="K1776">
        <v>1</v>
      </c>
      <c r="L1776" t="s">
        <v>45</v>
      </c>
      <c r="M1776">
        <v>0</v>
      </c>
      <c r="N1776" t="s">
        <v>47</v>
      </c>
      <c r="O1776">
        <v>0</v>
      </c>
      <c r="P1776" t="s">
        <v>47</v>
      </c>
      <c r="Q1776">
        <v>0</v>
      </c>
      <c r="R1776" t="s">
        <v>47</v>
      </c>
      <c r="S1776">
        <v>1</v>
      </c>
      <c r="T1776" t="s">
        <v>45</v>
      </c>
    </row>
    <row r="1777" spans="1:20" x14ac:dyDescent="0.35">
      <c r="A1777" s="1" t="s">
        <v>4058</v>
      </c>
      <c r="B1777" t="s">
        <v>14</v>
      </c>
      <c r="C1777" t="s">
        <v>47</v>
      </c>
      <c r="D1777" t="s">
        <v>3505</v>
      </c>
      <c r="E1777">
        <v>0</v>
      </c>
      <c r="F1777" t="s">
        <v>47</v>
      </c>
      <c r="G1777">
        <v>0</v>
      </c>
      <c r="H1777" t="s">
        <v>47</v>
      </c>
      <c r="I1777">
        <v>1</v>
      </c>
      <c r="J1777" t="s">
        <v>48</v>
      </c>
      <c r="K1777">
        <v>0</v>
      </c>
      <c r="L1777" t="s">
        <v>47</v>
      </c>
      <c r="M1777">
        <v>0</v>
      </c>
      <c r="N1777" t="s">
        <v>47</v>
      </c>
      <c r="O1777">
        <v>0</v>
      </c>
      <c r="P1777" t="s">
        <v>47</v>
      </c>
      <c r="Q1777">
        <v>0</v>
      </c>
      <c r="R1777" t="s">
        <v>47</v>
      </c>
      <c r="S1777">
        <v>0</v>
      </c>
      <c r="T1777" t="s">
        <v>47</v>
      </c>
    </row>
    <row r="1778" spans="1:20" x14ac:dyDescent="0.35">
      <c r="A1778" s="1" t="s">
        <v>4059</v>
      </c>
      <c r="B1778" t="s">
        <v>14</v>
      </c>
      <c r="C1778" t="s">
        <v>47</v>
      </c>
      <c r="D1778" t="s">
        <v>3506</v>
      </c>
      <c r="E1778">
        <v>0</v>
      </c>
      <c r="F1778" t="s">
        <v>47</v>
      </c>
      <c r="G1778">
        <v>0</v>
      </c>
      <c r="H1778" t="s">
        <v>47</v>
      </c>
      <c r="I1778">
        <v>0</v>
      </c>
      <c r="J1778" t="s">
        <v>47</v>
      </c>
      <c r="K1778">
        <v>1</v>
      </c>
      <c r="L1778" t="s">
        <v>48</v>
      </c>
      <c r="M1778">
        <v>0</v>
      </c>
      <c r="N1778" t="s">
        <v>47</v>
      </c>
      <c r="O1778">
        <v>0</v>
      </c>
      <c r="P1778" t="s">
        <v>47</v>
      </c>
      <c r="Q1778">
        <v>0</v>
      </c>
      <c r="R1778" t="s">
        <v>47</v>
      </c>
      <c r="S1778">
        <v>1</v>
      </c>
      <c r="T1778" t="s">
        <v>45</v>
      </c>
    </row>
    <row r="1779" spans="1:20" x14ac:dyDescent="0.35">
      <c r="A1779" s="1" t="s">
        <v>4060</v>
      </c>
      <c r="B1779" t="s">
        <v>14</v>
      </c>
      <c r="C1779" t="s">
        <v>47</v>
      </c>
      <c r="D1779" t="s">
        <v>3507</v>
      </c>
      <c r="E1779">
        <v>0</v>
      </c>
      <c r="F1779" t="s">
        <v>47</v>
      </c>
      <c r="G1779">
        <v>0</v>
      </c>
      <c r="H1779" t="s">
        <v>47</v>
      </c>
      <c r="I1779">
        <v>1</v>
      </c>
      <c r="J1779" t="s">
        <v>45</v>
      </c>
      <c r="K1779">
        <v>0</v>
      </c>
      <c r="L1779" t="s">
        <v>47</v>
      </c>
      <c r="M1779">
        <v>0</v>
      </c>
      <c r="N1779" t="s">
        <v>47</v>
      </c>
      <c r="O1779">
        <v>0</v>
      </c>
      <c r="P1779" t="s">
        <v>47</v>
      </c>
      <c r="Q1779">
        <v>0</v>
      </c>
      <c r="R1779" t="s">
        <v>47</v>
      </c>
      <c r="S1779">
        <v>0</v>
      </c>
      <c r="T1779" t="s">
        <v>47</v>
      </c>
    </row>
    <row r="1780" spans="1:20" x14ac:dyDescent="0.35">
      <c r="A1780" s="1" t="s">
        <v>4061</v>
      </c>
      <c r="B1780" t="s">
        <v>14</v>
      </c>
      <c r="C1780" t="s">
        <v>47</v>
      </c>
      <c r="D1780" t="s">
        <v>3508</v>
      </c>
      <c r="E1780">
        <v>0</v>
      </c>
      <c r="F1780" t="s">
        <v>47</v>
      </c>
      <c r="G1780">
        <v>0</v>
      </c>
      <c r="H1780" t="s">
        <v>47</v>
      </c>
      <c r="I1780">
        <v>0</v>
      </c>
      <c r="J1780" t="s">
        <v>47</v>
      </c>
      <c r="K1780">
        <v>0</v>
      </c>
      <c r="L1780" t="s">
        <v>47</v>
      </c>
      <c r="M1780">
        <v>0</v>
      </c>
      <c r="N1780" t="s">
        <v>47</v>
      </c>
      <c r="O1780">
        <v>0</v>
      </c>
      <c r="P1780" t="s">
        <v>47</v>
      </c>
      <c r="Q1780">
        <v>0</v>
      </c>
      <c r="R1780" t="s">
        <v>47</v>
      </c>
      <c r="S1780">
        <v>1</v>
      </c>
      <c r="T1780" t="s">
        <v>48</v>
      </c>
    </row>
    <row r="1781" spans="1:20" x14ac:dyDescent="0.35">
      <c r="A1781" s="1" t="s">
        <v>4062</v>
      </c>
      <c r="B1781" t="s">
        <v>14</v>
      </c>
      <c r="C1781" t="s">
        <v>47</v>
      </c>
      <c r="D1781" t="s">
        <v>3509</v>
      </c>
      <c r="E1781">
        <v>0</v>
      </c>
      <c r="F1781" t="s">
        <v>47</v>
      </c>
      <c r="G1781">
        <v>0</v>
      </c>
      <c r="H1781" t="s">
        <v>47</v>
      </c>
      <c r="I1781">
        <v>0</v>
      </c>
      <c r="J1781" t="s">
        <v>47</v>
      </c>
      <c r="K1781">
        <v>1</v>
      </c>
      <c r="L1781" t="s">
        <v>45</v>
      </c>
      <c r="M1781">
        <v>0</v>
      </c>
      <c r="N1781" t="s">
        <v>47</v>
      </c>
      <c r="O1781">
        <v>0</v>
      </c>
      <c r="P1781" t="s">
        <v>47</v>
      </c>
      <c r="Q1781">
        <v>0</v>
      </c>
      <c r="R1781" t="s">
        <v>47</v>
      </c>
      <c r="S1781">
        <v>0</v>
      </c>
      <c r="T1781" t="s">
        <v>47</v>
      </c>
    </row>
    <row r="1782" spans="1:20" x14ac:dyDescent="0.35">
      <c r="A1782" s="1" t="s">
        <v>4063</v>
      </c>
      <c r="B1782" t="s">
        <v>14</v>
      </c>
      <c r="C1782" t="s">
        <v>47</v>
      </c>
      <c r="D1782" t="s">
        <v>3510</v>
      </c>
      <c r="E1782">
        <v>0</v>
      </c>
      <c r="F1782" t="s">
        <v>47</v>
      </c>
      <c r="G1782">
        <v>0</v>
      </c>
      <c r="H1782" t="s">
        <v>47</v>
      </c>
      <c r="I1782">
        <v>1</v>
      </c>
      <c r="J1782" t="s">
        <v>48</v>
      </c>
      <c r="K1782">
        <v>0</v>
      </c>
      <c r="L1782" t="s">
        <v>47</v>
      </c>
      <c r="M1782">
        <v>0</v>
      </c>
      <c r="N1782" t="s">
        <v>47</v>
      </c>
      <c r="O1782">
        <v>0</v>
      </c>
      <c r="P1782" t="s">
        <v>47</v>
      </c>
      <c r="Q1782">
        <v>0</v>
      </c>
      <c r="R1782" t="s">
        <v>47</v>
      </c>
      <c r="S1782">
        <v>0</v>
      </c>
      <c r="T1782" t="s">
        <v>47</v>
      </c>
    </row>
    <row r="1783" spans="1:20" x14ac:dyDescent="0.35">
      <c r="A1783" s="1" t="s">
        <v>4064</v>
      </c>
      <c r="B1783" t="s">
        <v>14</v>
      </c>
      <c r="C1783" t="s">
        <v>47</v>
      </c>
      <c r="D1783" t="s">
        <v>3511</v>
      </c>
      <c r="E1783">
        <v>0</v>
      </c>
      <c r="F1783" t="s">
        <v>47</v>
      </c>
      <c r="G1783">
        <v>0</v>
      </c>
      <c r="H1783" t="s">
        <v>47</v>
      </c>
      <c r="I1783">
        <v>0</v>
      </c>
      <c r="J1783" t="s">
        <v>47</v>
      </c>
      <c r="K1783">
        <v>1</v>
      </c>
      <c r="L1783" t="s">
        <v>48</v>
      </c>
      <c r="M1783">
        <v>0</v>
      </c>
      <c r="N1783" t="s">
        <v>47</v>
      </c>
      <c r="O1783">
        <v>0</v>
      </c>
      <c r="P1783" t="s">
        <v>47</v>
      </c>
      <c r="Q1783">
        <v>0</v>
      </c>
      <c r="R1783" t="s">
        <v>47</v>
      </c>
      <c r="S1783">
        <v>1</v>
      </c>
      <c r="T1783" t="s">
        <v>45</v>
      </c>
    </row>
    <row r="1784" spans="1:20" x14ac:dyDescent="0.35">
      <c r="A1784" s="1" t="s">
        <v>4065</v>
      </c>
      <c r="B1784" t="s">
        <v>14</v>
      </c>
      <c r="C1784" t="s">
        <v>47</v>
      </c>
      <c r="D1784" t="s">
        <v>3512</v>
      </c>
      <c r="E1784">
        <v>0</v>
      </c>
      <c r="F1784" t="s">
        <v>47</v>
      </c>
      <c r="G1784">
        <v>0</v>
      </c>
      <c r="H1784" t="s">
        <v>47</v>
      </c>
      <c r="I1784">
        <v>1</v>
      </c>
      <c r="J1784" t="s">
        <v>45</v>
      </c>
      <c r="K1784">
        <v>0</v>
      </c>
      <c r="L1784" t="s">
        <v>47</v>
      </c>
      <c r="M1784">
        <v>0</v>
      </c>
      <c r="N1784" t="s">
        <v>47</v>
      </c>
      <c r="O1784">
        <v>0</v>
      </c>
      <c r="P1784" t="s">
        <v>47</v>
      </c>
      <c r="Q1784">
        <v>0</v>
      </c>
      <c r="R1784" t="s">
        <v>47</v>
      </c>
      <c r="S1784">
        <v>0</v>
      </c>
      <c r="T1784" t="s">
        <v>47</v>
      </c>
    </row>
    <row r="1785" spans="1:20" x14ac:dyDescent="0.35">
      <c r="A1785" s="1" t="s">
        <v>4066</v>
      </c>
      <c r="B1785" t="s">
        <v>14</v>
      </c>
      <c r="C1785" t="s">
        <v>47</v>
      </c>
      <c r="D1785" t="s">
        <v>3513</v>
      </c>
      <c r="E1785">
        <v>0</v>
      </c>
      <c r="F1785" t="s">
        <v>47</v>
      </c>
      <c r="G1785">
        <v>0</v>
      </c>
      <c r="H1785" t="s">
        <v>47</v>
      </c>
      <c r="I1785">
        <v>0</v>
      </c>
      <c r="J1785" t="s">
        <v>47</v>
      </c>
      <c r="K1785">
        <v>1</v>
      </c>
      <c r="L1785" t="s">
        <v>48</v>
      </c>
      <c r="M1785">
        <v>0</v>
      </c>
      <c r="N1785" t="s">
        <v>47</v>
      </c>
      <c r="O1785">
        <v>0</v>
      </c>
      <c r="P1785" t="s">
        <v>47</v>
      </c>
      <c r="Q1785">
        <v>1</v>
      </c>
      <c r="R1785" t="s">
        <v>45</v>
      </c>
      <c r="S1785">
        <v>0</v>
      </c>
      <c r="T1785" t="s">
        <v>47</v>
      </c>
    </row>
    <row r="1786" spans="1:20" x14ac:dyDescent="0.35">
      <c r="A1786" s="1" t="s">
        <v>4067</v>
      </c>
      <c r="B1786" t="s">
        <v>14</v>
      </c>
      <c r="C1786" t="s">
        <v>47</v>
      </c>
      <c r="D1786" t="s">
        <v>3514</v>
      </c>
      <c r="E1786">
        <v>0</v>
      </c>
      <c r="F1786" t="s">
        <v>47</v>
      </c>
      <c r="G1786">
        <v>0</v>
      </c>
      <c r="H1786" t="s">
        <v>47</v>
      </c>
      <c r="I1786">
        <v>0</v>
      </c>
      <c r="J1786" t="s">
        <v>47</v>
      </c>
      <c r="K1786">
        <v>0</v>
      </c>
      <c r="L1786" t="s">
        <v>47</v>
      </c>
      <c r="M1786">
        <v>0</v>
      </c>
      <c r="N1786" t="s">
        <v>47</v>
      </c>
      <c r="O1786">
        <v>0</v>
      </c>
      <c r="P1786" t="s">
        <v>47</v>
      </c>
      <c r="Q1786">
        <v>0</v>
      </c>
      <c r="R1786" t="s">
        <v>47</v>
      </c>
      <c r="S1786">
        <v>1</v>
      </c>
      <c r="T1786" t="s">
        <v>45</v>
      </c>
    </row>
    <row r="1787" spans="1:20" x14ac:dyDescent="0.35">
      <c r="A1787" s="1" t="s">
        <v>4068</v>
      </c>
      <c r="B1787" t="s">
        <v>14</v>
      </c>
      <c r="C1787" t="s">
        <v>47</v>
      </c>
      <c r="D1787" t="s">
        <v>3515</v>
      </c>
      <c r="E1787">
        <v>0</v>
      </c>
      <c r="F1787" t="s">
        <v>47</v>
      </c>
      <c r="G1787">
        <v>0</v>
      </c>
      <c r="H1787" t="s">
        <v>47</v>
      </c>
      <c r="I1787">
        <v>1</v>
      </c>
      <c r="J1787" t="s">
        <v>48</v>
      </c>
      <c r="K1787">
        <v>0</v>
      </c>
      <c r="L1787" t="s">
        <v>47</v>
      </c>
      <c r="M1787">
        <v>0</v>
      </c>
      <c r="N1787" t="s">
        <v>47</v>
      </c>
      <c r="O1787">
        <v>0</v>
      </c>
      <c r="P1787" t="s">
        <v>47</v>
      </c>
      <c r="Q1787">
        <v>0</v>
      </c>
      <c r="R1787" t="s">
        <v>47</v>
      </c>
      <c r="S1787">
        <v>0</v>
      </c>
      <c r="T1787" t="s">
        <v>47</v>
      </c>
    </row>
    <row r="1788" spans="1:20" x14ac:dyDescent="0.35">
      <c r="A1788" s="1" t="s">
        <v>4069</v>
      </c>
      <c r="B1788" t="s">
        <v>14</v>
      </c>
      <c r="C1788" t="s">
        <v>47</v>
      </c>
      <c r="D1788" t="s">
        <v>3516</v>
      </c>
      <c r="E1788">
        <v>0</v>
      </c>
      <c r="F1788" t="s">
        <v>47</v>
      </c>
      <c r="G1788">
        <v>0</v>
      </c>
      <c r="H1788" t="s">
        <v>47</v>
      </c>
      <c r="I1788">
        <v>0</v>
      </c>
      <c r="J1788" t="s">
        <v>47</v>
      </c>
      <c r="K1788">
        <v>1</v>
      </c>
      <c r="L1788" t="s">
        <v>45</v>
      </c>
      <c r="M1788">
        <v>0</v>
      </c>
      <c r="N1788" t="s">
        <v>47</v>
      </c>
      <c r="O1788">
        <v>0</v>
      </c>
      <c r="P1788" t="s">
        <v>47</v>
      </c>
      <c r="Q1788">
        <v>0</v>
      </c>
      <c r="R1788" t="s">
        <v>47</v>
      </c>
      <c r="S1788">
        <v>0</v>
      </c>
      <c r="T1788" t="s">
        <v>47</v>
      </c>
    </row>
    <row r="1789" spans="1:20" x14ac:dyDescent="0.35">
      <c r="A1789" s="1" t="s">
        <v>4070</v>
      </c>
      <c r="B1789" t="s">
        <v>14</v>
      </c>
      <c r="C1789" t="s">
        <v>47</v>
      </c>
      <c r="D1789" t="s">
        <v>3517</v>
      </c>
      <c r="E1789">
        <v>0</v>
      </c>
      <c r="F1789" t="s">
        <v>47</v>
      </c>
      <c r="G1789">
        <v>0</v>
      </c>
      <c r="H1789" t="s">
        <v>47</v>
      </c>
      <c r="I1789">
        <v>0</v>
      </c>
      <c r="J1789" t="s">
        <v>47</v>
      </c>
      <c r="K1789">
        <v>0</v>
      </c>
      <c r="L1789" t="s">
        <v>47</v>
      </c>
      <c r="M1789">
        <v>0</v>
      </c>
      <c r="N1789" t="s">
        <v>47</v>
      </c>
      <c r="O1789">
        <v>0</v>
      </c>
      <c r="P1789" t="s">
        <v>47</v>
      </c>
      <c r="Q1789">
        <v>0</v>
      </c>
      <c r="R1789" t="s">
        <v>47</v>
      </c>
      <c r="S1789">
        <v>1</v>
      </c>
      <c r="T1789" t="s">
        <v>48</v>
      </c>
    </row>
    <row r="1790" spans="1:20" x14ac:dyDescent="0.35">
      <c r="A1790" s="1" t="s">
        <v>4071</v>
      </c>
      <c r="B1790" t="s">
        <v>14</v>
      </c>
      <c r="C1790" t="s">
        <v>47</v>
      </c>
      <c r="D1790" t="s">
        <v>3518</v>
      </c>
      <c r="E1790">
        <v>0</v>
      </c>
      <c r="F1790" t="s">
        <v>47</v>
      </c>
      <c r="G1790">
        <v>0</v>
      </c>
      <c r="H1790" t="s">
        <v>47</v>
      </c>
      <c r="I1790">
        <v>1</v>
      </c>
      <c r="J1790" t="s">
        <v>45</v>
      </c>
      <c r="K1790">
        <v>0</v>
      </c>
      <c r="L1790" t="s">
        <v>47</v>
      </c>
      <c r="M1790">
        <v>0</v>
      </c>
      <c r="N1790" t="s">
        <v>47</v>
      </c>
      <c r="O1790">
        <v>0</v>
      </c>
      <c r="P1790" t="s">
        <v>47</v>
      </c>
      <c r="Q1790">
        <v>0</v>
      </c>
      <c r="R1790" t="s">
        <v>47</v>
      </c>
      <c r="S1790">
        <v>0</v>
      </c>
      <c r="T1790" t="s">
        <v>47</v>
      </c>
    </row>
    <row r="1791" spans="1:20" x14ac:dyDescent="0.35">
      <c r="A1791" s="1" t="s">
        <v>4072</v>
      </c>
      <c r="B1791" t="s">
        <v>14</v>
      </c>
      <c r="C1791" t="s">
        <v>47</v>
      </c>
      <c r="D1791" t="s">
        <v>3519</v>
      </c>
      <c r="E1791">
        <v>0</v>
      </c>
      <c r="F1791" t="s">
        <v>47</v>
      </c>
      <c r="G1791">
        <v>0</v>
      </c>
      <c r="H1791" t="s">
        <v>47</v>
      </c>
      <c r="I1791">
        <v>0</v>
      </c>
      <c r="J1791" t="s">
        <v>47</v>
      </c>
      <c r="K1791">
        <v>1</v>
      </c>
      <c r="L1791" t="s">
        <v>48</v>
      </c>
      <c r="M1791">
        <v>0</v>
      </c>
      <c r="N1791" t="s">
        <v>47</v>
      </c>
      <c r="O1791">
        <v>0</v>
      </c>
      <c r="P1791" t="s">
        <v>47</v>
      </c>
      <c r="Q1791">
        <v>0</v>
      </c>
      <c r="R1791" t="s">
        <v>47</v>
      </c>
      <c r="S1791">
        <v>0</v>
      </c>
      <c r="T1791" t="s">
        <v>47</v>
      </c>
    </row>
    <row r="1792" spans="1:20" x14ac:dyDescent="0.35">
      <c r="A1792" s="1" t="s">
        <v>4073</v>
      </c>
      <c r="B1792" t="s">
        <v>14</v>
      </c>
      <c r="C1792" t="s">
        <v>47</v>
      </c>
      <c r="D1792" t="s">
        <v>3520</v>
      </c>
      <c r="E1792">
        <v>0</v>
      </c>
      <c r="F1792" t="s">
        <v>47</v>
      </c>
      <c r="G1792">
        <v>0</v>
      </c>
      <c r="H1792" t="s">
        <v>47</v>
      </c>
      <c r="I1792">
        <v>0</v>
      </c>
      <c r="J1792" t="s">
        <v>47</v>
      </c>
      <c r="K1792">
        <v>1</v>
      </c>
      <c r="L1792" t="s">
        <v>45</v>
      </c>
      <c r="M1792">
        <v>0</v>
      </c>
      <c r="N1792" t="s">
        <v>47</v>
      </c>
      <c r="O1792">
        <v>0</v>
      </c>
      <c r="P1792" t="s">
        <v>47</v>
      </c>
      <c r="Q1792">
        <v>1</v>
      </c>
      <c r="R1792" t="s">
        <v>45</v>
      </c>
      <c r="S1792">
        <v>1</v>
      </c>
      <c r="T1792" t="s">
        <v>45</v>
      </c>
    </row>
    <row r="1793" spans="1:20" x14ac:dyDescent="0.35">
      <c r="A1793" s="1" t="s">
        <v>4074</v>
      </c>
      <c r="B1793" t="s">
        <v>14</v>
      </c>
      <c r="C1793" t="s">
        <v>47</v>
      </c>
      <c r="D1793" t="s">
        <v>3521</v>
      </c>
      <c r="E1793">
        <v>0</v>
      </c>
      <c r="F1793" t="s">
        <v>47</v>
      </c>
      <c r="G1793">
        <v>0</v>
      </c>
      <c r="H1793" t="s">
        <v>47</v>
      </c>
      <c r="I1793">
        <v>1</v>
      </c>
      <c r="J1793" t="s">
        <v>48</v>
      </c>
      <c r="K1793">
        <v>0</v>
      </c>
      <c r="L1793" t="s">
        <v>47</v>
      </c>
      <c r="M1793">
        <v>0</v>
      </c>
      <c r="N1793" t="s">
        <v>47</v>
      </c>
      <c r="O1793">
        <v>0</v>
      </c>
      <c r="P1793" t="s">
        <v>47</v>
      </c>
      <c r="Q1793">
        <v>0</v>
      </c>
      <c r="R1793" t="s">
        <v>47</v>
      </c>
      <c r="S1793">
        <v>0</v>
      </c>
      <c r="T1793" t="s">
        <v>47</v>
      </c>
    </row>
    <row r="1794" spans="1:20" x14ac:dyDescent="0.35">
      <c r="A1794" s="1" t="s">
        <v>4075</v>
      </c>
      <c r="B1794" t="s">
        <v>14</v>
      </c>
      <c r="C1794" t="s">
        <v>47</v>
      </c>
      <c r="D1794" t="s">
        <v>3522</v>
      </c>
      <c r="E1794">
        <v>0</v>
      </c>
      <c r="F1794" t="s">
        <v>47</v>
      </c>
      <c r="G1794">
        <v>0</v>
      </c>
      <c r="H1794" t="s">
        <v>47</v>
      </c>
      <c r="I1794">
        <v>0</v>
      </c>
      <c r="J1794" t="s">
        <v>47</v>
      </c>
      <c r="K1794">
        <v>1</v>
      </c>
      <c r="L1794" t="s">
        <v>45</v>
      </c>
      <c r="M1794">
        <v>0</v>
      </c>
      <c r="N1794" t="s">
        <v>47</v>
      </c>
      <c r="O1794">
        <v>0</v>
      </c>
      <c r="P1794" t="s">
        <v>47</v>
      </c>
      <c r="Q1794">
        <v>0</v>
      </c>
      <c r="R1794" t="s">
        <v>47</v>
      </c>
      <c r="S1794">
        <v>0</v>
      </c>
      <c r="T1794" t="s">
        <v>47</v>
      </c>
    </row>
    <row r="1795" spans="1:20" x14ac:dyDescent="0.35">
      <c r="A1795" s="1" t="s">
        <v>4076</v>
      </c>
      <c r="B1795" t="s">
        <v>14</v>
      </c>
      <c r="C1795" t="s">
        <v>47</v>
      </c>
      <c r="D1795" t="s">
        <v>3523</v>
      </c>
      <c r="E1795">
        <v>0</v>
      </c>
      <c r="F1795" t="s">
        <v>47</v>
      </c>
      <c r="G1795">
        <v>0</v>
      </c>
      <c r="H1795" t="s">
        <v>47</v>
      </c>
      <c r="I1795">
        <v>0</v>
      </c>
      <c r="J1795" t="s">
        <v>47</v>
      </c>
      <c r="K1795">
        <v>1</v>
      </c>
      <c r="L1795" t="s">
        <v>45</v>
      </c>
      <c r="M1795">
        <v>0</v>
      </c>
      <c r="N1795" t="s">
        <v>47</v>
      </c>
      <c r="O1795">
        <v>0</v>
      </c>
      <c r="P1795" t="s">
        <v>47</v>
      </c>
      <c r="Q1795">
        <v>0</v>
      </c>
      <c r="R1795" t="s">
        <v>47</v>
      </c>
      <c r="S1795">
        <v>1</v>
      </c>
      <c r="T1795" t="s">
        <v>48</v>
      </c>
    </row>
    <row r="1796" spans="1:20" x14ac:dyDescent="0.35">
      <c r="A1796" s="1" t="s">
        <v>4077</v>
      </c>
      <c r="B1796" t="s">
        <v>14</v>
      </c>
      <c r="C1796" t="s">
        <v>47</v>
      </c>
      <c r="D1796" t="s">
        <v>3524</v>
      </c>
      <c r="E1796">
        <v>0</v>
      </c>
      <c r="F1796" t="s">
        <v>47</v>
      </c>
      <c r="G1796">
        <v>0</v>
      </c>
      <c r="H1796" t="s">
        <v>47</v>
      </c>
      <c r="I1796">
        <v>1</v>
      </c>
      <c r="J1796" t="s">
        <v>55</v>
      </c>
      <c r="K1796">
        <v>0</v>
      </c>
      <c r="L1796" t="s">
        <v>47</v>
      </c>
      <c r="M1796">
        <v>0</v>
      </c>
      <c r="N1796" t="s">
        <v>47</v>
      </c>
      <c r="O1796">
        <v>0</v>
      </c>
      <c r="P1796" t="s">
        <v>47</v>
      </c>
      <c r="Q1796">
        <v>0</v>
      </c>
      <c r="R1796" t="s">
        <v>47</v>
      </c>
      <c r="S1796">
        <v>0</v>
      </c>
      <c r="T1796" t="s">
        <v>47</v>
      </c>
    </row>
    <row r="1797" spans="1:20" x14ac:dyDescent="0.35">
      <c r="A1797" s="1" t="s">
        <v>4078</v>
      </c>
      <c r="B1797" t="s">
        <v>14</v>
      </c>
      <c r="C1797" t="s">
        <v>47</v>
      </c>
      <c r="D1797" t="s">
        <v>3525</v>
      </c>
      <c r="E1797">
        <v>0</v>
      </c>
      <c r="F1797" t="s">
        <v>47</v>
      </c>
      <c r="G1797">
        <v>0</v>
      </c>
      <c r="H1797" t="s">
        <v>47</v>
      </c>
      <c r="I1797">
        <v>0</v>
      </c>
      <c r="J1797" t="s">
        <v>47</v>
      </c>
      <c r="K1797">
        <v>1</v>
      </c>
      <c r="L1797" t="s">
        <v>45</v>
      </c>
      <c r="M1797">
        <v>0</v>
      </c>
      <c r="N1797" t="s">
        <v>47</v>
      </c>
      <c r="O1797">
        <v>0</v>
      </c>
      <c r="P1797" t="s">
        <v>47</v>
      </c>
      <c r="Q1797">
        <v>1</v>
      </c>
      <c r="R1797" t="s">
        <v>45</v>
      </c>
      <c r="S1797">
        <v>0</v>
      </c>
      <c r="T1797" t="s">
        <v>47</v>
      </c>
    </row>
    <row r="1798" spans="1:20" x14ac:dyDescent="0.35">
      <c r="A1798" s="1" t="s">
        <v>4079</v>
      </c>
      <c r="B1798" t="s">
        <v>14</v>
      </c>
      <c r="C1798" t="s">
        <v>47</v>
      </c>
      <c r="D1798" t="s">
        <v>3526</v>
      </c>
      <c r="E1798">
        <v>0</v>
      </c>
      <c r="F1798" t="s">
        <v>47</v>
      </c>
      <c r="G1798">
        <v>0</v>
      </c>
      <c r="H1798" t="s">
        <v>47</v>
      </c>
      <c r="I1798">
        <v>0</v>
      </c>
      <c r="J1798" t="s">
        <v>47</v>
      </c>
      <c r="K1798">
        <v>0</v>
      </c>
      <c r="L1798" t="s">
        <v>47</v>
      </c>
      <c r="M1798">
        <v>0</v>
      </c>
      <c r="N1798" t="s">
        <v>47</v>
      </c>
      <c r="O1798">
        <v>0</v>
      </c>
      <c r="P1798" t="s">
        <v>47</v>
      </c>
      <c r="Q1798">
        <v>0</v>
      </c>
      <c r="R1798" t="s">
        <v>47</v>
      </c>
      <c r="S1798">
        <v>1</v>
      </c>
      <c r="T1798" t="s">
        <v>48</v>
      </c>
    </row>
    <row r="1799" spans="1:20" x14ac:dyDescent="0.35">
      <c r="A1799" s="1" t="s">
        <v>4080</v>
      </c>
      <c r="B1799" t="s">
        <v>14</v>
      </c>
      <c r="C1799" t="s">
        <v>47</v>
      </c>
      <c r="D1799" t="s">
        <v>3527</v>
      </c>
      <c r="E1799">
        <v>0</v>
      </c>
      <c r="F1799" t="s">
        <v>47</v>
      </c>
      <c r="G1799">
        <v>0</v>
      </c>
      <c r="H1799" t="s">
        <v>47</v>
      </c>
      <c r="I1799">
        <v>1</v>
      </c>
      <c r="J1799" t="s">
        <v>48</v>
      </c>
      <c r="K1799">
        <v>0</v>
      </c>
      <c r="L1799" t="s">
        <v>47</v>
      </c>
      <c r="M1799">
        <v>0</v>
      </c>
      <c r="N1799" t="s">
        <v>47</v>
      </c>
      <c r="O1799">
        <v>0</v>
      </c>
      <c r="P1799" t="s">
        <v>47</v>
      </c>
      <c r="Q1799">
        <v>0</v>
      </c>
      <c r="R1799" t="s">
        <v>47</v>
      </c>
      <c r="S1799">
        <v>0</v>
      </c>
      <c r="T1799" t="s">
        <v>47</v>
      </c>
    </row>
    <row r="1800" spans="1:20" x14ac:dyDescent="0.35">
      <c r="A1800" s="1" t="s">
        <v>4081</v>
      </c>
      <c r="B1800" t="s">
        <v>14</v>
      </c>
      <c r="C1800" t="s">
        <v>47</v>
      </c>
      <c r="D1800" t="s">
        <v>3528</v>
      </c>
      <c r="E1800">
        <v>0</v>
      </c>
      <c r="F1800" t="s">
        <v>47</v>
      </c>
      <c r="G1800">
        <v>0</v>
      </c>
      <c r="H1800" t="s">
        <v>47</v>
      </c>
      <c r="I1800">
        <v>0</v>
      </c>
      <c r="J1800" t="s">
        <v>47</v>
      </c>
      <c r="K1800">
        <v>1</v>
      </c>
      <c r="L1800" t="s">
        <v>45</v>
      </c>
      <c r="M1800">
        <v>0</v>
      </c>
      <c r="N1800" t="s">
        <v>47</v>
      </c>
      <c r="O1800">
        <v>0</v>
      </c>
      <c r="P1800" t="s">
        <v>47</v>
      </c>
      <c r="Q1800">
        <v>0</v>
      </c>
      <c r="R1800" t="s">
        <v>47</v>
      </c>
      <c r="S1800">
        <v>0</v>
      </c>
      <c r="T1800" t="s">
        <v>47</v>
      </c>
    </row>
    <row r="1801" spans="1:20" x14ac:dyDescent="0.35">
      <c r="A1801" s="1" t="s">
        <v>4082</v>
      </c>
      <c r="B1801" t="s">
        <v>14</v>
      </c>
      <c r="C1801" t="s">
        <v>47</v>
      </c>
      <c r="D1801" t="s">
        <v>3529</v>
      </c>
      <c r="E1801">
        <v>0</v>
      </c>
      <c r="F1801" t="s">
        <v>47</v>
      </c>
      <c r="G1801">
        <v>0</v>
      </c>
      <c r="H1801" t="s">
        <v>47</v>
      </c>
      <c r="I1801">
        <v>0</v>
      </c>
      <c r="J1801" t="s">
        <v>47</v>
      </c>
      <c r="K1801">
        <v>1</v>
      </c>
      <c r="L1801" t="s">
        <v>48</v>
      </c>
      <c r="M1801">
        <v>0</v>
      </c>
      <c r="N1801" t="s">
        <v>47</v>
      </c>
      <c r="O1801">
        <v>0</v>
      </c>
      <c r="P1801" t="s">
        <v>47</v>
      </c>
      <c r="Q1801">
        <v>0</v>
      </c>
      <c r="R1801" t="s">
        <v>47</v>
      </c>
      <c r="S1801">
        <v>1</v>
      </c>
      <c r="T1801" t="s">
        <v>45</v>
      </c>
    </row>
    <row r="1802" spans="1:20" x14ac:dyDescent="0.35">
      <c r="A1802" s="1" t="s">
        <v>4083</v>
      </c>
      <c r="B1802" t="s">
        <v>14</v>
      </c>
      <c r="C1802" t="s">
        <v>47</v>
      </c>
      <c r="D1802" t="s">
        <v>3530</v>
      </c>
      <c r="E1802">
        <v>0</v>
      </c>
      <c r="F1802" t="s">
        <v>47</v>
      </c>
      <c r="G1802">
        <v>0</v>
      </c>
      <c r="H1802" t="s">
        <v>47</v>
      </c>
      <c r="I1802">
        <v>1</v>
      </c>
      <c r="J1802" t="s">
        <v>45</v>
      </c>
      <c r="K1802">
        <v>0</v>
      </c>
      <c r="L1802" t="s">
        <v>47</v>
      </c>
      <c r="M1802">
        <v>0</v>
      </c>
      <c r="N1802" t="s">
        <v>47</v>
      </c>
      <c r="O1802">
        <v>0</v>
      </c>
      <c r="P1802" t="s">
        <v>47</v>
      </c>
      <c r="Q1802">
        <v>0</v>
      </c>
      <c r="R1802" t="s">
        <v>47</v>
      </c>
      <c r="S1802">
        <v>0</v>
      </c>
      <c r="T1802" t="s">
        <v>47</v>
      </c>
    </row>
    <row r="1803" spans="1:20" x14ac:dyDescent="0.35">
      <c r="A1803" s="1" t="s">
        <v>4084</v>
      </c>
      <c r="B1803" t="s">
        <v>14</v>
      </c>
      <c r="C1803" t="s">
        <v>47</v>
      </c>
      <c r="D1803" t="s">
        <v>3531</v>
      </c>
      <c r="E1803">
        <v>0</v>
      </c>
      <c r="F1803" t="s">
        <v>47</v>
      </c>
      <c r="G1803">
        <v>0</v>
      </c>
      <c r="H1803" t="s">
        <v>47</v>
      </c>
      <c r="I1803">
        <v>0</v>
      </c>
      <c r="J1803" t="s">
        <v>47</v>
      </c>
      <c r="K1803">
        <v>1</v>
      </c>
      <c r="L1803" t="s">
        <v>45</v>
      </c>
      <c r="M1803">
        <v>0</v>
      </c>
      <c r="N1803" t="s">
        <v>47</v>
      </c>
      <c r="O1803">
        <v>0</v>
      </c>
      <c r="P1803" t="s">
        <v>47</v>
      </c>
      <c r="Q1803">
        <v>0</v>
      </c>
      <c r="R1803" t="s">
        <v>47</v>
      </c>
      <c r="S1803">
        <v>1</v>
      </c>
      <c r="T1803" t="s">
        <v>48</v>
      </c>
    </row>
    <row r="1804" spans="1:20" x14ac:dyDescent="0.35">
      <c r="A1804" s="1" t="s">
        <v>4085</v>
      </c>
      <c r="B1804" t="s">
        <v>14</v>
      </c>
      <c r="C1804" t="s">
        <v>47</v>
      </c>
      <c r="D1804" t="s">
        <v>3532</v>
      </c>
      <c r="E1804">
        <v>0</v>
      </c>
      <c r="F1804" t="s">
        <v>47</v>
      </c>
      <c r="G1804">
        <v>0</v>
      </c>
      <c r="H1804" t="s">
        <v>47</v>
      </c>
      <c r="I1804">
        <v>1</v>
      </c>
      <c r="J1804" t="s">
        <v>48</v>
      </c>
      <c r="K1804">
        <v>0</v>
      </c>
      <c r="L1804" t="s">
        <v>47</v>
      </c>
      <c r="M1804">
        <v>0</v>
      </c>
      <c r="N1804" t="s">
        <v>47</v>
      </c>
      <c r="O1804">
        <v>0</v>
      </c>
      <c r="P1804" t="s">
        <v>47</v>
      </c>
      <c r="Q1804">
        <v>0</v>
      </c>
      <c r="R1804" t="s">
        <v>47</v>
      </c>
      <c r="S1804">
        <v>0</v>
      </c>
      <c r="T1804" t="s">
        <v>47</v>
      </c>
    </row>
    <row r="1805" spans="1:20" x14ac:dyDescent="0.35">
      <c r="A1805" s="1" t="s">
        <v>4086</v>
      </c>
      <c r="B1805" t="s">
        <v>14</v>
      </c>
      <c r="C1805" t="s">
        <v>47</v>
      </c>
      <c r="D1805" t="s">
        <v>3533</v>
      </c>
      <c r="E1805">
        <v>0</v>
      </c>
      <c r="F1805" t="s">
        <v>47</v>
      </c>
      <c r="G1805">
        <v>0</v>
      </c>
      <c r="H1805" t="s">
        <v>47</v>
      </c>
      <c r="I1805">
        <v>0</v>
      </c>
      <c r="J1805" t="s">
        <v>47</v>
      </c>
      <c r="K1805">
        <v>1</v>
      </c>
      <c r="L1805" t="s">
        <v>45</v>
      </c>
      <c r="M1805">
        <v>0</v>
      </c>
      <c r="N1805" t="s">
        <v>47</v>
      </c>
      <c r="O1805">
        <v>0</v>
      </c>
      <c r="P1805" t="s">
        <v>47</v>
      </c>
      <c r="Q1805">
        <v>0</v>
      </c>
      <c r="R1805" t="s">
        <v>47</v>
      </c>
      <c r="S1805">
        <v>1</v>
      </c>
      <c r="T1805" t="s">
        <v>45</v>
      </c>
    </row>
    <row r="1806" spans="1:20" x14ac:dyDescent="0.35">
      <c r="A1806" s="1" t="s">
        <v>4087</v>
      </c>
      <c r="B1806" t="s">
        <v>14</v>
      </c>
      <c r="C1806" t="s">
        <v>47</v>
      </c>
      <c r="D1806" t="s">
        <v>3534</v>
      </c>
      <c r="E1806">
        <v>0</v>
      </c>
      <c r="F1806" t="s">
        <v>47</v>
      </c>
      <c r="G1806">
        <v>0</v>
      </c>
      <c r="H1806" t="s">
        <v>47</v>
      </c>
      <c r="I1806">
        <v>0</v>
      </c>
      <c r="J1806" t="s">
        <v>47</v>
      </c>
      <c r="K1806">
        <v>1</v>
      </c>
      <c r="L1806" t="s">
        <v>55</v>
      </c>
      <c r="M1806">
        <v>0</v>
      </c>
      <c r="N1806" t="s">
        <v>47</v>
      </c>
      <c r="O1806">
        <v>0</v>
      </c>
      <c r="P1806" t="s">
        <v>47</v>
      </c>
      <c r="Q1806">
        <v>0</v>
      </c>
      <c r="R1806" t="s">
        <v>47</v>
      </c>
      <c r="S1806">
        <v>1</v>
      </c>
      <c r="T1806" t="s">
        <v>55</v>
      </c>
    </row>
    <row r="1807" spans="1:20" x14ac:dyDescent="0.35">
      <c r="A1807" s="1" t="s">
        <v>4088</v>
      </c>
      <c r="B1807" t="s">
        <v>14</v>
      </c>
      <c r="C1807" t="s">
        <v>47</v>
      </c>
      <c r="D1807" t="s">
        <v>3535</v>
      </c>
      <c r="E1807">
        <v>0</v>
      </c>
      <c r="F1807" t="s">
        <v>47</v>
      </c>
      <c r="G1807">
        <v>0</v>
      </c>
      <c r="H1807" t="s">
        <v>47</v>
      </c>
      <c r="I1807">
        <v>1</v>
      </c>
      <c r="J1807" t="s">
        <v>55</v>
      </c>
      <c r="K1807">
        <v>0</v>
      </c>
      <c r="L1807" t="s">
        <v>47</v>
      </c>
      <c r="M1807">
        <v>0</v>
      </c>
      <c r="N1807" t="s">
        <v>47</v>
      </c>
      <c r="O1807">
        <v>0</v>
      </c>
      <c r="P1807" t="s">
        <v>47</v>
      </c>
      <c r="Q1807">
        <v>0</v>
      </c>
      <c r="R1807" t="s">
        <v>47</v>
      </c>
      <c r="S1807">
        <v>0</v>
      </c>
      <c r="T1807" t="s">
        <v>47</v>
      </c>
    </row>
    <row r="1808" spans="1:20" x14ac:dyDescent="0.35">
      <c r="A1808" s="1" t="s">
        <v>4089</v>
      </c>
      <c r="B1808" t="s">
        <v>14</v>
      </c>
      <c r="C1808" t="s">
        <v>47</v>
      </c>
      <c r="D1808" t="s">
        <v>3536</v>
      </c>
      <c r="E1808">
        <v>0</v>
      </c>
      <c r="F1808" t="s">
        <v>47</v>
      </c>
      <c r="G1808">
        <v>0</v>
      </c>
      <c r="H1808" t="s">
        <v>47</v>
      </c>
      <c r="I1808">
        <v>0</v>
      </c>
      <c r="J1808" t="s">
        <v>47</v>
      </c>
      <c r="K1808">
        <v>1</v>
      </c>
      <c r="L1808" t="s">
        <v>55</v>
      </c>
      <c r="M1808">
        <v>0</v>
      </c>
      <c r="N1808" t="s">
        <v>47</v>
      </c>
      <c r="O1808">
        <v>0</v>
      </c>
      <c r="P1808" t="s">
        <v>47</v>
      </c>
      <c r="Q1808">
        <v>0</v>
      </c>
      <c r="R1808" t="s">
        <v>47</v>
      </c>
      <c r="S1808">
        <v>1</v>
      </c>
      <c r="T1808" t="s">
        <v>55</v>
      </c>
    </row>
    <row r="1809" spans="1:20" x14ac:dyDescent="0.35">
      <c r="A1809" s="1" t="s">
        <v>4090</v>
      </c>
      <c r="B1809" t="s">
        <v>14</v>
      </c>
      <c r="C1809" t="s">
        <v>47</v>
      </c>
      <c r="D1809" t="s">
        <v>3537</v>
      </c>
      <c r="E1809">
        <v>0</v>
      </c>
      <c r="F1809" t="s">
        <v>47</v>
      </c>
      <c r="G1809">
        <v>0</v>
      </c>
      <c r="H1809" t="s">
        <v>47</v>
      </c>
      <c r="I1809">
        <v>0</v>
      </c>
      <c r="J1809" t="s">
        <v>47</v>
      </c>
      <c r="K1809">
        <v>1</v>
      </c>
      <c r="L1809" t="s">
        <v>55</v>
      </c>
      <c r="M1809">
        <v>0</v>
      </c>
      <c r="N1809" t="s">
        <v>47</v>
      </c>
      <c r="O1809">
        <v>0</v>
      </c>
      <c r="P1809" t="s">
        <v>47</v>
      </c>
      <c r="Q1809">
        <v>0</v>
      </c>
      <c r="R1809" t="s">
        <v>47</v>
      </c>
      <c r="S1809">
        <v>0</v>
      </c>
      <c r="T1809" t="s">
        <v>47</v>
      </c>
    </row>
    <row r="1810" spans="1:20" x14ac:dyDescent="0.35">
      <c r="A1810" s="1" t="s">
        <v>4091</v>
      </c>
      <c r="B1810" t="s">
        <v>14</v>
      </c>
      <c r="C1810" t="s">
        <v>47</v>
      </c>
      <c r="D1810" t="s">
        <v>3538</v>
      </c>
      <c r="E1810">
        <v>0</v>
      </c>
      <c r="F1810" t="s">
        <v>47</v>
      </c>
      <c r="G1810">
        <v>0</v>
      </c>
      <c r="H1810" t="s">
        <v>47</v>
      </c>
      <c r="I1810">
        <v>1</v>
      </c>
      <c r="J1810" t="s">
        <v>55</v>
      </c>
      <c r="K1810">
        <v>0</v>
      </c>
      <c r="L1810" t="s">
        <v>47</v>
      </c>
      <c r="M1810">
        <v>0</v>
      </c>
      <c r="N1810" t="s">
        <v>47</v>
      </c>
      <c r="O1810">
        <v>0</v>
      </c>
      <c r="P1810" t="s">
        <v>47</v>
      </c>
      <c r="Q1810">
        <v>0</v>
      </c>
      <c r="R1810" t="s">
        <v>47</v>
      </c>
      <c r="S1810">
        <v>0</v>
      </c>
      <c r="T1810" t="s">
        <v>47</v>
      </c>
    </row>
    <row r="1811" spans="1:20" x14ac:dyDescent="0.35">
      <c r="A1811" s="1" t="s">
        <v>4092</v>
      </c>
      <c r="B1811" t="s">
        <v>14</v>
      </c>
      <c r="C1811" t="s">
        <v>47</v>
      </c>
      <c r="D1811" t="s">
        <v>3539</v>
      </c>
      <c r="E1811">
        <v>0</v>
      </c>
      <c r="F1811" t="s">
        <v>47</v>
      </c>
      <c r="G1811">
        <v>0</v>
      </c>
      <c r="H1811" t="s">
        <v>47</v>
      </c>
      <c r="I1811">
        <v>0</v>
      </c>
      <c r="J1811" t="s">
        <v>47</v>
      </c>
      <c r="K1811">
        <v>0</v>
      </c>
      <c r="L1811" t="s">
        <v>47</v>
      </c>
      <c r="M1811">
        <v>0</v>
      </c>
      <c r="N1811" t="s">
        <v>47</v>
      </c>
      <c r="O1811">
        <v>0</v>
      </c>
      <c r="P1811" t="s">
        <v>47</v>
      </c>
      <c r="Q1811">
        <v>0</v>
      </c>
      <c r="R1811" t="s">
        <v>47</v>
      </c>
      <c r="S1811">
        <v>1</v>
      </c>
      <c r="T1811" t="s">
        <v>55</v>
      </c>
    </row>
    <row r="1812" spans="1:20" x14ac:dyDescent="0.35">
      <c r="A1812" s="1" t="s">
        <v>4093</v>
      </c>
      <c r="B1812" t="s">
        <v>14</v>
      </c>
      <c r="C1812" t="s">
        <v>47</v>
      </c>
      <c r="D1812" t="s">
        <v>3540</v>
      </c>
      <c r="E1812">
        <v>0</v>
      </c>
      <c r="F1812" t="s">
        <v>47</v>
      </c>
      <c r="G1812">
        <v>0</v>
      </c>
      <c r="H1812" t="s">
        <v>47</v>
      </c>
      <c r="I1812">
        <v>0</v>
      </c>
      <c r="J1812" t="s">
        <v>47</v>
      </c>
      <c r="K1812">
        <v>1</v>
      </c>
      <c r="L1812" t="s">
        <v>55</v>
      </c>
      <c r="M1812">
        <v>0</v>
      </c>
      <c r="N1812" t="s">
        <v>47</v>
      </c>
      <c r="O1812">
        <v>0</v>
      </c>
      <c r="P1812" t="s">
        <v>47</v>
      </c>
      <c r="Q1812">
        <v>0</v>
      </c>
      <c r="R1812" t="s">
        <v>47</v>
      </c>
      <c r="S1812">
        <v>0</v>
      </c>
      <c r="T1812" t="s">
        <v>47</v>
      </c>
    </row>
    <row r="1813" spans="1:20" x14ac:dyDescent="0.35">
      <c r="A1813" s="1" t="s">
        <v>4094</v>
      </c>
      <c r="B1813" t="s">
        <v>14</v>
      </c>
      <c r="C1813" t="s">
        <v>47</v>
      </c>
      <c r="D1813" t="s">
        <v>3541</v>
      </c>
      <c r="E1813">
        <v>0</v>
      </c>
      <c r="F1813" t="s">
        <v>47</v>
      </c>
      <c r="G1813">
        <v>0</v>
      </c>
      <c r="H1813" t="s">
        <v>47</v>
      </c>
      <c r="I1813">
        <v>1</v>
      </c>
      <c r="J1813" t="s">
        <v>55</v>
      </c>
      <c r="K1813">
        <v>0</v>
      </c>
      <c r="L1813" t="s">
        <v>47</v>
      </c>
      <c r="M1813">
        <v>0</v>
      </c>
      <c r="N1813" t="s">
        <v>47</v>
      </c>
      <c r="O1813">
        <v>0</v>
      </c>
      <c r="P1813" t="s">
        <v>47</v>
      </c>
      <c r="Q1813">
        <v>0</v>
      </c>
      <c r="R1813" t="s">
        <v>47</v>
      </c>
      <c r="S1813">
        <v>0</v>
      </c>
      <c r="T1813" t="s">
        <v>47</v>
      </c>
    </row>
    <row r="1814" spans="1:20" x14ac:dyDescent="0.35">
      <c r="A1814" s="1" t="s">
        <v>4095</v>
      </c>
      <c r="B1814" t="s">
        <v>14</v>
      </c>
      <c r="C1814" t="s">
        <v>47</v>
      </c>
      <c r="D1814" t="s">
        <v>3542</v>
      </c>
      <c r="E1814">
        <v>0</v>
      </c>
      <c r="F1814" t="s">
        <v>47</v>
      </c>
      <c r="G1814">
        <v>0</v>
      </c>
      <c r="H1814" t="s">
        <v>47</v>
      </c>
      <c r="I1814">
        <v>0</v>
      </c>
      <c r="J1814" t="s">
        <v>47</v>
      </c>
      <c r="K1814">
        <v>0</v>
      </c>
      <c r="L1814" t="s">
        <v>47</v>
      </c>
      <c r="M1814">
        <v>0</v>
      </c>
      <c r="N1814" t="s">
        <v>47</v>
      </c>
      <c r="O1814">
        <v>0</v>
      </c>
      <c r="P1814" t="s">
        <v>47</v>
      </c>
      <c r="Q1814">
        <v>0</v>
      </c>
      <c r="R1814" t="s">
        <v>47</v>
      </c>
      <c r="S1814">
        <v>1</v>
      </c>
      <c r="T1814" t="s">
        <v>55</v>
      </c>
    </row>
    <row r="1815" spans="1:20" x14ac:dyDescent="0.35">
      <c r="A1815" s="1" t="s">
        <v>4096</v>
      </c>
      <c r="B1815" t="s">
        <v>14</v>
      </c>
      <c r="C1815" t="s">
        <v>47</v>
      </c>
      <c r="D1815" t="s">
        <v>3543</v>
      </c>
      <c r="E1815">
        <v>0</v>
      </c>
      <c r="F1815" t="s">
        <v>47</v>
      </c>
      <c r="G1815">
        <v>0</v>
      </c>
      <c r="H1815" t="s">
        <v>47</v>
      </c>
      <c r="I1815">
        <v>0</v>
      </c>
      <c r="J1815" t="s">
        <v>47</v>
      </c>
      <c r="K1815">
        <v>1</v>
      </c>
      <c r="L1815" t="s">
        <v>55</v>
      </c>
      <c r="M1815">
        <v>0</v>
      </c>
      <c r="N1815" t="s">
        <v>47</v>
      </c>
      <c r="O1815">
        <v>0</v>
      </c>
      <c r="P1815" t="s">
        <v>47</v>
      </c>
      <c r="Q1815">
        <v>0</v>
      </c>
      <c r="R1815" t="s">
        <v>47</v>
      </c>
      <c r="S1815">
        <v>0</v>
      </c>
      <c r="T1815" t="s">
        <v>47</v>
      </c>
    </row>
    <row r="1816" spans="1:20" x14ac:dyDescent="0.35">
      <c r="A1816" s="1" t="s">
        <v>4097</v>
      </c>
      <c r="B1816" t="s">
        <v>14</v>
      </c>
      <c r="C1816" t="s">
        <v>47</v>
      </c>
      <c r="D1816" t="s">
        <v>3544</v>
      </c>
      <c r="E1816">
        <v>0</v>
      </c>
      <c r="F1816" t="s">
        <v>47</v>
      </c>
      <c r="G1816">
        <v>0</v>
      </c>
      <c r="H1816" t="s">
        <v>47</v>
      </c>
      <c r="I1816">
        <v>1</v>
      </c>
      <c r="J1816" t="s">
        <v>55</v>
      </c>
      <c r="K1816">
        <v>0</v>
      </c>
      <c r="L1816" t="s">
        <v>47</v>
      </c>
      <c r="M1816">
        <v>0</v>
      </c>
      <c r="N1816" t="s">
        <v>47</v>
      </c>
      <c r="O1816">
        <v>0</v>
      </c>
      <c r="P1816" t="s">
        <v>47</v>
      </c>
      <c r="Q1816">
        <v>0</v>
      </c>
      <c r="R1816" t="s">
        <v>47</v>
      </c>
      <c r="S1816">
        <v>0</v>
      </c>
      <c r="T1816" t="s">
        <v>47</v>
      </c>
    </row>
    <row r="1817" spans="1:20" x14ac:dyDescent="0.35">
      <c r="A1817" s="1" t="s">
        <v>4098</v>
      </c>
      <c r="B1817" t="s">
        <v>14</v>
      </c>
      <c r="C1817" t="s">
        <v>47</v>
      </c>
      <c r="D1817" t="s">
        <v>3545</v>
      </c>
      <c r="E1817">
        <v>0</v>
      </c>
      <c r="F1817" t="s">
        <v>47</v>
      </c>
      <c r="G1817">
        <v>0</v>
      </c>
      <c r="H1817" t="s">
        <v>47</v>
      </c>
      <c r="I1817">
        <v>0</v>
      </c>
      <c r="J1817" t="s">
        <v>47</v>
      </c>
      <c r="K1817">
        <v>0</v>
      </c>
      <c r="L1817" t="s">
        <v>47</v>
      </c>
      <c r="M1817">
        <v>0</v>
      </c>
      <c r="N1817" t="s">
        <v>47</v>
      </c>
      <c r="O1817">
        <v>0</v>
      </c>
      <c r="P1817" t="s">
        <v>47</v>
      </c>
      <c r="Q1817">
        <v>0</v>
      </c>
      <c r="R1817" t="s">
        <v>47</v>
      </c>
      <c r="S1817">
        <v>1</v>
      </c>
      <c r="T1817" t="s">
        <v>55</v>
      </c>
    </row>
    <row r="1818" spans="1:20" x14ac:dyDescent="0.35">
      <c r="A1818" s="1" t="s">
        <v>4099</v>
      </c>
      <c r="B1818" t="s">
        <v>14</v>
      </c>
      <c r="C1818" t="s">
        <v>47</v>
      </c>
      <c r="D1818" t="s">
        <v>3546</v>
      </c>
      <c r="E1818">
        <v>0</v>
      </c>
      <c r="F1818" t="s">
        <v>47</v>
      </c>
      <c r="G1818">
        <v>0</v>
      </c>
      <c r="H1818" t="s">
        <v>47</v>
      </c>
      <c r="I1818">
        <v>0</v>
      </c>
      <c r="J1818" t="s">
        <v>47</v>
      </c>
      <c r="K1818">
        <v>1</v>
      </c>
      <c r="L1818" t="s">
        <v>55</v>
      </c>
      <c r="M1818">
        <v>0</v>
      </c>
      <c r="N1818" t="s">
        <v>47</v>
      </c>
      <c r="O1818">
        <v>0</v>
      </c>
      <c r="P1818" t="s">
        <v>47</v>
      </c>
      <c r="Q1818">
        <v>0</v>
      </c>
      <c r="R1818" t="s">
        <v>47</v>
      </c>
      <c r="S1818">
        <v>0</v>
      </c>
      <c r="T1818" t="s">
        <v>47</v>
      </c>
    </row>
    <row r="1819" spans="1:20" x14ac:dyDescent="0.35">
      <c r="A1819" s="1" t="s">
        <v>4100</v>
      </c>
      <c r="B1819" t="s">
        <v>14</v>
      </c>
      <c r="C1819" t="s">
        <v>47</v>
      </c>
      <c r="D1819" t="s">
        <v>3547</v>
      </c>
      <c r="E1819">
        <v>0</v>
      </c>
      <c r="F1819" t="s">
        <v>47</v>
      </c>
      <c r="G1819">
        <v>0</v>
      </c>
      <c r="H1819" t="s">
        <v>47</v>
      </c>
      <c r="I1819">
        <v>1</v>
      </c>
      <c r="J1819" t="s">
        <v>55</v>
      </c>
      <c r="K1819">
        <v>0</v>
      </c>
      <c r="L1819" t="s">
        <v>47</v>
      </c>
      <c r="M1819">
        <v>0</v>
      </c>
      <c r="N1819" t="s">
        <v>47</v>
      </c>
      <c r="O1819">
        <v>0</v>
      </c>
      <c r="P1819" t="s">
        <v>47</v>
      </c>
      <c r="Q1819">
        <v>0</v>
      </c>
      <c r="R1819" t="s">
        <v>47</v>
      </c>
      <c r="S1819">
        <v>0</v>
      </c>
      <c r="T1819" t="s">
        <v>47</v>
      </c>
    </row>
    <row r="1820" spans="1:20" x14ac:dyDescent="0.35">
      <c r="A1820" s="1" t="s">
        <v>4101</v>
      </c>
      <c r="B1820" t="s">
        <v>14</v>
      </c>
      <c r="C1820" t="s">
        <v>47</v>
      </c>
      <c r="D1820" t="s">
        <v>3548</v>
      </c>
      <c r="E1820">
        <v>0</v>
      </c>
      <c r="F1820" t="s">
        <v>47</v>
      </c>
      <c r="G1820">
        <v>0</v>
      </c>
      <c r="H1820" t="s">
        <v>47</v>
      </c>
      <c r="I1820">
        <v>0</v>
      </c>
      <c r="J1820" t="s">
        <v>47</v>
      </c>
      <c r="K1820">
        <v>0</v>
      </c>
      <c r="L1820" t="s">
        <v>47</v>
      </c>
      <c r="M1820">
        <v>0</v>
      </c>
      <c r="N1820" t="s">
        <v>47</v>
      </c>
      <c r="O1820">
        <v>0</v>
      </c>
      <c r="P1820" t="s">
        <v>47</v>
      </c>
      <c r="Q1820">
        <v>0</v>
      </c>
      <c r="R1820" t="s">
        <v>47</v>
      </c>
      <c r="S1820">
        <v>1</v>
      </c>
      <c r="T1820" t="s">
        <v>55</v>
      </c>
    </row>
    <row r="1821" spans="1:20" x14ac:dyDescent="0.35">
      <c r="A1821" s="1" t="s">
        <v>4102</v>
      </c>
      <c r="B1821" t="s">
        <v>14</v>
      </c>
      <c r="C1821" t="s">
        <v>47</v>
      </c>
      <c r="D1821" t="s">
        <v>3549</v>
      </c>
      <c r="E1821">
        <v>0</v>
      </c>
      <c r="F1821" t="s">
        <v>47</v>
      </c>
      <c r="G1821">
        <v>0</v>
      </c>
      <c r="H1821" t="s">
        <v>47</v>
      </c>
      <c r="I1821">
        <v>0</v>
      </c>
      <c r="J1821" t="s">
        <v>47</v>
      </c>
      <c r="K1821">
        <v>1</v>
      </c>
      <c r="L1821" t="s">
        <v>55</v>
      </c>
      <c r="M1821">
        <v>0</v>
      </c>
      <c r="N1821" t="s">
        <v>47</v>
      </c>
      <c r="O1821">
        <v>0</v>
      </c>
      <c r="P1821" t="s">
        <v>47</v>
      </c>
      <c r="Q1821">
        <v>0</v>
      </c>
      <c r="R1821" t="s">
        <v>47</v>
      </c>
      <c r="S1821">
        <v>0</v>
      </c>
      <c r="T1821" t="s">
        <v>47</v>
      </c>
    </row>
    <row r="1822" spans="1:20" x14ac:dyDescent="0.35">
      <c r="A1822" s="1" t="s">
        <v>4103</v>
      </c>
      <c r="B1822" t="s">
        <v>14</v>
      </c>
      <c r="C1822" t="s">
        <v>47</v>
      </c>
      <c r="D1822" t="s">
        <v>3550</v>
      </c>
      <c r="E1822">
        <v>0</v>
      </c>
      <c r="F1822" t="s">
        <v>47</v>
      </c>
      <c r="G1822">
        <v>0</v>
      </c>
      <c r="H1822" t="s">
        <v>47</v>
      </c>
      <c r="I1822">
        <v>1</v>
      </c>
      <c r="J1822" t="s">
        <v>55</v>
      </c>
      <c r="K1822">
        <v>0</v>
      </c>
      <c r="L1822" t="s">
        <v>47</v>
      </c>
      <c r="M1822">
        <v>0</v>
      </c>
      <c r="N1822" t="s">
        <v>47</v>
      </c>
      <c r="O1822">
        <v>0</v>
      </c>
      <c r="P1822" t="s">
        <v>47</v>
      </c>
      <c r="Q1822">
        <v>0</v>
      </c>
      <c r="R1822" t="s">
        <v>47</v>
      </c>
      <c r="S1822">
        <v>0</v>
      </c>
      <c r="T1822" t="s">
        <v>47</v>
      </c>
    </row>
    <row r="1823" spans="1:20" x14ac:dyDescent="0.35">
      <c r="A1823" s="1" t="s">
        <v>4104</v>
      </c>
      <c r="B1823" t="s">
        <v>14</v>
      </c>
      <c r="C1823" t="s">
        <v>47</v>
      </c>
      <c r="D1823" t="s">
        <v>3551</v>
      </c>
      <c r="E1823">
        <v>0</v>
      </c>
      <c r="F1823" t="s">
        <v>47</v>
      </c>
      <c r="G1823">
        <v>0</v>
      </c>
      <c r="H1823" t="s">
        <v>47</v>
      </c>
      <c r="I1823">
        <v>0</v>
      </c>
      <c r="J1823" t="s">
        <v>47</v>
      </c>
      <c r="K1823">
        <v>0</v>
      </c>
      <c r="L1823" t="s">
        <v>47</v>
      </c>
      <c r="M1823">
        <v>0</v>
      </c>
      <c r="N1823" t="s">
        <v>47</v>
      </c>
      <c r="O1823">
        <v>0</v>
      </c>
      <c r="P1823" t="s">
        <v>47</v>
      </c>
      <c r="Q1823">
        <v>0</v>
      </c>
      <c r="R1823" t="s">
        <v>47</v>
      </c>
      <c r="S1823">
        <v>1</v>
      </c>
      <c r="T1823" t="s">
        <v>55</v>
      </c>
    </row>
    <row r="1824" spans="1:20" x14ac:dyDescent="0.35">
      <c r="A1824" s="1" t="s">
        <v>4105</v>
      </c>
      <c r="B1824" t="s">
        <v>14</v>
      </c>
      <c r="C1824" t="s">
        <v>47</v>
      </c>
      <c r="D1824" t="s">
        <v>3552</v>
      </c>
      <c r="E1824">
        <v>0</v>
      </c>
      <c r="F1824" t="s">
        <v>47</v>
      </c>
      <c r="G1824">
        <v>0</v>
      </c>
      <c r="H1824" t="s">
        <v>47</v>
      </c>
      <c r="I1824">
        <v>0</v>
      </c>
      <c r="J1824" t="s">
        <v>47</v>
      </c>
      <c r="K1824">
        <v>1</v>
      </c>
      <c r="L1824" t="s">
        <v>55</v>
      </c>
      <c r="M1824">
        <v>0</v>
      </c>
      <c r="N1824" t="s">
        <v>47</v>
      </c>
      <c r="O1824">
        <v>0</v>
      </c>
      <c r="P1824" t="s">
        <v>47</v>
      </c>
      <c r="Q1824">
        <v>0</v>
      </c>
      <c r="R1824" t="s">
        <v>47</v>
      </c>
      <c r="S1824">
        <v>0</v>
      </c>
      <c r="T1824" t="s">
        <v>47</v>
      </c>
    </row>
    <row r="1825" spans="1:20" x14ac:dyDescent="0.35">
      <c r="A1825" s="1" t="s">
        <v>4106</v>
      </c>
      <c r="B1825" t="s">
        <v>14</v>
      </c>
      <c r="C1825" t="s">
        <v>47</v>
      </c>
      <c r="D1825" t="s">
        <v>3553</v>
      </c>
      <c r="E1825">
        <v>0</v>
      </c>
      <c r="F1825" t="s">
        <v>47</v>
      </c>
      <c r="G1825">
        <v>0</v>
      </c>
      <c r="H1825" t="s">
        <v>47</v>
      </c>
      <c r="I1825">
        <v>1</v>
      </c>
      <c r="J1825" t="s">
        <v>55</v>
      </c>
      <c r="K1825">
        <v>0</v>
      </c>
      <c r="L1825" t="s">
        <v>47</v>
      </c>
      <c r="M1825">
        <v>0</v>
      </c>
      <c r="N1825" t="s">
        <v>47</v>
      </c>
      <c r="O1825">
        <v>0</v>
      </c>
      <c r="P1825" t="s">
        <v>47</v>
      </c>
      <c r="Q1825">
        <v>0</v>
      </c>
      <c r="R1825" t="s">
        <v>47</v>
      </c>
      <c r="S1825">
        <v>0</v>
      </c>
      <c r="T1825" t="s">
        <v>47</v>
      </c>
    </row>
    <row r="1826" spans="1:20" x14ac:dyDescent="0.35">
      <c r="A1826" s="1" t="s">
        <v>4107</v>
      </c>
      <c r="B1826" t="s">
        <v>14</v>
      </c>
      <c r="C1826" t="s">
        <v>47</v>
      </c>
      <c r="D1826" t="s">
        <v>3554</v>
      </c>
      <c r="E1826">
        <v>0</v>
      </c>
      <c r="F1826" t="s">
        <v>47</v>
      </c>
      <c r="G1826">
        <v>0</v>
      </c>
      <c r="H1826" t="s">
        <v>47</v>
      </c>
      <c r="I1826">
        <v>0</v>
      </c>
      <c r="J1826" t="s">
        <v>47</v>
      </c>
      <c r="K1826">
        <v>0</v>
      </c>
      <c r="L1826" t="s">
        <v>47</v>
      </c>
      <c r="M1826">
        <v>0</v>
      </c>
      <c r="N1826" t="s">
        <v>47</v>
      </c>
      <c r="O1826">
        <v>0</v>
      </c>
      <c r="P1826" t="s">
        <v>47</v>
      </c>
      <c r="Q1826">
        <v>0</v>
      </c>
      <c r="R1826" t="s">
        <v>47</v>
      </c>
      <c r="S1826">
        <v>1</v>
      </c>
      <c r="T1826" t="s">
        <v>55</v>
      </c>
    </row>
    <row r="1827" spans="1:20" x14ac:dyDescent="0.35">
      <c r="A1827" s="1" t="s">
        <v>4108</v>
      </c>
      <c r="B1827" t="s">
        <v>14</v>
      </c>
      <c r="C1827" t="s">
        <v>47</v>
      </c>
      <c r="D1827" t="s">
        <v>3555</v>
      </c>
      <c r="E1827">
        <v>0</v>
      </c>
      <c r="F1827" t="s">
        <v>47</v>
      </c>
      <c r="G1827">
        <v>0</v>
      </c>
      <c r="H1827" t="s">
        <v>47</v>
      </c>
      <c r="I1827">
        <v>0</v>
      </c>
      <c r="J1827" t="s">
        <v>47</v>
      </c>
      <c r="K1827">
        <v>1</v>
      </c>
      <c r="L1827" t="s">
        <v>55</v>
      </c>
      <c r="M1827">
        <v>0</v>
      </c>
      <c r="N1827" t="s">
        <v>47</v>
      </c>
      <c r="O1827">
        <v>0</v>
      </c>
      <c r="P1827" t="s">
        <v>47</v>
      </c>
      <c r="Q1827">
        <v>0</v>
      </c>
      <c r="R1827" t="s">
        <v>47</v>
      </c>
      <c r="S1827">
        <v>0</v>
      </c>
      <c r="T1827" t="s">
        <v>47</v>
      </c>
    </row>
    <row r="1828" spans="1:20" x14ac:dyDescent="0.35">
      <c r="A1828" s="1" t="s">
        <v>4109</v>
      </c>
      <c r="B1828" t="s">
        <v>14</v>
      </c>
      <c r="C1828" t="s">
        <v>47</v>
      </c>
      <c r="D1828" t="s">
        <v>3556</v>
      </c>
      <c r="E1828">
        <v>0</v>
      </c>
      <c r="F1828" t="s">
        <v>47</v>
      </c>
      <c r="G1828">
        <v>0</v>
      </c>
      <c r="H1828" t="s">
        <v>47</v>
      </c>
      <c r="I1828">
        <v>1</v>
      </c>
      <c r="J1828" t="s">
        <v>55</v>
      </c>
      <c r="K1828">
        <v>0</v>
      </c>
      <c r="L1828" t="s">
        <v>47</v>
      </c>
      <c r="M1828">
        <v>0</v>
      </c>
      <c r="N1828" t="s">
        <v>47</v>
      </c>
      <c r="O1828">
        <v>0</v>
      </c>
      <c r="P1828" t="s">
        <v>47</v>
      </c>
      <c r="Q1828">
        <v>0</v>
      </c>
      <c r="R1828" t="s">
        <v>47</v>
      </c>
      <c r="S1828">
        <v>0</v>
      </c>
      <c r="T1828" t="s">
        <v>47</v>
      </c>
    </row>
    <row r="1829" spans="1:20" x14ac:dyDescent="0.35">
      <c r="A1829" s="1" t="s">
        <v>4110</v>
      </c>
      <c r="B1829" t="s">
        <v>14</v>
      </c>
      <c r="C1829" t="s">
        <v>47</v>
      </c>
      <c r="D1829" t="s">
        <v>3557</v>
      </c>
      <c r="E1829">
        <v>0</v>
      </c>
      <c r="F1829" t="s">
        <v>47</v>
      </c>
      <c r="G1829">
        <v>0</v>
      </c>
      <c r="H1829" t="s">
        <v>47</v>
      </c>
      <c r="I1829">
        <v>0</v>
      </c>
      <c r="J1829" t="s">
        <v>47</v>
      </c>
      <c r="K1829">
        <v>0</v>
      </c>
      <c r="L1829" t="s">
        <v>47</v>
      </c>
      <c r="M1829">
        <v>0</v>
      </c>
      <c r="N1829" t="s">
        <v>47</v>
      </c>
      <c r="O1829">
        <v>0</v>
      </c>
      <c r="P1829" t="s">
        <v>47</v>
      </c>
      <c r="Q1829">
        <v>0</v>
      </c>
      <c r="R1829" t="s">
        <v>47</v>
      </c>
      <c r="S1829">
        <v>1</v>
      </c>
      <c r="T1829" t="s">
        <v>55</v>
      </c>
    </row>
    <row r="1830" spans="1:20" x14ac:dyDescent="0.35">
      <c r="A1830" s="1" t="s">
        <v>4111</v>
      </c>
      <c r="B1830" t="s">
        <v>14</v>
      </c>
      <c r="C1830" t="s">
        <v>47</v>
      </c>
      <c r="D1830" t="s">
        <v>3558</v>
      </c>
      <c r="E1830">
        <v>0</v>
      </c>
      <c r="F1830" t="s">
        <v>47</v>
      </c>
      <c r="G1830">
        <v>0</v>
      </c>
      <c r="H1830" t="s">
        <v>47</v>
      </c>
      <c r="I1830">
        <v>0</v>
      </c>
      <c r="J1830" t="s">
        <v>47</v>
      </c>
      <c r="K1830">
        <v>1</v>
      </c>
      <c r="L1830" t="s">
        <v>55</v>
      </c>
      <c r="M1830">
        <v>0</v>
      </c>
      <c r="N1830" t="s">
        <v>47</v>
      </c>
      <c r="O1830">
        <v>0</v>
      </c>
      <c r="P1830" t="s">
        <v>47</v>
      </c>
      <c r="Q1830">
        <v>0</v>
      </c>
      <c r="R1830" t="s">
        <v>47</v>
      </c>
      <c r="S1830">
        <v>0</v>
      </c>
      <c r="T1830" t="s">
        <v>47</v>
      </c>
    </row>
    <row r="1831" spans="1:20" x14ac:dyDescent="0.35">
      <c r="A1831" s="1" t="s">
        <v>4112</v>
      </c>
      <c r="B1831" t="s">
        <v>14</v>
      </c>
      <c r="C1831" t="s">
        <v>47</v>
      </c>
      <c r="D1831" t="s">
        <v>3559</v>
      </c>
      <c r="E1831">
        <v>0</v>
      </c>
      <c r="F1831" t="s">
        <v>47</v>
      </c>
      <c r="G1831">
        <v>0</v>
      </c>
      <c r="H1831" t="s">
        <v>47</v>
      </c>
      <c r="I1831">
        <v>1</v>
      </c>
      <c r="J1831" t="s">
        <v>55</v>
      </c>
      <c r="K1831">
        <v>0</v>
      </c>
      <c r="L1831" t="s">
        <v>47</v>
      </c>
      <c r="M1831">
        <v>0</v>
      </c>
      <c r="N1831" t="s">
        <v>47</v>
      </c>
      <c r="O1831">
        <v>0</v>
      </c>
      <c r="P1831" t="s">
        <v>47</v>
      </c>
      <c r="Q1831">
        <v>0</v>
      </c>
      <c r="R1831" t="s">
        <v>47</v>
      </c>
      <c r="S1831">
        <v>0</v>
      </c>
      <c r="T1831" t="s">
        <v>47</v>
      </c>
    </row>
    <row r="1832" spans="1:20" x14ac:dyDescent="0.35">
      <c r="A1832" s="1" t="s">
        <v>4113</v>
      </c>
      <c r="B1832" t="s">
        <v>14</v>
      </c>
      <c r="C1832" t="s">
        <v>47</v>
      </c>
      <c r="D1832" t="s">
        <v>3560</v>
      </c>
      <c r="E1832">
        <v>0</v>
      </c>
      <c r="F1832" t="s">
        <v>47</v>
      </c>
      <c r="G1832">
        <v>0</v>
      </c>
      <c r="H1832" t="s">
        <v>47</v>
      </c>
      <c r="I1832">
        <v>0</v>
      </c>
      <c r="J1832" t="s">
        <v>47</v>
      </c>
      <c r="K1832">
        <v>0</v>
      </c>
      <c r="L1832" t="s">
        <v>47</v>
      </c>
      <c r="M1832">
        <v>0</v>
      </c>
      <c r="N1832" t="s">
        <v>47</v>
      </c>
      <c r="O1832">
        <v>0</v>
      </c>
      <c r="P1832" t="s">
        <v>47</v>
      </c>
      <c r="Q1832">
        <v>0</v>
      </c>
      <c r="R1832" t="s">
        <v>47</v>
      </c>
      <c r="S1832">
        <v>1</v>
      </c>
      <c r="T1832" t="s">
        <v>55</v>
      </c>
    </row>
    <row r="1833" spans="1:20" x14ac:dyDescent="0.35">
      <c r="A1833" s="1" t="s">
        <v>4114</v>
      </c>
      <c r="B1833" t="s">
        <v>14</v>
      </c>
      <c r="C1833" t="s">
        <v>47</v>
      </c>
      <c r="D1833" t="s">
        <v>3561</v>
      </c>
      <c r="E1833">
        <v>0</v>
      </c>
      <c r="F1833" t="s">
        <v>47</v>
      </c>
      <c r="G1833">
        <v>0</v>
      </c>
      <c r="H1833" t="s">
        <v>47</v>
      </c>
      <c r="I1833">
        <v>0</v>
      </c>
      <c r="J1833" t="s">
        <v>47</v>
      </c>
      <c r="K1833">
        <v>1</v>
      </c>
      <c r="L1833" t="s">
        <v>55</v>
      </c>
      <c r="M1833">
        <v>0</v>
      </c>
      <c r="N1833" t="s">
        <v>47</v>
      </c>
      <c r="O1833">
        <v>0</v>
      </c>
      <c r="P1833" t="s">
        <v>47</v>
      </c>
      <c r="Q1833">
        <v>0</v>
      </c>
      <c r="R1833" t="s">
        <v>47</v>
      </c>
      <c r="S1833">
        <v>0</v>
      </c>
      <c r="T1833" t="s">
        <v>47</v>
      </c>
    </row>
    <row r="1834" spans="1:20" x14ac:dyDescent="0.35">
      <c r="A1834" s="1" t="s">
        <v>4115</v>
      </c>
      <c r="B1834" t="s">
        <v>14</v>
      </c>
      <c r="C1834" t="s">
        <v>47</v>
      </c>
      <c r="D1834" t="s">
        <v>3562</v>
      </c>
      <c r="E1834">
        <v>0</v>
      </c>
      <c r="F1834" t="s">
        <v>47</v>
      </c>
      <c r="G1834">
        <v>0</v>
      </c>
      <c r="H1834" t="s">
        <v>47</v>
      </c>
      <c r="I1834">
        <v>1</v>
      </c>
      <c r="J1834" t="s">
        <v>55</v>
      </c>
      <c r="K1834">
        <v>0</v>
      </c>
      <c r="L1834" t="s">
        <v>47</v>
      </c>
      <c r="M1834">
        <v>0</v>
      </c>
      <c r="N1834" t="s">
        <v>47</v>
      </c>
      <c r="O1834">
        <v>0</v>
      </c>
      <c r="P1834" t="s">
        <v>47</v>
      </c>
      <c r="Q1834">
        <v>0</v>
      </c>
      <c r="R1834" t="s">
        <v>47</v>
      </c>
      <c r="S1834">
        <v>0</v>
      </c>
      <c r="T1834" t="s">
        <v>47</v>
      </c>
    </row>
    <row r="1835" spans="1:20" x14ac:dyDescent="0.35">
      <c r="A1835" s="1" t="s">
        <v>4116</v>
      </c>
      <c r="B1835" t="s">
        <v>14</v>
      </c>
      <c r="C1835" t="s">
        <v>47</v>
      </c>
      <c r="D1835" t="s">
        <v>3563</v>
      </c>
      <c r="E1835">
        <v>0</v>
      </c>
      <c r="F1835" t="s">
        <v>47</v>
      </c>
      <c r="G1835">
        <v>0</v>
      </c>
      <c r="H1835" t="s">
        <v>47</v>
      </c>
      <c r="I1835">
        <v>1</v>
      </c>
      <c r="J1835" t="s">
        <v>55</v>
      </c>
      <c r="K1835">
        <v>1</v>
      </c>
      <c r="L1835" t="s">
        <v>55</v>
      </c>
      <c r="M1835">
        <v>0</v>
      </c>
      <c r="N1835" t="s">
        <v>47</v>
      </c>
      <c r="O1835">
        <v>0</v>
      </c>
      <c r="P1835" t="s">
        <v>47</v>
      </c>
      <c r="Q1835">
        <v>0</v>
      </c>
      <c r="R1835" t="s">
        <v>47</v>
      </c>
      <c r="S1835">
        <v>1</v>
      </c>
      <c r="T1835" t="s">
        <v>55</v>
      </c>
    </row>
    <row r="1836" spans="1:20" x14ac:dyDescent="0.35">
      <c r="A1836" s="1" t="s">
        <v>4117</v>
      </c>
      <c r="B1836" t="s">
        <v>12</v>
      </c>
      <c r="C1836" t="s">
        <v>47</v>
      </c>
      <c r="D1836" t="s">
        <v>3564</v>
      </c>
      <c r="E1836">
        <v>0</v>
      </c>
      <c r="F1836" t="s">
        <v>47</v>
      </c>
      <c r="G1836">
        <v>0</v>
      </c>
      <c r="H1836" t="s">
        <v>47</v>
      </c>
      <c r="I1836">
        <v>0</v>
      </c>
      <c r="J1836" t="s">
        <v>47</v>
      </c>
      <c r="K1836">
        <v>1</v>
      </c>
      <c r="L1836" t="s">
        <v>45</v>
      </c>
      <c r="M1836">
        <v>0</v>
      </c>
      <c r="N1836" t="s">
        <v>47</v>
      </c>
      <c r="O1836">
        <v>0</v>
      </c>
      <c r="P1836" t="s">
        <v>47</v>
      </c>
      <c r="Q1836">
        <v>0</v>
      </c>
      <c r="R1836" t="s">
        <v>47</v>
      </c>
      <c r="S1836">
        <v>1</v>
      </c>
      <c r="T1836" t="s">
        <v>45</v>
      </c>
    </row>
    <row r="1837" spans="1:20" x14ac:dyDescent="0.35">
      <c r="A1837" s="1" t="s">
        <v>4118</v>
      </c>
      <c r="B1837" t="s">
        <v>12</v>
      </c>
      <c r="C1837" t="s">
        <v>47</v>
      </c>
      <c r="D1837" t="s">
        <v>3565</v>
      </c>
      <c r="E1837">
        <v>0</v>
      </c>
      <c r="F1837" t="s">
        <v>47</v>
      </c>
      <c r="G1837">
        <v>0</v>
      </c>
      <c r="H1837" t="s">
        <v>47</v>
      </c>
      <c r="I1837">
        <v>1</v>
      </c>
      <c r="J1837" t="s">
        <v>48</v>
      </c>
      <c r="K1837">
        <v>0</v>
      </c>
      <c r="L1837" t="s">
        <v>47</v>
      </c>
      <c r="M1837">
        <v>0</v>
      </c>
      <c r="N1837" t="s">
        <v>47</v>
      </c>
      <c r="O1837">
        <v>0</v>
      </c>
      <c r="P1837" t="s">
        <v>47</v>
      </c>
      <c r="Q1837">
        <v>0</v>
      </c>
      <c r="R1837" t="s">
        <v>47</v>
      </c>
      <c r="S1837">
        <v>0</v>
      </c>
      <c r="T1837" t="s">
        <v>47</v>
      </c>
    </row>
    <row r="1838" spans="1:20" x14ac:dyDescent="0.35">
      <c r="A1838" s="1" t="s">
        <v>4119</v>
      </c>
      <c r="B1838" t="s">
        <v>12</v>
      </c>
      <c r="C1838" t="s">
        <v>47</v>
      </c>
      <c r="D1838" t="s">
        <v>3566</v>
      </c>
      <c r="E1838">
        <v>0</v>
      </c>
      <c r="F1838" t="s">
        <v>47</v>
      </c>
      <c r="G1838">
        <v>0</v>
      </c>
      <c r="H1838" t="s">
        <v>47</v>
      </c>
      <c r="I1838">
        <v>0</v>
      </c>
      <c r="J1838" t="s">
        <v>47</v>
      </c>
      <c r="K1838">
        <v>1</v>
      </c>
      <c r="L1838" t="s">
        <v>45</v>
      </c>
      <c r="M1838">
        <v>0</v>
      </c>
      <c r="N1838" t="s">
        <v>47</v>
      </c>
      <c r="O1838">
        <v>0</v>
      </c>
      <c r="P1838" t="s">
        <v>47</v>
      </c>
      <c r="Q1838">
        <v>0</v>
      </c>
      <c r="R1838" t="s">
        <v>47</v>
      </c>
      <c r="S1838">
        <v>1</v>
      </c>
      <c r="T1838" t="s">
        <v>48</v>
      </c>
    </row>
    <row r="1839" spans="1:20" x14ac:dyDescent="0.35">
      <c r="A1839" s="1" t="s">
        <v>4120</v>
      </c>
      <c r="B1839" t="s">
        <v>12</v>
      </c>
      <c r="C1839" t="s">
        <v>47</v>
      </c>
      <c r="D1839" t="s">
        <v>3567</v>
      </c>
      <c r="E1839">
        <v>0</v>
      </c>
      <c r="F1839" t="s">
        <v>47</v>
      </c>
      <c r="G1839">
        <v>0</v>
      </c>
      <c r="H1839" t="s">
        <v>47</v>
      </c>
      <c r="I1839">
        <v>1</v>
      </c>
      <c r="J1839" t="s">
        <v>45</v>
      </c>
      <c r="K1839">
        <v>0</v>
      </c>
      <c r="L1839" t="s">
        <v>47</v>
      </c>
      <c r="M1839">
        <v>0</v>
      </c>
      <c r="N1839" t="s">
        <v>47</v>
      </c>
      <c r="O1839">
        <v>0</v>
      </c>
      <c r="P1839" t="s">
        <v>47</v>
      </c>
      <c r="Q1839">
        <v>0</v>
      </c>
      <c r="R1839" t="s">
        <v>47</v>
      </c>
      <c r="S1839">
        <v>0</v>
      </c>
      <c r="T1839" t="s">
        <v>47</v>
      </c>
    </row>
    <row r="1840" spans="1:20" x14ac:dyDescent="0.35">
      <c r="A1840" s="1" t="s">
        <v>4121</v>
      </c>
      <c r="B1840" t="s">
        <v>12</v>
      </c>
      <c r="C1840" t="s">
        <v>47</v>
      </c>
      <c r="D1840" t="s">
        <v>3568</v>
      </c>
      <c r="E1840">
        <v>0</v>
      </c>
      <c r="F1840" t="s">
        <v>47</v>
      </c>
      <c r="G1840">
        <v>0</v>
      </c>
      <c r="H1840" t="s">
        <v>47</v>
      </c>
      <c r="I1840">
        <v>0</v>
      </c>
      <c r="J1840" t="s">
        <v>47</v>
      </c>
      <c r="K1840">
        <v>1</v>
      </c>
      <c r="L1840" t="s">
        <v>48</v>
      </c>
      <c r="M1840">
        <v>0</v>
      </c>
      <c r="N1840" t="s">
        <v>47</v>
      </c>
      <c r="O1840">
        <v>0</v>
      </c>
      <c r="P1840" t="s">
        <v>47</v>
      </c>
      <c r="Q1840">
        <v>1</v>
      </c>
      <c r="R1840" t="s">
        <v>45</v>
      </c>
      <c r="S1840">
        <v>0</v>
      </c>
      <c r="T1840" t="s">
        <v>47</v>
      </c>
    </row>
    <row r="1841" spans="1:20" x14ac:dyDescent="0.35">
      <c r="A1841" s="1" t="s">
        <v>4122</v>
      </c>
      <c r="B1841" t="s">
        <v>12</v>
      </c>
      <c r="C1841" t="s">
        <v>47</v>
      </c>
      <c r="D1841" t="s">
        <v>3569</v>
      </c>
      <c r="E1841">
        <v>0</v>
      </c>
      <c r="F1841" t="s">
        <v>47</v>
      </c>
      <c r="G1841">
        <v>0</v>
      </c>
      <c r="H1841" t="s">
        <v>47</v>
      </c>
      <c r="I1841">
        <v>0</v>
      </c>
      <c r="J1841" t="s">
        <v>47</v>
      </c>
      <c r="K1841">
        <v>0</v>
      </c>
      <c r="L1841" t="s">
        <v>47</v>
      </c>
      <c r="M1841">
        <v>0</v>
      </c>
      <c r="N1841" t="s">
        <v>47</v>
      </c>
      <c r="O1841">
        <v>0</v>
      </c>
      <c r="P1841" t="s">
        <v>47</v>
      </c>
      <c r="Q1841">
        <v>0</v>
      </c>
      <c r="R1841" t="s">
        <v>47</v>
      </c>
      <c r="S1841">
        <v>1</v>
      </c>
      <c r="T1841" t="s">
        <v>55</v>
      </c>
    </row>
    <row r="1842" spans="1:20" x14ac:dyDescent="0.35">
      <c r="A1842" s="1" t="s">
        <v>4123</v>
      </c>
      <c r="B1842" t="s">
        <v>12</v>
      </c>
      <c r="C1842" t="s">
        <v>47</v>
      </c>
      <c r="D1842" t="s">
        <v>3570</v>
      </c>
      <c r="E1842">
        <v>0</v>
      </c>
      <c r="F1842" t="s">
        <v>47</v>
      </c>
      <c r="G1842">
        <v>0</v>
      </c>
      <c r="H1842" t="s">
        <v>47</v>
      </c>
      <c r="I1842">
        <v>1</v>
      </c>
      <c r="J1842" t="s">
        <v>48</v>
      </c>
      <c r="K1842">
        <v>0</v>
      </c>
      <c r="L1842" t="s">
        <v>47</v>
      </c>
      <c r="M1842">
        <v>0</v>
      </c>
      <c r="N1842" t="s">
        <v>47</v>
      </c>
      <c r="O1842">
        <v>0</v>
      </c>
      <c r="P1842" t="s">
        <v>47</v>
      </c>
      <c r="Q1842">
        <v>0</v>
      </c>
      <c r="R1842" t="s">
        <v>47</v>
      </c>
      <c r="S1842">
        <v>0</v>
      </c>
      <c r="T1842" t="s">
        <v>47</v>
      </c>
    </row>
    <row r="1843" spans="1:20" x14ac:dyDescent="0.35">
      <c r="A1843" s="1" t="s">
        <v>4124</v>
      </c>
      <c r="B1843" t="s">
        <v>12</v>
      </c>
      <c r="C1843" t="s">
        <v>47</v>
      </c>
      <c r="D1843" t="s">
        <v>3571</v>
      </c>
      <c r="E1843">
        <v>0</v>
      </c>
      <c r="F1843" t="s">
        <v>47</v>
      </c>
      <c r="G1843">
        <v>0</v>
      </c>
      <c r="H1843" t="s">
        <v>47</v>
      </c>
      <c r="I1843">
        <v>0</v>
      </c>
      <c r="J1843" t="s">
        <v>47</v>
      </c>
      <c r="K1843">
        <v>1</v>
      </c>
      <c r="L1843" t="s">
        <v>45</v>
      </c>
      <c r="M1843">
        <v>0</v>
      </c>
      <c r="N1843" t="s">
        <v>47</v>
      </c>
      <c r="O1843">
        <v>0</v>
      </c>
      <c r="P1843" t="s">
        <v>47</v>
      </c>
      <c r="Q1843">
        <v>0</v>
      </c>
      <c r="R1843" t="s">
        <v>47</v>
      </c>
      <c r="S1843">
        <v>0</v>
      </c>
      <c r="T1843" t="s">
        <v>47</v>
      </c>
    </row>
    <row r="1844" spans="1:20" x14ac:dyDescent="0.35">
      <c r="A1844" s="1" t="s">
        <v>4125</v>
      </c>
      <c r="B1844" t="s">
        <v>12</v>
      </c>
      <c r="C1844" t="s">
        <v>47</v>
      </c>
      <c r="D1844" t="s">
        <v>3572</v>
      </c>
      <c r="E1844">
        <v>0</v>
      </c>
      <c r="F1844" t="s">
        <v>47</v>
      </c>
      <c r="G1844">
        <v>0</v>
      </c>
      <c r="H1844" t="s">
        <v>47</v>
      </c>
      <c r="I1844">
        <v>0</v>
      </c>
      <c r="J1844" t="s">
        <v>47</v>
      </c>
      <c r="K1844">
        <v>0</v>
      </c>
      <c r="L1844" t="s">
        <v>47</v>
      </c>
      <c r="M1844">
        <v>0</v>
      </c>
      <c r="N1844" t="s">
        <v>47</v>
      </c>
      <c r="O1844">
        <v>0</v>
      </c>
      <c r="P1844" t="s">
        <v>47</v>
      </c>
      <c r="Q1844">
        <v>0</v>
      </c>
      <c r="R1844" t="s">
        <v>47</v>
      </c>
      <c r="S1844">
        <v>1</v>
      </c>
      <c r="T1844" t="s">
        <v>48</v>
      </c>
    </row>
    <row r="1845" spans="1:20" x14ac:dyDescent="0.35">
      <c r="A1845" s="1" t="s">
        <v>4126</v>
      </c>
      <c r="B1845" t="s">
        <v>12</v>
      </c>
      <c r="C1845" t="s">
        <v>47</v>
      </c>
      <c r="D1845" t="s">
        <v>3573</v>
      </c>
      <c r="E1845">
        <v>0</v>
      </c>
      <c r="F1845" t="s">
        <v>47</v>
      </c>
      <c r="G1845">
        <v>0</v>
      </c>
      <c r="H1845" t="s">
        <v>47</v>
      </c>
      <c r="I1845">
        <v>1</v>
      </c>
      <c r="J1845" t="s">
        <v>45</v>
      </c>
      <c r="K1845">
        <v>0</v>
      </c>
      <c r="L1845" t="s">
        <v>47</v>
      </c>
      <c r="M1845">
        <v>0</v>
      </c>
      <c r="N1845" t="s">
        <v>47</v>
      </c>
      <c r="O1845">
        <v>0</v>
      </c>
      <c r="P1845" t="s">
        <v>47</v>
      </c>
      <c r="Q1845">
        <v>0</v>
      </c>
      <c r="R1845" t="s">
        <v>47</v>
      </c>
      <c r="S1845">
        <v>0</v>
      </c>
      <c r="T1845" t="s">
        <v>47</v>
      </c>
    </row>
    <row r="1846" spans="1:20" x14ac:dyDescent="0.35">
      <c r="A1846" s="1" t="s">
        <v>4127</v>
      </c>
      <c r="B1846" t="s">
        <v>12</v>
      </c>
      <c r="C1846" t="s">
        <v>47</v>
      </c>
      <c r="D1846" t="s">
        <v>3574</v>
      </c>
      <c r="E1846">
        <v>0</v>
      </c>
      <c r="F1846" t="s">
        <v>47</v>
      </c>
      <c r="G1846">
        <v>0</v>
      </c>
      <c r="H1846" t="s">
        <v>47</v>
      </c>
      <c r="I1846">
        <v>0</v>
      </c>
      <c r="J1846" t="s">
        <v>47</v>
      </c>
      <c r="K1846">
        <v>1</v>
      </c>
      <c r="L1846" t="s">
        <v>48</v>
      </c>
      <c r="M1846">
        <v>0</v>
      </c>
      <c r="N1846" t="s">
        <v>47</v>
      </c>
      <c r="O1846">
        <v>0</v>
      </c>
      <c r="P1846" t="s">
        <v>47</v>
      </c>
      <c r="Q1846">
        <v>0</v>
      </c>
      <c r="R1846" t="s">
        <v>47</v>
      </c>
      <c r="S1846">
        <v>0</v>
      </c>
      <c r="T1846" t="s">
        <v>47</v>
      </c>
    </row>
    <row r="1847" spans="1:20" x14ac:dyDescent="0.35">
      <c r="A1847" s="1" t="s">
        <v>4128</v>
      </c>
      <c r="B1847" t="s">
        <v>12</v>
      </c>
      <c r="C1847" t="s">
        <v>47</v>
      </c>
      <c r="D1847" t="s">
        <v>3575</v>
      </c>
      <c r="E1847">
        <v>0</v>
      </c>
      <c r="F1847" t="s">
        <v>47</v>
      </c>
      <c r="G1847">
        <v>0</v>
      </c>
      <c r="H1847" t="s">
        <v>47</v>
      </c>
      <c r="I1847">
        <v>0</v>
      </c>
      <c r="J1847" t="s">
        <v>47</v>
      </c>
      <c r="K1847">
        <v>0</v>
      </c>
      <c r="L1847" t="s">
        <v>47</v>
      </c>
      <c r="M1847">
        <v>0</v>
      </c>
      <c r="N1847" t="s">
        <v>47</v>
      </c>
      <c r="O1847">
        <v>0</v>
      </c>
      <c r="P1847" t="s">
        <v>47</v>
      </c>
      <c r="Q1847">
        <v>0</v>
      </c>
      <c r="R1847" t="s">
        <v>47</v>
      </c>
      <c r="S1847">
        <v>1</v>
      </c>
      <c r="T1847" t="s">
        <v>45</v>
      </c>
    </row>
    <row r="1848" spans="1:20" x14ac:dyDescent="0.35">
      <c r="A1848" s="1" t="s">
        <v>4129</v>
      </c>
      <c r="B1848" t="s">
        <v>12</v>
      </c>
      <c r="C1848" t="s">
        <v>47</v>
      </c>
      <c r="D1848" t="s">
        <v>3576</v>
      </c>
      <c r="E1848">
        <v>0</v>
      </c>
      <c r="F1848" t="s">
        <v>47</v>
      </c>
      <c r="G1848">
        <v>0</v>
      </c>
      <c r="H1848" t="s">
        <v>47</v>
      </c>
      <c r="I1848">
        <v>1</v>
      </c>
      <c r="J1848" t="s">
        <v>48</v>
      </c>
      <c r="K1848">
        <v>0</v>
      </c>
      <c r="L1848" t="s">
        <v>47</v>
      </c>
      <c r="M1848">
        <v>0</v>
      </c>
      <c r="N1848" t="s">
        <v>47</v>
      </c>
      <c r="O1848">
        <v>0</v>
      </c>
      <c r="P1848" t="s">
        <v>47</v>
      </c>
      <c r="Q1848">
        <v>0</v>
      </c>
      <c r="R1848" t="s">
        <v>47</v>
      </c>
      <c r="S1848">
        <v>0</v>
      </c>
      <c r="T1848" t="s">
        <v>47</v>
      </c>
    </row>
    <row r="1849" spans="1:20" x14ac:dyDescent="0.35">
      <c r="A1849" s="1" t="s">
        <v>4130</v>
      </c>
      <c r="B1849" t="s">
        <v>12</v>
      </c>
      <c r="C1849" t="s">
        <v>47</v>
      </c>
      <c r="D1849" t="s">
        <v>3577</v>
      </c>
      <c r="E1849">
        <v>0</v>
      </c>
      <c r="F1849" t="s">
        <v>47</v>
      </c>
      <c r="G1849">
        <v>0</v>
      </c>
      <c r="H1849" t="s">
        <v>47</v>
      </c>
      <c r="I1849">
        <v>0</v>
      </c>
      <c r="J1849" t="s">
        <v>47</v>
      </c>
      <c r="K1849">
        <v>1</v>
      </c>
      <c r="L1849" t="s">
        <v>55</v>
      </c>
      <c r="M1849">
        <v>0</v>
      </c>
      <c r="N1849" t="s">
        <v>47</v>
      </c>
      <c r="O1849">
        <v>0</v>
      </c>
      <c r="P1849" t="s">
        <v>47</v>
      </c>
      <c r="Q1849">
        <v>0</v>
      </c>
      <c r="R1849" t="s">
        <v>47</v>
      </c>
      <c r="S1849">
        <v>0</v>
      </c>
      <c r="T1849" t="s">
        <v>47</v>
      </c>
    </row>
    <row r="1850" spans="1:20" x14ac:dyDescent="0.35">
      <c r="A1850" s="1" t="s">
        <v>4131</v>
      </c>
      <c r="B1850" t="s">
        <v>12</v>
      </c>
      <c r="C1850" t="s">
        <v>47</v>
      </c>
      <c r="D1850" t="s">
        <v>3578</v>
      </c>
      <c r="E1850">
        <v>0</v>
      </c>
      <c r="F1850" t="s">
        <v>47</v>
      </c>
      <c r="G1850">
        <v>0</v>
      </c>
      <c r="H1850" t="s">
        <v>47</v>
      </c>
      <c r="I1850">
        <v>1</v>
      </c>
      <c r="J1850" t="s">
        <v>45</v>
      </c>
      <c r="K1850">
        <v>0</v>
      </c>
      <c r="L1850" t="s">
        <v>47</v>
      </c>
      <c r="M1850">
        <v>0</v>
      </c>
      <c r="N1850" t="s">
        <v>47</v>
      </c>
      <c r="O1850">
        <v>0</v>
      </c>
      <c r="P1850" t="s">
        <v>47</v>
      </c>
      <c r="Q1850">
        <v>0</v>
      </c>
      <c r="R1850" t="s">
        <v>47</v>
      </c>
      <c r="S1850">
        <v>1</v>
      </c>
      <c r="T1850" t="s">
        <v>45</v>
      </c>
    </row>
    <row r="1851" spans="1:20" x14ac:dyDescent="0.35">
      <c r="A1851" s="1" t="s">
        <v>4132</v>
      </c>
      <c r="B1851" t="s">
        <v>12</v>
      </c>
      <c r="C1851" t="s">
        <v>47</v>
      </c>
      <c r="D1851" t="s">
        <v>3579</v>
      </c>
      <c r="E1851">
        <v>0</v>
      </c>
      <c r="F1851" t="s">
        <v>47</v>
      </c>
      <c r="G1851">
        <v>0</v>
      </c>
      <c r="H1851" t="s">
        <v>47</v>
      </c>
      <c r="I1851">
        <v>1</v>
      </c>
      <c r="J1851" t="s">
        <v>48</v>
      </c>
      <c r="K1851">
        <v>0</v>
      </c>
      <c r="L1851" t="s">
        <v>47</v>
      </c>
      <c r="M1851">
        <v>0</v>
      </c>
      <c r="N1851" t="s">
        <v>47</v>
      </c>
      <c r="O1851">
        <v>0</v>
      </c>
      <c r="P1851" t="s">
        <v>47</v>
      </c>
      <c r="Q1851">
        <v>0</v>
      </c>
      <c r="R1851" t="s">
        <v>47</v>
      </c>
      <c r="S1851">
        <v>0</v>
      </c>
      <c r="T1851" t="s">
        <v>47</v>
      </c>
    </row>
    <row r="1852" spans="1:20" x14ac:dyDescent="0.35">
      <c r="A1852" s="1" t="s">
        <v>4133</v>
      </c>
      <c r="B1852" t="s">
        <v>12</v>
      </c>
      <c r="C1852" t="s">
        <v>47</v>
      </c>
      <c r="D1852" t="s">
        <v>3580</v>
      </c>
      <c r="E1852">
        <v>0</v>
      </c>
      <c r="F1852" t="s">
        <v>47</v>
      </c>
      <c r="G1852">
        <v>0</v>
      </c>
      <c r="H1852" t="s">
        <v>47</v>
      </c>
      <c r="I1852">
        <v>0</v>
      </c>
      <c r="J1852" t="s">
        <v>47</v>
      </c>
      <c r="K1852">
        <v>1</v>
      </c>
      <c r="L1852" t="s">
        <v>55</v>
      </c>
      <c r="M1852">
        <v>0</v>
      </c>
      <c r="N1852" t="s">
        <v>47</v>
      </c>
      <c r="O1852">
        <v>0</v>
      </c>
      <c r="P1852" t="s">
        <v>47</v>
      </c>
      <c r="Q1852">
        <v>0</v>
      </c>
      <c r="R1852" t="s">
        <v>47</v>
      </c>
      <c r="S1852">
        <v>0</v>
      </c>
      <c r="T1852" t="s">
        <v>47</v>
      </c>
    </row>
    <row r="1853" spans="1:20" x14ac:dyDescent="0.35">
      <c r="A1853" s="1" t="s">
        <v>4134</v>
      </c>
      <c r="B1853" t="s">
        <v>12</v>
      </c>
      <c r="C1853" t="s">
        <v>47</v>
      </c>
      <c r="D1853" t="s">
        <v>3581</v>
      </c>
      <c r="E1853">
        <v>0</v>
      </c>
      <c r="F1853" t="s">
        <v>47</v>
      </c>
      <c r="G1853">
        <v>0</v>
      </c>
      <c r="H1853" t="s">
        <v>47</v>
      </c>
      <c r="I1853">
        <v>0</v>
      </c>
      <c r="J1853" t="s">
        <v>47</v>
      </c>
      <c r="K1853">
        <v>0</v>
      </c>
      <c r="L1853" t="s">
        <v>47</v>
      </c>
      <c r="M1853">
        <v>0</v>
      </c>
      <c r="N1853" t="s">
        <v>47</v>
      </c>
      <c r="O1853">
        <v>0</v>
      </c>
      <c r="P1853" t="s">
        <v>47</v>
      </c>
      <c r="Q1853">
        <v>0</v>
      </c>
      <c r="R1853" t="s">
        <v>47</v>
      </c>
      <c r="S1853">
        <v>1</v>
      </c>
      <c r="T1853" t="s">
        <v>45</v>
      </c>
    </row>
    <row r="1854" spans="1:20" x14ac:dyDescent="0.35">
      <c r="A1854" s="1" t="s">
        <v>4135</v>
      </c>
      <c r="B1854" t="s">
        <v>12</v>
      </c>
      <c r="C1854" t="s">
        <v>47</v>
      </c>
      <c r="D1854" t="s">
        <v>3582</v>
      </c>
      <c r="E1854">
        <v>0</v>
      </c>
      <c r="F1854" t="s">
        <v>47</v>
      </c>
      <c r="G1854">
        <v>0</v>
      </c>
      <c r="H1854" t="s">
        <v>47</v>
      </c>
      <c r="I1854">
        <v>1</v>
      </c>
      <c r="J1854" t="s">
        <v>48</v>
      </c>
      <c r="K1854">
        <v>0</v>
      </c>
      <c r="L1854" t="s">
        <v>47</v>
      </c>
      <c r="M1854">
        <v>0</v>
      </c>
      <c r="N1854" t="s">
        <v>47</v>
      </c>
      <c r="O1854">
        <v>1</v>
      </c>
      <c r="P1854" t="s">
        <v>45</v>
      </c>
      <c r="Q1854">
        <v>0</v>
      </c>
      <c r="R1854" t="s">
        <v>47</v>
      </c>
      <c r="S1854">
        <v>0</v>
      </c>
      <c r="T1854" t="s">
        <v>47</v>
      </c>
    </row>
    <row r="1855" spans="1:20" x14ac:dyDescent="0.35">
      <c r="A1855" s="1" t="s">
        <v>4136</v>
      </c>
      <c r="B1855" t="s">
        <v>12</v>
      </c>
      <c r="C1855" t="s">
        <v>47</v>
      </c>
      <c r="D1855" t="s">
        <v>3583</v>
      </c>
      <c r="E1855">
        <v>0</v>
      </c>
      <c r="F1855" t="s">
        <v>47</v>
      </c>
      <c r="G1855">
        <v>0</v>
      </c>
      <c r="H1855" t="s">
        <v>47</v>
      </c>
      <c r="I1855">
        <v>0</v>
      </c>
      <c r="J1855" t="s">
        <v>47</v>
      </c>
      <c r="K1855">
        <v>1</v>
      </c>
      <c r="L1855" t="s">
        <v>55</v>
      </c>
      <c r="M1855">
        <v>0</v>
      </c>
      <c r="N1855" t="s">
        <v>47</v>
      </c>
      <c r="O1855">
        <v>0</v>
      </c>
      <c r="P1855" t="s">
        <v>47</v>
      </c>
      <c r="Q1855">
        <v>0</v>
      </c>
      <c r="R1855" t="s">
        <v>47</v>
      </c>
      <c r="S1855">
        <v>0</v>
      </c>
      <c r="T1855" t="s">
        <v>47</v>
      </c>
    </row>
    <row r="1856" spans="1:20" x14ac:dyDescent="0.35">
      <c r="A1856" s="1" t="s">
        <v>4137</v>
      </c>
      <c r="B1856" t="s">
        <v>12</v>
      </c>
      <c r="C1856" t="s">
        <v>47</v>
      </c>
      <c r="D1856" t="s">
        <v>3584</v>
      </c>
      <c r="E1856">
        <v>0</v>
      </c>
      <c r="F1856" t="s">
        <v>47</v>
      </c>
      <c r="G1856">
        <v>0</v>
      </c>
      <c r="H1856" t="s">
        <v>47</v>
      </c>
      <c r="I1856">
        <v>0</v>
      </c>
      <c r="J1856" t="s">
        <v>47</v>
      </c>
      <c r="K1856">
        <v>1</v>
      </c>
      <c r="L1856" t="s">
        <v>45</v>
      </c>
      <c r="M1856">
        <v>0</v>
      </c>
      <c r="N1856" t="s">
        <v>47</v>
      </c>
      <c r="O1856">
        <v>0</v>
      </c>
      <c r="P1856" t="s">
        <v>47</v>
      </c>
      <c r="Q1856">
        <v>0</v>
      </c>
      <c r="R1856" t="s">
        <v>47</v>
      </c>
      <c r="S1856">
        <v>1</v>
      </c>
      <c r="T1856" t="s">
        <v>48</v>
      </c>
    </row>
    <row r="1857" spans="1:20" x14ac:dyDescent="0.35">
      <c r="A1857" s="1" t="s">
        <v>4138</v>
      </c>
      <c r="B1857" t="s">
        <v>12</v>
      </c>
      <c r="C1857" t="s">
        <v>47</v>
      </c>
      <c r="D1857" t="s">
        <v>3585</v>
      </c>
      <c r="E1857">
        <v>0</v>
      </c>
      <c r="F1857" t="s">
        <v>47</v>
      </c>
      <c r="G1857">
        <v>0</v>
      </c>
      <c r="H1857" t="s">
        <v>47</v>
      </c>
      <c r="I1857">
        <v>1</v>
      </c>
      <c r="J1857" t="s">
        <v>45</v>
      </c>
      <c r="K1857">
        <v>0</v>
      </c>
      <c r="L1857" t="s">
        <v>47</v>
      </c>
      <c r="M1857">
        <v>0</v>
      </c>
      <c r="N1857" t="s">
        <v>47</v>
      </c>
      <c r="O1857">
        <v>0</v>
      </c>
      <c r="P1857" t="s">
        <v>47</v>
      </c>
      <c r="Q1857">
        <v>0</v>
      </c>
      <c r="R1857" t="s">
        <v>47</v>
      </c>
      <c r="S1857">
        <v>0</v>
      </c>
      <c r="T1857" t="s">
        <v>47</v>
      </c>
    </row>
    <row r="1858" spans="1:20" x14ac:dyDescent="0.35">
      <c r="A1858" s="1" t="s">
        <v>4139</v>
      </c>
      <c r="B1858" t="s">
        <v>12</v>
      </c>
      <c r="C1858" t="s">
        <v>47</v>
      </c>
      <c r="D1858" t="s">
        <v>3586</v>
      </c>
      <c r="E1858">
        <v>0</v>
      </c>
      <c r="F1858" t="s">
        <v>47</v>
      </c>
      <c r="G1858">
        <v>0</v>
      </c>
      <c r="H1858" t="s">
        <v>47</v>
      </c>
      <c r="I1858">
        <v>0</v>
      </c>
      <c r="J1858" t="s">
        <v>47</v>
      </c>
      <c r="K1858">
        <v>1</v>
      </c>
      <c r="L1858" t="s">
        <v>48</v>
      </c>
      <c r="M1858">
        <v>0</v>
      </c>
      <c r="N1858" t="s">
        <v>47</v>
      </c>
      <c r="O1858">
        <v>0</v>
      </c>
      <c r="P1858" t="s">
        <v>47</v>
      </c>
      <c r="Q1858">
        <v>0</v>
      </c>
      <c r="R1858" t="s">
        <v>47</v>
      </c>
      <c r="S1858">
        <v>0</v>
      </c>
      <c r="T1858" t="s">
        <v>47</v>
      </c>
    </row>
    <row r="1859" spans="1:20" x14ac:dyDescent="0.35">
      <c r="A1859" s="1" t="s">
        <v>4140</v>
      </c>
      <c r="B1859" t="s">
        <v>12</v>
      </c>
      <c r="C1859" t="s">
        <v>47</v>
      </c>
      <c r="D1859" t="s">
        <v>3587</v>
      </c>
      <c r="E1859">
        <v>0</v>
      </c>
      <c r="F1859" t="s">
        <v>47</v>
      </c>
      <c r="G1859">
        <v>0</v>
      </c>
      <c r="H1859" t="s">
        <v>47</v>
      </c>
      <c r="I1859">
        <v>0</v>
      </c>
      <c r="J1859" t="s">
        <v>47</v>
      </c>
      <c r="K1859">
        <v>0</v>
      </c>
      <c r="L1859" t="s">
        <v>47</v>
      </c>
      <c r="M1859">
        <v>0</v>
      </c>
      <c r="N1859" t="s">
        <v>47</v>
      </c>
      <c r="O1859">
        <v>0</v>
      </c>
      <c r="P1859" t="s">
        <v>47</v>
      </c>
      <c r="Q1859">
        <v>0</v>
      </c>
      <c r="R1859" t="s">
        <v>47</v>
      </c>
      <c r="S1859">
        <v>1</v>
      </c>
      <c r="T1859" t="s">
        <v>55</v>
      </c>
    </row>
    <row r="1860" spans="1:20" x14ac:dyDescent="0.35">
      <c r="A1860" s="1" t="s">
        <v>4141</v>
      </c>
      <c r="B1860" t="s">
        <v>12</v>
      </c>
      <c r="C1860" t="s">
        <v>47</v>
      </c>
      <c r="D1860" t="s">
        <v>3588</v>
      </c>
      <c r="E1860">
        <v>0</v>
      </c>
      <c r="F1860" t="s">
        <v>47</v>
      </c>
      <c r="G1860">
        <v>0</v>
      </c>
      <c r="H1860" t="s">
        <v>47</v>
      </c>
      <c r="I1860">
        <v>1</v>
      </c>
      <c r="J1860" t="s">
        <v>48</v>
      </c>
      <c r="K1860">
        <v>0</v>
      </c>
      <c r="L1860" t="s">
        <v>47</v>
      </c>
      <c r="M1860">
        <v>0</v>
      </c>
      <c r="N1860" t="s">
        <v>47</v>
      </c>
      <c r="O1860">
        <v>0</v>
      </c>
      <c r="P1860" t="s">
        <v>47</v>
      </c>
      <c r="Q1860">
        <v>0</v>
      </c>
      <c r="R1860" t="s">
        <v>47</v>
      </c>
      <c r="S1860">
        <v>0</v>
      </c>
      <c r="T1860" t="s">
        <v>47</v>
      </c>
    </row>
    <row r="1861" spans="1:20" x14ac:dyDescent="0.35">
      <c r="A1861" s="1" t="s">
        <v>4142</v>
      </c>
      <c r="B1861" t="s">
        <v>12</v>
      </c>
      <c r="C1861" t="s">
        <v>47</v>
      </c>
      <c r="D1861" t="s">
        <v>3589</v>
      </c>
      <c r="E1861">
        <v>0</v>
      </c>
      <c r="F1861" t="s">
        <v>47</v>
      </c>
      <c r="G1861">
        <v>0</v>
      </c>
      <c r="H1861" t="s">
        <v>47</v>
      </c>
      <c r="I1861">
        <v>0</v>
      </c>
      <c r="J1861" t="s">
        <v>47</v>
      </c>
      <c r="K1861">
        <v>1</v>
      </c>
      <c r="L1861" t="s">
        <v>45</v>
      </c>
      <c r="M1861">
        <v>0</v>
      </c>
      <c r="N1861" t="s">
        <v>47</v>
      </c>
      <c r="O1861">
        <v>0</v>
      </c>
      <c r="P1861" t="s">
        <v>47</v>
      </c>
      <c r="Q1861">
        <v>0</v>
      </c>
      <c r="R1861" t="s">
        <v>47</v>
      </c>
      <c r="S1861">
        <v>0</v>
      </c>
      <c r="T1861" t="s">
        <v>47</v>
      </c>
    </row>
    <row r="1862" spans="1:20" x14ac:dyDescent="0.35">
      <c r="A1862" s="1" t="s">
        <v>4143</v>
      </c>
      <c r="B1862" t="s">
        <v>12</v>
      </c>
      <c r="C1862" t="s">
        <v>47</v>
      </c>
      <c r="D1862" t="s">
        <v>3590</v>
      </c>
      <c r="E1862">
        <v>0</v>
      </c>
      <c r="F1862" t="s">
        <v>47</v>
      </c>
      <c r="G1862">
        <v>0</v>
      </c>
      <c r="H1862" t="s">
        <v>47</v>
      </c>
      <c r="I1862">
        <v>0</v>
      </c>
      <c r="J1862" t="s">
        <v>47</v>
      </c>
      <c r="K1862">
        <v>0</v>
      </c>
      <c r="L1862" t="s">
        <v>47</v>
      </c>
      <c r="M1862">
        <v>0</v>
      </c>
      <c r="N1862" t="s">
        <v>47</v>
      </c>
      <c r="O1862">
        <v>0</v>
      </c>
      <c r="P1862" t="s">
        <v>47</v>
      </c>
      <c r="Q1862">
        <v>0</v>
      </c>
      <c r="R1862" t="s">
        <v>47</v>
      </c>
      <c r="S1862">
        <v>1</v>
      </c>
      <c r="T1862" t="s">
        <v>48</v>
      </c>
    </row>
    <row r="1863" spans="1:20" x14ac:dyDescent="0.35">
      <c r="A1863" s="1" t="s">
        <v>4144</v>
      </c>
      <c r="B1863" t="s">
        <v>12</v>
      </c>
      <c r="C1863" t="s">
        <v>47</v>
      </c>
      <c r="D1863" t="s">
        <v>3591</v>
      </c>
      <c r="E1863">
        <v>0</v>
      </c>
      <c r="F1863" t="s">
        <v>47</v>
      </c>
      <c r="G1863">
        <v>0</v>
      </c>
      <c r="H1863" t="s">
        <v>47</v>
      </c>
      <c r="I1863">
        <v>1</v>
      </c>
      <c r="J1863" t="s">
        <v>55</v>
      </c>
      <c r="K1863">
        <v>0</v>
      </c>
      <c r="L1863" t="s">
        <v>47</v>
      </c>
      <c r="M1863">
        <v>0</v>
      </c>
      <c r="N1863" t="s">
        <v>47</v>
      </c>
      <c r="O1863">
        <v>0</v>
      </c>
      <c r="P1863" t="s">
        <v>47</v>
      </c>
      <c r="Q1863">
        <v>0</v>
      </c>
      <c r="R1863" t="s">
        <v>47</v>
      </c>
      <c r="S1863">
        <v>0</v>
      </c>
      <c r="T1863" t="s">
        <v>47</v>
      </c>
    </row>
    <row r="1864" spans="1:20" x14ac:dyDescent="0.35">
      <c r="A1864" s="1" t="s">
        <v>4145</v>
      </c>
      <c r="B1864" t="s">
        <v>12</v>
      </c>
      <c r="C1864" t="s">
        <v>47</v>
      </c>
      <c r="D1864" t="s">
        <v>3592</v>
      </c>
      <c r="E1864">
        <v>0</v>
      </c>
      <c r="F1864" t="s">
        <v>47</v>
      </c>
      <c r="G1864">
        <v>0</v>
      </c>
      <c r="H1864" t="s">
        <v>47</v>
      </c>
      <c r="I1864">
        <v>0</v>
      </c>
      <c r="J1864" t="s">
        <v>47</v>
      </c>
      <c r="K1864">
        <v>1</v>
      </c>
      <c r="L1864" t="s">
        <v>55</v>
      </c>
      <c r="M1864">
        <v>0</v>
      </c>
      <c r="N1864" t="s">
        <v>47</v>
      </c>
      <c r="O1864">
        <v>0</v>
      </c>
      <c r="P1864" t="s">
        <v>47</v>
      </c>
      <c r="Q1864">
        <v>0</v>
      </c>
      <c r="R1864" t="s">
        <v>47</v>
      </c>
      <c r="S1864">
        <v>0</v>
      </c>
      <c r="T1864" t="s">
        <v>47</v>
      </c>
    </row>
    <row r="1865" spans="1:20" x14ac:dyDescent="0.35">
      <c r="A1865" s="1" t="s">
        <v>4146</v>
      </c>
      <c r="B1865" t="s">
        <v>12</v>
      </c>
      <c r="C1865" t="s">
        <v>47</v>
      </c>
      <c r="D1865" t="s">
        <v>3593</v>
      </c>
      <c r="E1865">
        <v>0</v>
      </c>
      <c r="F1865" t="s">
        <v>47</v>
      </c>
      <c r="G1865">
        <v>0</v>
      </c>
      <c r="H1865" t="s">
        <v>47</v>
      </c>
      <c r="I1865">
        <v>1</v>
      </c>
      <c r="J1865" t="s">
        <v>45</v>
      </c>
      <c r="K1865">
        <v>1</v>
      </c>
      <c r="L1865" t="s">
        <v>45</v>
      </c>
      <c r="M1865">
        <v>0</v>
      </c>
      <c r="N1865" t="s">
        <v>47</v>
      </c>
      <c r="O1865">
        <v>0</v>
      </c>
      <c r="P1865" t="s">
        <v>47</v>
      </c>
      <c r="Q1865">
        <v>0</v>
      </c>
      <c r="R1865" t="s">
        <v>47</v>
      </c>
      <c r="S1865">
        <v>1</v>
      </c>
      <c r="T1865" t="s">
        <v>55</v>
      </c>
    </row>
    <row r="1866" spans="1:20" x14ac:dyDescent="0.35">
      <c r="A1866" s="1" t="s">
        <v>4147</v>
      </c>
      <c r="B1866" t="s">
        <v>12</v>
      </c>
      <c r="C1866" t="s">
        <v>47</v>
      </c>
      <c r="D1866" t="s">
        <v>3594</v>
      </c>
      <c r="E1866">
        <v>0</v>
      </c>
      <c r="F1866" t="s">
        <v>47</v>
      </c>
      <c r="G1866">
        <v>0</v>
      </c>
      <c r="H1866" t="s">
        <v>47</v>
      </c>
      <c r="I1866">
        <v>0</v>
      </c>
      <c r="J1866" t="s">
        <v>47</v>
      </c>
      <c r="K1866">
        <v>1</v>
      </c>
      <c r="L1866" t="s">
        <v>45</v>
      </c>
      <c r="M1866">
        <v>0</v>
      </c>
      <c r="N1866" t="s">
        <v>47</v>
      </c>
      <c r="O1866">
        <v>0</v>
      </c>
      <c r="P1866" t="s">
        <v>47</v>
      </c>
      <c r="Q1866">
        <v>0</v>
      </c>
      <c r="R1866" t="s">
        <v>47</v>
      </c>
      <c r="S1866">
        <v>1</v>
      </c>
      <c r="T1866" t="s">
        <v>45</v>
      </c>
    </row>
    <row r="1867" spans="1:20" x14ac:dyDescent="0.35">
      <c r="A1867" s="1" t="s">
        <v>4148</v>
      </c>
      <c r="B1867" t="s">
        <v>12</v>
      </c>
      <c r="C1867" t="s">
        <v>47</v>
      </c>
      <c r="D1867" t="s">
        <v>3595</v>
      </c>
      <c r="E1867">
        <v>0</v>
      </c>
      <c r="F1867" t="s">
        <v>47</v>
      </c>
      <c r="G1867">
        <v>0</v>
      </c>
      <c r="H1867" t="s">
        <v>47</v>
      </c>
      <c r="I1867">
        <v>1</v>
      </c>
      <c r="J1867" t="s">
        <v>48</v>
      </c>
      <c r="K1867">
        <v>0</v>
      </c>
      <c r="L1867" t="s">
        <v>47</v>
      </c>
      <c r="M1867">
        <v>0</v>
      </c>
      <c r="N1867" t="s">
        <v>47</v>
      </c>
      <c r="O1867">
        <v>0</v>
      </c>
      <c r="P1867" t="s">
        <v>47</v>
      </c>
      <c r="Q1867">
        <v>0</v>
      </c>
      <c r="R1867" t="s">
        <v>47</v>
      </c>
      <c r="S1867">
        <v>0</v>
      </c>
      <c r="T1867" t="s">
        <v>47</v>
      </c>
    </row>
    <row r="1868" spans="1:20" x14ac:dyDescent="0.35">
      <c r="A1868" s="1" t="s">
        <v>4149</v>
      </c>
      <c r="B1868" t="s">
        <v>12</v>
      </c>
      <c r="C1868" t="s">
        <v>47</v>
      </c>
      <c r="D1868" t="s">
        <v>3596</v>
      </c>
      <c r="E1868">
        <v>0</v>
      </c>
      <c r="F1868" t="s">
        <v>47</v>
      </c>
      <c r="G1868">
        <v>0</v>
      </c>
      <c r="H1868" t="s">
        <v>47</v>
      </c>
      <c r="I1868">
        <v>0</v>
      </c>
      <c r="J1868" t="s">
        <v>47</v>
      </c>
      <c r="K1868">
        <v>1</v>
      </c>
      <c r="L1868" t="s">
        <v>45</v>
      </c>
      <c r="M1868">
        <v>0</v>
      </c>
      <c r="N1868" t="s">
        <v>47</v>
      </c>
      <c r="O1868">
        <v>0</v>
      </c>
      <c r="P1868" t="s">
        <v>47</v>
      </c>
      <c r="Q1868">
        <v>0</v>
      </c>
      <c r="R1868" t="s">
        <v>47</v>
      </c>
      <c r="S1868">
        <v>1</v>
      </c>
      <c r="T1868" t="s">
        <v>48</v>
      </c>
    </row>
    <row r="1869" spans="1:20" x14ac:dyDescent="0.35">
      <c r="A1869" s="1" t="s">
        <v>4150</v>
      </c>
      <c r="B1869" t="s">
        <v>12</v>
      </c>
      <c r="C1869" t="s">
        <v>47</v>
      </c>
      <c r="D1869" t="s">
        <v>3597</v>
      </c>
      <c r="E1869">
        <v>0</v>
      </c>
      <c r="F1869" t="s">
        <v>47</v>
      </c>
      <c r="G1869">
        <v>0</v>
      </c>
      <c r="H1869" t="s">
        <v>47</v>
      </c>
      <c r="I1869">
        <v>1</v>
      </c>
      <c r="J1869" t="s">
        <v>45</v>
      </c>
      <c r="K1869">
        <v>0</v>
      </c>
      <c r="L1869" t="s">
        <v>47</v>
      </c>
      <c r="M1869">
        <v>0</v>
      </c>
      <c r="N1869" t="s">
        <v>47</v>
      </c>
      <c r="O1869">
        <v>0</v>
      </c>
      <c r="P1869" t="s">
        <v>47</v>
      </c>
      <c r="Q1869">
        <v>0</v>
      </c>
      <c r="R1869" t="s">
        <v>47</v>
      </c>
      <c r="S1869">
        <v>0</v>
      </c>
      <c r="T1869" t="s">
        <v>47</v>
      </c>
    </row>
    <row r="1870" spans="1:20" x14ac:dyDescent="0.35">
      <c r="A1870" s="1" t="s">
        <v>4151</v>
      </c>
      <c r="B1870" t="s">
        <v>12</v>
      </c>
      <c r="C1870" t="s">
        <v>47</v>
      </c>
      <c r="D1870" t="s">
        <v>3598</v>
      </c>
      <c r="E1870">
        <v>0</v>
      </c>
      <c r="F1870" t="s">
        <v>47</v>
      </c>
      <c r="G1870">
        <v>0</v>
      </c>
      <c r="H1870" t="s">
        <v>47</v>
      </c>
      <c r="I1870">
        <v>0</v>
      </c>
      <c r="J1870" t="s">
        <v>47</v>
      </c>
      <c r="K1870">
        <v>1</v>
      </c>
      <c r="L1870" t="s">
        <v>48</v>
      </c>
      <c r="M1870">
        <v>0</v>
      </c>
      <c r="N1870" t="s">
        <v>47</v>
      </c>
      <c r="O1870">
        <v>0</v>
      </c>
      <c r="P1870" t="s">
        <v>47</v>
      </c>
      <c r="Q1870">
        <v>0</v>
      </c>
      <c r="R1870" t="s">
        <v>47</v>
      </c>
      <c r="S1870">
        <v>0</v>
      </c>
      <c r="T1870" t="s">
        <v>47</v>
      </c>
    </row>
    <row r="1871" spans="1:20" x14ac:dyDescent="0.35">
      <c r="A1871" s="1" t="s">
        <v>4152</v>
      </c>
      <c r="B1871" t="s">
        <v>12</v>
      </c>
      <c r="C1871" t="s">
        <v>47</v>
      </c>
      <c r="D1871" t="s">
        <v>3599</v>
      </c>
      <c r="E1871">
        <v>0</v>
      </c>
      <c r="F1871" t="s">
        <v>47</v>
      </c>
      <c r="G1871">
        <v>0</v>
      </c>
      <c r="H1871" t="s">
        <v>47</v>
      </c>
      <c r="I1871">
        <v>0</v>
      </c>
      <c r="J1871" t="s">
        <v>47</v>
      </c>
      <c r="K1871">
        <v>0</v>
      </c>
      <c r="L1871" t="s">
        <v>47</v>
      </c>
      <c r="M1871">
        <v>0</v>
      </c>
      <c r="N1871" t="s">
        <v>47</v>
      </c>
      <c r="O1871">
        <v>0</v>
      </c>
      <c r="P1871" t="s">
        <v>47</v>
      </c>
      <c r="Q1871">
        <v>0</v>
      </c>
      <c r="R1871" t="s">
        <v>47</v>
      </c>
      <c r="S1871">
        <v>1</v>
      </c>
      <c r="T1871" t="s">
        <v>45</v>
      </c>
    </row>
    <row r="1872" spans="1:20" x14ac:dyDescent="0.35">
      <c r="A1872" s="1" t="s">
        <v>4153</v>
      </c>
      <c r="B1872" t="s">
        <v>12</v>
      </c>
      <c r="C1872" t="s">
        <v>47</v>
      </c>
      <c r="D1872" t="s">
        <v>3600</v>
      </c>
      <c r="E1872">
        <v>0</v>
      </c>
      <c r="F1872" t="s">
        <v>47</v>
      </c>
      <c r="G1872">
        <v>0</v>
      </c>
      <c r="H1872" t="s">
        <v>47</v>
      </c>
      <c r="I1872">
        <v>1</v>
      </c>
      <c r="J1872" t="s">
        <v>48</v>
      </c>
      <c r="K1872">
        <v>0</v>
      </c>
      <c r="L1872" t="s">
        <v>47</v>
      </c>
      <c r="M1872">
        <v>0</v>
      </c>
      <c r="N1872" t="s">
        <v>47</v>
      </c>
      <c r="O1872">
        <v>0</v>
      </c>
      <c r="P1872" t="s">
        <v>47</v>
      </c>
      <c r="Q1872">
        <v>0</v>
      </c>
      <c r="R1872" t="s">
        <v>47</v>
      </c>
      <c r="S1872">
        <v>0</v>
      </c>
      <c r="T1872" t="s">
        <v>47</v>
      </c>
    </row>
    <row r="1873" spans="1:20" x14ac:dyDescent="0.35">
      <c r="A1873" s="1" t="s">
        <v>4154</v>
      </c>
      <c r="B1873" t="s">
        <v>12</v>
      </c>
      <c r="C1873" t="s">
        <v>47</v>
      </c>
      <c r="D1873" t="s">
        <v>3601</v>
      </c>
      <c r="E1873">
        <v>0</v>
      </c>
      <c r="F1873" t="s">
        <v>47</v>
      </c>
      <c r="G1873">
        <v>0</v>
      </c>
      <c r="H1873" t="s">
        <v>47</v>
      </c>
      <c r="I1873">
        <v>0</v>
      </c>
      <c r="J1873" t="s">
        <v>47</v>
      </c>
      <c r="K1873">
        <v>1</v>
      </c>
      <c r="L1873" t="s">
        <v>45</v>
      </c>
      <c r="M1873">
        <v>0</v>
      </c>
      <c r="N1873" t="s">
        <v>47</v>
      </c>
      <c r="O1873">
        <v>0</v>
      </c>
      <c r="P1873" t="s">
        <v>47</v>
      </c>
      <c r="Q1873">
        <v>0</v>
      </c>
      <c r="R1873" t="s">
        <v>47</v>
      </c>
      <c r="S1873">
        <v>0</v>
      </c>
      <c r="T1873" t="s">
        <v>47</v>
      </c>
    </row>
    <row r="1874" spans="1:20" x14ac:dyDescent="0.35">
      <c r="A1874" s="1" t="s">
        <v>4155</v>
      </c>
      <c r="B1874" t="s">
        <v>12</v>
      </c>
      <c r="C1874" t="s">
        <v>47</v>
      </c>
      <c r="D1874" t="s">
        <v>3602</v>
      </c>
      <c r="E1874">
        <v>0</v>
      </c>
      <c r="F1874" t="s">
        <v>47</v>
      </c>
      <c r="G1874">
        <v>0</v>
      </c>
      <c r="H1874" t="s">
        <v>47</v>
      </c>
      <c r="I1874">
        <v>0</v>
      </c>
      <c r="J1874" t="s">
        <v>47</v>
      </c>
      <c r="K1874">
        <v>0</v>
      </c>
      <c r="L1874" t="s">
        <v>47</v>
      </c>
      <c r="M1874">
        <v>0</v>
      </c>
      <c r="N1874" t="s">
        <v>47</v>
      </c>
      <c r="O1874">
        <v>0</v>
      </c>
      <c r="P1874" t="s">
        <v>47</v>
      </c>
      <c r="Q1874">
        <v>0</v>
      </c>
      <c r="R1874" t="s">
        <v>47</v>
      </c>
      <c r="S1874">
        <v>1</v>
      </c>
      <c r="T1874" t="s">
        <v>48</v>
      </c>
    </row>
    <row r="1875" spans="1:20" x14ac:dyDescent="0.35">
      <c r="A1875" s="1" t="s">
        <v>4156</v>
      </c>
      <c r="B1875" t="s">
        <v>12</v>
      </c>
      <c r="C1875" t="s">
        <v>47</v>
      </c>
      <c r="D1875" t="s">
        <v>3603</v>
      </c>
      <c r="E1875">
        <v>0</v>
      </c>
      <c r="F1875" t="s">
        <v>47</v>
      </c>
      <c r="G1875">
        <v>0</v>
      </c>
      <c r="H1875" t="s">
        <v>47</v>
      </c>
      <c r="I1875">
        <v>1</v>
      </c>
      <c r="J1875" t="s">
        <v>45</v>
      </c>
      <c r="K1875">
        <v>0</v>
      </c>
      <c r="L1875" t="s">
        <v>47</v>
      </c>
      <c r="M1875">
        <v>0</v>
      </c>
      <c r="N1875" t="s">
        <v>47</v>
      </c>
      <c r="O1875">
        <v>0</v>
      </c>
      <c r="P1875" t="s">
        <v>47</v>
      </c>
      <c r="Q1875">
        <v>0</v>
      </c>
      <c r="R1875" t="s">
        <v>47</v>
      </c>
      <c r="S1875">
        <v>0</v>
      </c>
      <c r="T1875" t="s">
        <v>47</v>
      </c>
    </row>
    <row r="1876" spans="1:20" x14ac:dyDescent="0.35">
      <c r="A1876" s="1" t="s">
        <v>4157</v>
      </c>
      <c r="B1876" t="s">
        <v>12</v>
      </c>
      <c r="C1876" t="s">
        <v>47</v>
      </c>
      <c r="D1876" t="s">
        <v>3604</v>
      </c>
      <c r="E1876">
        <v>0</v>
      </c>
      <c r="F1876" t="s">
        <v>47</v>
      </c>
      <c r="G1876">
        <v>0</v>
      </c>
      <c r="H1876" t="s">
        <v>47</v>
      </c>
      <c r="I1876">
        <v>0</v>
      </c>
      <c r="J1876" t="s">
        <v>47</v>
      </c>
      <c r="K1876">
        <v>1</v>
      </c>
      <c r="L1876" t="s">
        <v>48</v>
      </c>
      <c r="M1876">
        <v>0</v>
      </c>
      <c r="N1876" t="s">
        <v>47</v>
      </c>
      <c r="O1876">
        <v>0</v>
      </c>
      <c r="P1876" t="s">
        <v>47</v>
      </c>
      <c r="Q1876">
        <v>0</v>
      </c>
      <c r="R1876" t="s">
        <v>47</v>
      </c>
      <c r="S1876">
        <v>0</v>
      </c>
      <c r="T1876" t="s">
        <v>47</v>
      </c>
    </row>
    <row r="1877" spans="1:20" x14ac:dyDescent="0.35">
      <c r="A1877" s="1" t="s">
        <v>4158</v>
      </c>
      <c r="B1877" t="s">
        <v>12</v>
      </c>
      <c r="C1877" t="s">
        <v>47</v>
      </c>
      <c r="D1877" t="s">
        <v>3605</v>
      </c>
      <c r="E1877">
        <v>0</v>
      </c>
      <c r="F1877" t="s">
        <v>47</v>
      </c>
      <c r="G1877">
        <v>0</v>
      </c>
      <c r="H1877" t="s">
        <v>47</v>
      </c>
      <c r="I1877">
        <v>0</v>
      </c>
      <c r="J1877" t="s">
        <v>47</v>
      </c>
      <c r="K1877">
        <v>1</v>
      </c>
      <c r="L1877" t="s">
        <v>45</v>
      </c>
      <c r="M1877">
        <v>0</v>
      </c>
      <c r="N1877" t="s">
        <v>47</v>
      </c>
      <c r="O1877">
        <v>0</v>
      </c>
      <c r="P1877" t="s">
        <v>47</v>
      </c>
      <c r="Q1877">
        <v>0</v>
      </c>
      <c r="R1877" t="s">
        <v>47</v>
      </c>
      <c r="S1877">
        <v>1</v>
      </c>
      <c r="T1877" t="s">
        <v>45</v>
      </c>
    </row>
    <row r="1878" spans="1:20" x14ac:dyDescent="0.35">
      <c r="A1878" s="1" t="s">
        <v>4159</v>
      </c>
      <c r="B1878" t="s">
        <v>12</v>
      </c>
      <c r="C1878" t="s">
        <v>47</v>
      </c>
      <c r="D1878" t="s">
        <v>3606</v>
      </c>
      <c r="E1878">
        <v>0</v>
      </c>
      <c r="F1878" t="s">
        <v>47</v>
      </c>
      <c r="G1878">
        <v>0</v>
      </c>
      <c r="H1878" t="s">
        <v>47</v>
      </c>
      <c r="I1878">
        <v>1</v>
      </c>
      <c r="J1878" t="s">
        <v>48</v>
      </c>
      <c r="K1878">
        <v>0</v>
      </c>
      <c r="L1878" t="s">
        <v>47</v>
      </c>
      <c r="M1878">
        <v>0</v>
      </c>
      <c r="N1878" t="s">
        <v>47</v>
      </c>
      <c r="O1878">
        <v>0</v>
      </c>
      <c r="P1878" t="s">
        <v>47</v>
      </c>
      <c r="Q1878">
        <v>0</v>
      </c>
      <c r="R1878" t="s">
        <v>47</v>
      </c>
      <c r="S1878">
        <v>0</v>
      </c>
      <c r="T1878" t="s">
        <v>47</v>
      </c>
    </row>
    <row r="1879" spans="1:20" x14ac:dyDescent="0.35">
      <c r="A1879" s="1" t="s">
        <v>4160</v>
      </c>
      <c r="B1879" t="s">
        <v>12</v>
      </c>
      <c r="C1879" t="s">
        <v>47</v>
      </c>
      <c r="D1879" t="s">
        <v>3607</v>
      </c>
      <c r="E1879">
        <v>0</v>
      </c>
      <c r="F1879" t="s">
        <v>47</v>
      </c>
      <c r="G1879">
        <v>0</v>
      </c>
      <c r="H1879" t="s">
        <v>47</v>
      </c>
      <c r="I1879">
        <v>0</v>
      </c>
      <c r="J1879" t="s">
        <v>47</v>
      </c>
      <c r="K1879">
        <v>1</v>
      </c>
      <c r="L1879" t="s">
        <v>45</v>
      </c>
      <c r="M1879">
        <v>0</v>
      </c>
      <c r="N1879" t="s">
        <v>47</v>
      </c>
      <c r="O1879">
        <v>0</v>
      </c>
      <c r="P1879" t="s">
        <v>47</v>
      </c>
      <c r="Q1879">
        <v>0</v>
      </c>
      <c r="R1879" t="s">
        <v>47</v>
      </c>
      <c r="S1879">
        <v>0</v>
      </c>
      <c r="T1879" t="s">
        <v>47</v>
      </c>
    </row>
    <row r="1880" spans="1:20" x14ac:dyDescent="0.35">
      <c r="A1880" s="1" t="s">
        <v>4161</v>
      </c>
      <c r="B1880" t="s">
        <v>12</v>
      </c>
      <c r="C1880" t="s">
        <v>47</v>
      </c>
      <c r="D1880" t="s">
        <v>3608</v>
      </c>
      <c r="E1880">
        <v>0</v>
      </c>
      <c r="F1880" t="s">
        <v>47</v>
      </c>
      <c r="G1880">
        <v>0</v>
      </c>
      <c r="H1880" t="s">
        <v>47</v>
      </c>
      <c r="I1880">
        <v>0</v>
      </c>
      <c r="J1880" t="s">
        <v>47</v>
      </c>
      <c r="K1880">
        <v>0</v>
      </c>
      <c r="L1880" t="s">
        <v>47</v>
      </c>
      <c r="M1880">
        <v>0</v>
      </c>
      <c r="N1880" t="s">
        <v>47</v>
      </c>
      <c r="O1880">
        <v>0</v>
      </c>
      <c r="P1880" t="s">
        <v>47</v>
      </c>
      <c r="Q1880">
        <v>0</v>
      </c>
      <c r="R1880" t="s">
        <v>47</v>
      </c>
      <c r="S1880">
        <v>1</v>
      </c>
      <c r="T1880" t="s">
        <v>48</v>
      </c>
    </row>
    <row r="1881" spans="1:20" x14ac:dyDescent="0.35">
      <c r="A1881" s="1" t="s">
        <v>4162</v>
      </c>
      <c r="B1881" t="s">
        <v>16</v>
      </c>
      <c r="C1881" t="s">
        <v>47</v>
      </c>
      <c r="D1881" t="s">
        <v>3609</v>
      </c>
      <c r="E1881">
        <v>0</v>
      </c>
      <c r="F1881" t="s">
        <v>47</v>
      </c>
      <c r="G1881">
        <v>0</v>
      </c>
      <c r="H1881" t="s">
        <v>47</v>
      </c>
      <c r="I1881">
        <v>1</v>
      </c>
      <c r="J1881" t="s">
        <v>48</v>
      </c>
      <c r="K1881">
        <v>0</v>
      </c>
      <c r="L1881" t="s">
        <v>47</v>
      </c>
      <c r="M1881">
        <v>0</v>
      </c>
      <c r="N1881" t="s">
        <v>47</v>
      </c>
      <c r="O1881">
        <v>0</v>
      </c>
      <c r="P1881" t="s">
        <v>47</v>
      </c>
      <c r="Q1881">
        <v>0</v>
      </c>
      <c r="R1881" t="s">
        <v>47</v>
      </c>
      <c r="S1881">
        <v>0</v>
      </c>
      <c r="T1881" t="s">
        <v>47</v>
      </c>
    </row>
    <row r="1882" spans="1:20" x14ac:dyDescent="0.35">
      <c r="A1882" s="1" t="s">
        <v>4163</v>
      </c>
      <c r="B1882" t="s">
        <v>12</v>
      </c>
      <c r="C1882" t="s">
        <v>47</v>
      </c>
      <c r="D1882" t="s">
        <v>3610</v>
      </c>
      <c r="E1882">
        <v>0</v>
      </c>
      <c r="F1882" t="s">
        <v>47</v>
      </c>
      <c r="G1882">
        <v>0</v>
      </c>
      <c r="H1882" t="s">
        <v>47</v>
      </c>
      <c r="I1882">
        <v>0</v>
      </c>
      <c r="J1882" t="s">
        <v>47</v>
      </c>
      <c r="K1882">
        <v>1</v>
      </c>
      <c r="L1882" t="s">
        <v>45</v>
      </c>
      <c r="M1882">
        <v>0</v>
      </c>
      <c r="N1882" t="s">
        <v>47</v>
      </c>
      <c r="O1882">
        <v>0</v>
      </c>
      <c r="P1882" t="s">
        <v>47</v>
      </c>
      <c r="Q1882">
        <v>0</v>
      </c>
      <c r="R1882" t="s">
        <v>47</v>
      </c>
      <c r="S1882">
        <v>0</v>
      </c>
      <c r="T1882" t="s">
        <v>47</v>
      </c>
    </row>
    <row r="1883" spans="1:20" x14ac:dyDescent="0.35">
      <c r="A1883" s="1" t="s">
        <v>4164</v>
      </c>
      <c r="B1883" t="s">
        <v>12</v>
      </c>
      <c r="C1883" t="s">
        <v>47</v>
      </c>
      <c r="D1883" t="s">
        <v>3611</v>
      </c>
      <c r="E1883">
        <v>0</v>
      </c>
      <c r="F1883" t="s">
        <v>47</v>
      </c>
      <c r="G1883">
        <v>0</v>
      </c>
      <c r="H1883" t="s">
        <v>47</v>
      </c>
      <c r="I1883">
        <v>0</v>
      </c>
      <c r="J1883" t="s">
        <v>47</v>
      </c>
      <c r="K1883">
        <v>0</v>
      </c>
      <c r="L1883" t="s">
        <v>47</v>
      </c>
      <c r="M1883">
        <v>0</v>
      </c>
      <c r="N1883" t="s">
        <v>47</v>
      </c>
      <c r="O1883">
        <v>0</v>
      </c>
      <c r="P1883" t="s">
        <v>47</v>
      </c>
      <c r="Q1883">
        <v>0</v>
      </c>
      <c r="R1883" t="s">
        <v>47</v>
      </c>
      <c r="S1883">
        <v>1</v>
      </c>
      <c r="T1883" t="s">
        <v>55</v>
      </c>
    </row>
    <row r="1884" spans="1:20" x14ac:dyDescent="0.35">
      <c r="A1884" s="1" t="s">
        <v>4165</v>
      </c>
      <c r="B1884" t="s">
        <v>12</v>
      </c>
      <c r="C1884" t="s">
        <v>47</v>
      </c>
      <c r="D1884" t="s">
        <v>3612</v>
      </c>
      <c r="E1884">
        <v>0</v>
      </c>
      <c r="F1884" t="s">
        <v>47</v>
      </c>
      <c r="G1884">
        <v>0</v>
      </c>
      <c r="H1884" t="s">
        <v>47</v>
      </c>
      <c r="I1884">
        <v>1</v>
      </c>
      <c r="J1884" t="s">
        <v>48</v>
      </c>
      <c r="K1884">
        <v>0</v>
      </c>
      <c r="L1884" t="s">
        <v>47</v>
      </c>
      <c r="M1884">
        <v>0</v>
      </c>
      <c r="N1884" t="s">
        <v>47</v>
      </c>
      <c r="O1884">
        <v>0</v>
      </c>
      <c r="P1884" t="s">
        <v>47</v>
      </c>
      <c r="Q1884">
        <v>0</v>
      </c>
      <c r="R1884" t="s">
        <v>47</v>
      </c>
      <c r="S1884">
        <v>0</v>
      </c>
      <c r="T1884" t="s">
        <v>47</v>
      </c>
    </row>
    <row r="1885" spans="1:20" x14ac:dyDescent="0.35">
      <c r="A1885" s="1" t="s">
        <v>4166</v>
      </c>
      <c r="B1885" t="s">
        <v>12</v>
      </c>
      <c r="C1885" t="s">
        <v>47</v>
      </c>
      <c r="D1885" t="s">
        <v>3613</v>
      </c>
      <c r="E1885">
        <v>0</v>
      </c>
      <c r="F1885" t="s">
        <v>47</v>
      </c>
      <c r="G1885">
        <v>0</v>
      </c>
      <c r="H1885" t="s">
        <v>47</v>
      </c>
      <c r="I1885">
        <v>0</v>
      </c>
      <c r="J1885" t="s">
        <v>47</v>
      </c>
      <c r="K1885">
        <v>1</v>
      </c>
      <c r="L1885" t="s">
        <v>55</v>
      </c>
      <c r="M1885">
        <v>0</v>
      </c>
      <c r="N1885" t="s">
        <v>47</v>
      </c>
      <c r="O1885">
        <v>0</v>
      </c>
      <c r="P1885" t="s">
        <v>47</v>
      </c>
      <c r="Q1885">
        <v>0</v>
      </c>
      <c r="R1885" t="s">
        <v>47</v>
      </c>
      <c r="S1885">
        <v>0</v>
      </c>
      <c r="T1885" t="s">
        <v>47</v>
      </c>
    </row>
    <row r="1886" spans="1:20" x14ac:dyDescent="0.35">
      <c r="A1886" s="1" t="s">
        <v>4167</v>
      </c>
      <c r="B1886" t="s">
        <v>12</v>
      </c>
      <c r="C1886" t="s">
        <v>47</v>
      </c>
      <c r="D1886" t="s">
        <v>3614</v>
      </c>
      <c r="E1886">
        <v>0</v>
      </c>
      <c r="F1886" t="s">
        <v>47</v>
      </c>
      <c r="G1886">
        <v>0</v>
      </c>
      <c r="H1886" t="s">
        <v>47</v>
      </c>
      <c r="I1886">
        <v>0</v>
      </c>
      <c r="J1886" t="s">
        <v>47</v>
      </c>
      <c r="K1886">
        <v>0</v>
      </c>
      <c r="L1886" t="s">
        <v>47</v>
      </c>
      <c r="M1886">
        <v>0</v>
      </c>
      <c r="N1886" t="s">
        <v>47</v>
      </c>
      <c r="O1886">
        <v>0</v>
      </c>
      <c r="P1886" t="s">
        <v>47</v>
      </c>
      <c r="Q1886">
        <v>0</v>
      </c>
      <c r="R1886" t="s">
        <v>47</v>
      </c>
      <c r="S1886">
        <v>1</v>
      </c>
      <c r="T1886" t="s">
        <v>55</v>
      </c>
    </row>
    <row r="1887" spans="1:20" x14ac:dyDescent="0.35">
      <c r="A1887" s="1" t="s">
        <v>4168</v>
      </c>
      <c r="B1887" t="s">
        <v>12</v>
      </c>
      <c r="C1887" t="s">
        <v>47</v>
      </c>
      <c r="D1887" t="s">
        <v>3615</v>
      </c>
      <c r="E1887">
        <v>0</v>
      </c>
      <c r="F1887" t="s">
        <v>47</v>
      </c>
      <c r="G1887">
        <v>0</v>
      </c>
      <c r="H1887" t="s">
        <v>47</v>
      </c>
      <c r="I1887">
        <v>1</v>
      </c>
      <c r="J1887" t="s">
        <v>45</v>
      </c>
      <c r="K1887">
        <v>0</v>
      </c>
      <c r="L1887" t="s">
        <v>47</v>
      </c>
      <c r="M1887">
        <v>0</v>
      </c>
      <c r="N1887" t="s">
        <v>47</v>
      </c>
      <c r="O1887">
        <v>0</v>
      </c>
      <c r="P1887" t="s">
        <v>47</v>
      </c>
      <c r="Q1887">
        <v>0</v>
      </c>
      <c r="R1887" t="s">
        <v>47</v>
      </c>
      <c r="S1887">
        <v>0</v>
      </c>
      <c r="T1887" t="s">
        <v>47</v>
      </c>
    </row>
    <row r="1888" spans="1:20" x14ac:dyDescent="0.35">
      <c r="A1888" s="1" t="s">
        <v>4169</v>
      </c>
      <c r="B1888" t="s">
        <v>12</v>
      </c>
      <c r="C1888" t="s">
        <v>47</v>
      </c>
      <c r="D1888" t="s">
        <v>3616</v>
      </c>
      <c r="E1888">
        <v>0</v>
      </c>
      <c r="F1888" t="s">
        <v>47</v>
      </c>
      <c r="G1888">
        <v>0</v>
      </c>
      <c r="H1888" t="s">
        <v>47</v>
      </c>
      <c r="I1888">
        <v>0</v>
      </c>
      <c r="J1888" t="s">
        <v>47</v>
      </c>
      <c r="K1888">
        <v>1</v>
      </c>
      <c r="L1888" t="s">
        <v>55</v>
      </c>
      <c r="M1888">
        <v>0</v>
      </c>
      <c r="N1888" t="s">
        <v>47</v>
      </c>
      <c r="O1888">
        <v>0</v>
      </c>
      <c r="P1888" t="s">
        <v>47</v>
      </c>
      <c r="Q1888">
        <v>0</v>
      </c>
      <c r="R1888" t="s">
        <v>47</v>
      </c>
      <c r="S1888">
        <v>0</v>
      </c>
      <c r="T1888" t="s">
        <v>47</v>
      </c>
    </row>
    <row r="1889" spans="1:20" x14ac:dyDescent="0.35">
      <c r="A1889" s="1" t="s">
        <v>4170</v>
      </c>
      <c r="B1889" t="s">
        <v>12</v>
      </c>
      <c r="C1889" t="s">
        <v>47</v>
      </c>
      <c r="D1889" t="s">
        <v>3617</v>
      </c>
      <c r="E1889">
        <v>0</v>
      </c>
      <c r="F1889" t="s">
        <v>47</v>
      </c>
      <c r="G1889">
        <v>0</v>
      </c>
      <c r="H1889" t="s">
        <v>47</v>
      </c>
      <c r="I1889">
        <v>0</v>
      </c>
      <c r="J1889" t="s">
        <v>47</v>
      </c>
      <c r="K1889">
        <v>0</v>
      </c>
      <c r="L1889" t="s">
        <v>47</v>
      </c>
      <c r="M1889">
        <v>0</v>
      </c>
      <c r="N1889" t="s">
        <v>47</v>
      </c>
      <c r="O1889">
        <v>0</v>
      </c>
      <c r="P1889" t="s">
        <v>47</v>
      </c>
      <c r="Q1889">
        <v>0</v>
      </c>
      <c r="R1889" t="s">
        <v>47</v>
      </c>
      <c r="S1889">
        <v>1</v>
      </c>
      <c r="T1889" t="s">
        <v>55</v>
      </c>
    </row>
    <row r="1890" spans="1:20" x14ac:dyDescent="0.35">
      <c r="A1890" s="1" t="s">
        <v>4171</v>
      </c>
      <c r="B1890" t="s">
        <v>12</v>
      </c>
      <c r="C1890" t="s">
        <v>47</v>
      </c>
      <c r="D1890" t="s">
        <v>3618</v>
      </c>
      <c r="E1890">
        <v>0</v>
      </c>
      <c r="F1890" t="s">
        <v>47</v>
      </c>
      <c r="G1890">
        <v>0</v>
      </c>
      <c r="H1890" t="s">
        <v>47</v>
      </c>
      <c r="I1890">
        <v>1</v>
      </c>
      <c r="J1890" t="s">
        <v>48</v>
      </c>
      <c r="K1890">
        <v>0</v>
      </c>
      <c r="L1890" t="s">
        <v>47</v>
      </c>
      <c r="M1890">
        <v>0</v>
      </c>
      <c r="N1890" t="s">
        <v>47</v>
      </c>
      <c r="O1890">
        <v>0</v>
      </c>
      <c r="P1890" t="s">
        <v>47</v>
      </c>
      <c r="Q1890">
        <v>0</v>
      </c>
      <c r="R1890" t="s">
        <v>47</v>
      </c>
      <c r="S1890">
        <v>0</v>
      </c>
      <c r="T1890" t="s">
        <v>47</v>
      </c>
    </row>
    <row r="1891" spans="1:20" x14ac:dyDescent="0.35">
      <c r="A1891" s="1" t="s">
        <v>4172</v>
      </c>
      <c r="B1891" t="s">
        <v>12</v>
      </c>
      <c r="C1891" t="s">
        <v>47</v>
      </c>
      <c r="D1891" t="s">
        <v>3619</v>
      </c>
      <c r="E1891">
        <v>0</v>
      </c>
      <c r="F1891" t="s">
        <v>47</v>
      </c>
      <c r="G1891">
        <v>0</v>
      </c>
      <c r="H1891" t="s">
        <v>47</v>
      </c>
      <c r="I1891">
        <v>0</v>
      </c>
      <c r="J1891" t="s">
        <v>47</v>
      </c>
      <c r="K1891">
        <v>1</v>
      </c>
      <c r="L1891" t="s">
        <v>55</v>
      </c>
      <c r="M1891">
        <v>0</v>
      </c>
      <c r="N1891" t="s">
        <v>47</v>
      </c>
      <c r="O1891">
        <v>0</v>
      </c>
      <c r="P1891" t="s">
        <v>47</v>
      </c>
      <c r="Q1891">
        <v>0</v>
      </c>
      <c r="R1891" t="s">
        <v>47</v>
      </c>
      <c r="S1891">
        <v>0</v>
      </c>
      <c r="T1891" t="s">
        <v>47</v>
      </c>
    </row>
    <row r="1892" spans="1:20" x14ac:dyDescent="0.35">
      <c r="A1892" s="1" t="s">
        <v>4173</v>
      </c>
      <c r="B1892" t="s">
        <v>12</v>
      </c>
      <c r="C1892" t="s">
        <v>47</v>
      </c>
      <c r="D1892" t="s">
        <v>3620</v>
      </c>
      <c r="E1892">
        <v>0</v>
      </c>
      <c r="F1892" t="s">
        <v>47</v>
      </c>
      <c r="G1892">
        <v>0</v>
      </c>
      <c r="H1892" t="s">
        <v>47</v>
      </c>
      <c r="I1892">
        <v>0</v>
      </c>
      <c r="J1892" t="s">
        <v>47</v>
      </c>
      <c r="K1892">
        <v>0</v>
      </c>
      <c r="L1892" t="s">
        <v>47</v>
      </c>
      <c r="M1892">
        <v>0</v>
      </c>
      <c r="N1892" t="s">
        <v>47</v>
      </c>
      <c r="O1892">
        <v>0</v>
      </c>
      <c r="P1892" t="s">
        <v>47</v>
      </c>
      <c r="Q1892">
        <v>0</v>
      </c>
      <c r="R1892" t="s">
        <v>47</v>
      </c>
      <c r="S1892">
        <v>1</v>
      </c>
      <c r="T1892" t="s">
        <v>45</v>
      </c>
    </row>
    <row r="1893" spans="1:20" x14ac:dyDescent="0.35">
      <c r="A1893" s="1" t="s">
        <v>4174</v>
      </c>
      <c r="B1893" t="s">
        <v>12</v>
      </c>
      <c r="C1893" t="s">
        <v>47</v>
      </c>
      <c r="D1893" t="s">
        <v>3621</v>
      </c>
      <c r="E1893">
        <v>0</v>
      </c>
      <c r="F1893" t="s">
        <v>47</v>
      </c>
      <c r="G1893">
        <v>0</v>
      </c>
      <c r="H1893" t="s">
        <v>47</v>
      </c>
      <c r="I1893">
        <v>1</v>
      </c>
      <c r="J1893" t="s">
        <v>48</v>
      </c>
      <c r="K1893">
        <v>0</v>
      </c>
      <c r="L1893" t="s">
        <v>47</v>
      </c>
      <c r="M1893">
        <v>0</v>
      </c>
      <c r="N1893" t="s">
        <v>47</v>
      </c>
      <c r="O1893">
        <v>0</v>
      </c>
      <c r="P1893" t="s">
        <v>47</v>
      </c>
      <c r="Q1893">
        <v>0</v>
      </c>
      <c r="R1893" t="s">
        <v>47</v>
      </c>
      <c r="S1893">
        <v>0</v>
      </c>
      <c r="T1893" t="s">
        <v>47</v>
      </c>
    </row>
    <row r="1894" spans="1:20" x14ac:dyDescent="0.35">
      <c r="A1894" s="1" t="s">
        <v>4175</v>
      </c>
      <c r="B1894" t="s">
        <v>12</v>
      </c>
      <c r="C1894" t="s">
        <v>47</v>
      </c>
      <c r="D1894" t="s">
        <v>3622</v>
      </c>
      <c r="E1894">
        <v>0</v>
      </c>
      <c r="F1894" t="s">
        <v>47</v>
      </c>
      <c r="G1894">
        <v>0</v>
      </c>
      <c r="H1894" t="s">
        <v>47</v>
      </c>
      <c r="I1894">
        <v>0</v>
      </c>
      <c r="J1894" t="s">
        <v>47</v>
      </c>
      <c r="K1894">
        <v>1</v>
      </c>
      <c r="L1894" t="s">
        <v>45</v>
      </c>
      <c r="M1894">
        <v>0</v>
      </c>
      <c r="N1894" t="s">
        <v>47</v>
      </c>
      <c r="O1894">
        <v>0</v>
      </c>
      <c r="P1894" t="s">
        <v>47</v>
      </c>
      <c r="Q1894">
        <v>0</v>
      </c>
      <c r="R1894" t="s">
        <v>47</v>
      </c>
      <c r="S1894">
        <v>0</v>
      </c>
      <c r="T1894" t="s">
        <v>47</v>
      </c>
    </row>
    <row r="1895" spans="1:20" x14ac:dyDescent="0.35">
      <c r="A1895" s="1" t="s">
        <v>4176</v>
      </c>
      <c r="B1895" t="s">
        <v>12</v>
      </c>
      <c r="C1895" t="s">
        <v>47</v>
      </c>
      <c r="D1895" t="s">
        <v>3623</v>
      </c>
      <c r="E1895">
        <v>0</v>
      </c>
      <c r="F1895" t="s">
        <v>47</v>
      </c>
      <c r="G1895">
        <v>0</v>
      </c>
      <c r="H1895" t="s">
        <v>47</v>
      </c>
      <c r="I1895">
        <v>1</v>
      </c>
      <c r="J1895" t="s">
        <v>45</v>
      </c>
      <c r="K1895">
        <v>1</v>
      </c>
      <c r="L1895" t="s">
        <v>55</v>
      </c>
      <c r="M1895">
        <v>0</v>
      </c>
      <c r="N1895" t="s">
        <v>47</v>
      </c>
      <c r="O1895">
        <v>0</v>
      </c>
      <c r="P1895" t="s">
        <v>47</v>
      </c>
      <c r="Q1895">
        <v>0</v>
      </c>
      <c r="R1895" t="s">
        <v>47</v>
      </c>
      <c r="S1895">
        <v>1</v>
      </c>
      <c r="T1895" t="s">
        <v>55</v>
      </c>
    </row>
    <row r="1896" spans="1:20" x14ac:dyDescent="0.35">
      <c r="A1896" s="1" t="s">
        <v>4177</v>
      </c>
      <c r="B1896" t="s">
        <v>12</v>
      </c>
      <c r="C1896" t="s">
        <v>47</v>
      </c>
      <c r="D1896" t="s">
        <v>3624</v>
      </c>
      <c r="E1896">
        <v>0</v>
      </c>
      <c r="F1896" t="s">
        <v>47</v>
      </c>
      <c r="G1896">
        <v>0</v>
      </c>
      <c r="H1896" t="s">
        <v>47</v>
      </c>
      <c r="I1896">
        <v>0</v>
      </c>
      <c r="J1896" t="s">
        <v>47</v>
      </c>
      <c r="K1896">
        <v>0</v>
      </c>
      <c r="L1896" t="s">
        <v>47</v>
      </c>
      <c r="M1896">
        <v>0</v>
      </c>
      <c r="N1896" t="s">
        <v>47</v>
      </c>
      <c r="O1896">
        <v>0</v>
      </c>
      <c r="P1896" t="s">
        <v>47</v>
      </c>
      <c r="Q1896">
        <v>0</v>
      </c>
      <c r="R1896" t="s">
        <v>47</v>
      </c>
      <c r="S1896">
        <v>1</v>
      </c>
      <c r="T1896" t="s">
        <v>55</v>
      </c>
    </row>
    <row r="1897" spans="1:20" x14ac:dyDescent="0.35">
      <c r="A1897" s="1" t="s">
        <v>4178</v>
      </c>
      <c r="B1897" t="s">
        <v>12</v>
      </c>
      <c r="C1897" t="s">
        <v>47</v>
      </c>
      <c r="D1897" t="s">
        <v>3625</v>
      </c>
      <c r="E1897">
        <v>0</v>
      </c>
      <c r="F1897" t="s">
        <v>47</v>
      </c>
      <c r="G1897">
        <v>0</v>
      </c>
      <c r="H1897" t="s">
        <v>47</v>
      </c>
      <c r="I1897">
        <v>1</v>
      </c>
      <c r="J1897" t="s">
        <v>55</v>
      </c>
      <c r="K1897">
        <v>0</v>
      </c>
      <c r="L1897" t="s">
        <v>47</v>
      </c>
      <c r="M1897">
        <v>0</v>
      </c>
      <c r="N1897" t="s">
        <v>47</v>
      </c>
      <c r="O1897">
        <v>0</v>
      </c>
      <c r="P1897" t="s">
        <v>47</v>
      </c>
      <c r="Q1897">
        <v>0</v>
      </c>
      <c r="R1897" t="s">
        <v>47</v>
      </c>
      <c r="S1897">
        <v>0</v>
      </c>
      <c r="T1897" t="s">
        <v>47</v>
      </c>
    </row>
    <row r="1898" spans="1:20" x14ac:dyDescent="0.35">
      <c r="A1898" s="1" t="s">
        <v>4179</v>
      </c>
      <c r="B1898" t="s">
        <v>12</v>
      </c>
      <c r="C1898" t="s">
        <v>47</v>
      </c>
      <c r="D1898" t="s">
        <v>3626</v>
      </c>
      <c r="E1898">
        <v>0</v>
      </c>
      <c r="F1898" t="s">
        <v>47</v>
      </c>
      <c r="G1898">
        <v>0</v>
      </c>
      <c r="H1898" t="s">
        <v>47</v>
      </c>
      <c r="I1898">
        <v>0</v>
      </c>
      <c r="J1898" t="s">
        <v>47</v>
      </c>
      <c r="K1898">
        <v>1</v>
      </c>
      <c r="L1898" t="s">
        <v>55</v>
      </c>
      <c r="M1898">
        <v>0</v>
      </c>
      <c r="N1898" t="s">
        <v>47</v>
      </c>
      <c r="O1898">
        <v>0</v>
      </c>
      <c r="P1898" t="s">
        <v>47</v>
      </c>
      <c r="Q1898">
        <v>0</v>
      </c>
      <c r="R1898" t="s">
        <v>47</v>
      </c>
      <c r="S1898">
        <v>0</v>
      </c>
      <c r="T1898" t="s">
        <v>47</v>
      </c>
    </row>
    <row r="1899" spans="1:20" x14ac:dyDescent="0.35">
      <c r="A1899" s="1" t="s">
        <v>4180</v>
      </c>
      <c r="B1899" t="s">
        <v>12</v>
      </c>
      <c r="C1899" t="s">
        <v>47</v>
      </c>
      <c r="D1899" t="s">
        <v>3627</v>
      </c>
      <c r="E1899">
        <v>0</v>
      </c>
      <c r="F1899" t="s">
        <v>47</v>
      </c>
      <c r="G1899">
        <v>0</v>
      </c>
      <c r="H1899" t="s">
        <v>47</v>
      </c>
      <c r="I1899">
        <v>0</v>
      </c>
      <c r="J1899" t="s">
        <v>47</v>
      </c>
      <c r="K1899">
        <v>0</v>
      </c>
      <c r="L1899" t="s">
        <v>47</v>
      </c>
      <c r="M1899">
        <v>0</v>
      </c>
      <c r="N1899" t="s">
        <v>47</v>
      </c>
      <c r="O1899">
        <v>0</v>
      </c>
      <c r="P1899" t="s">
        <v>47</v>
      </c>
      <c r="Q1899">
        <v>0</v>
      </c>
      <c r="R1899" t="s">
        <v>47</v>
      </c>
      <c r="S1899">
        <v>1</v>
      </c>
      <c r="T1899" t="s">
        <v>55</v>
      </c>
    </row>
    <row r="1900" spans="1:20" x14ac:dyDescent="0.35">
      <c r="A1900" s="1" t="s">
        <v>4181</v>
      </c>
      <c r="B1900" t="s">
        <v>12</v>
      </c>
      <c r="C1900" t="s">
        <v>47</v>
      </c>
      <c r="D1900" t="s">
        <v>3628</v>
      </c>
      <c r="E1900">
        <v>0</v>
      </c>
      <c r="F1900" t="s">
        <v>47</v>
      </c>
      <c r="G1900">
        <v>0</v>
      </c>
      <c r="H1900" t="s">
        <v>47</v>
      </c>
      <c r="I1900">
        <v>1</v>
      </c>
      <c r="J1900" t="s">
        <v>55</v>
      </c>
      <c r="K1900">
        <v>0</v>
      </c>
      <c r="L1900" t="s">
        <v>47</v>
      </c>
      <c r="M1900">
        <v>0</v>
      </c>
      <c r="N1900" t="s">
        <v>47</v>
      </c>
      <c r="O1900">
        <v>0</v>
      </c>
      <c r="P1900" t="s">
        <v>47</v>
      </c>
      <c r="Q1900">
        <v>0</v>
      </c>
      <c r="R1900" t="s">
        <v>47</v>
      </c>
      <c r="S1900">
        <v>0</v>
      </c>
      <c r="T1900" t="s">
        <v>47</v>
      </c>
    </row>
    <row r="1901" spans="1:20" x14ac:dyDescent="0.35">
      <c r="A1901" s="1" t="s">
        <v>4182</v>
      </c>
      <c r="B1901" t="s">
        <v>12</v>
      </c>
      <c r="C1901" t="s">
        <v>47</v>
      </c>
      <c r="D1901" t="s">
        <v>3629</v>
      </c>
      <c r="E1901">
        <v>0</v>
      </c>
      <c r="F1901" t="s">
        <v>47</v>
      </c>
      <c r="G1901">
        <v>0</v>
      </c>
      <c r="H1901" t="s">
        <v>47</v>
      </c>
      <c r="I1901">
        <v>0</v>
      </c>
      <c r="J1901" t="s">
        <v>47</v>
      </c>
      <c r="K1901">
        <v>1</v>
      </c>
      <c r="L1901" t="s">
        <v>55</v>
      </c>
      <c r="M1901">
        <v>0</v>
      </c>
      <c r="N1901" t="s">
        <v>47</v>
      </c>
      <c r="O1901">
        <v>0</v>
      </c>
      <c r="P1901" t="s">
        <v>47</v>
      </c>
      <c r="Q1901">
        <v>0</v>
      </c>
      <c r="R1901" t="s">
        <v>47</v>
      </c>
      <c r="S1901">
        <v>0</v>
      </c>
      <c r="T1901" t="s">
        <v>47</v>
      </c>
    </row>
    <row r="1902" spans="1:20" x14ac:dyDescent="0.35">
      <c r="A1902" s="1" t="s">
        <v>4183</v>
      </c>
      <c r="B1902" t="s">
        <v>12</v>
      </c>
      <c r="C1902" t="s">
        <v>47</v>
      </c>
      <c r="D1902" t="s">
        <v>3630</v>
      </c>
      <c r="E1902">
        <v>0</v>
      </c>
      <c r="F1902" t="s">
        <v>47</v>
      </c>
      <c r="G1902">
        <v>0</v>
      </c>
      <c r="H1902" t="s">
        <v>47</v>
      </c>
      <c r="I1902">
        <v>0</v>
      </c>
      <c r="J1902" t="s">
        <v>47</v>
      </c>
      <c r="K1902">
        <v>0</v>
      </c>
      <c r="L1902" t="s">
        <v>47</v>
      </c>
      <c r="M1902">
        <v>0</v>
      </c>
      <c r="N1902" t="s">
        <v>47</v>
      </c>
      <c r="O1902">
        <v>0</v>
      </c>
      <c r="P1902" t="s">
        <v>47</v>
      </c>
      <c r="Q1902">
        <v>0</v>
      </c>
      <c r="R1902" t="s">
        <v>47</v>
      </c>
      <c r="S1902">
        <v>1</v>
      </c>
      <c r="T1902" t="s">
        <v>55</v>
      </c>
    </row>
    <row r="1903" spans="1:20" x14ac:dyDescent="0.35">
      <c r="A1903" s="1" t="s">
        <v>4184</v>
      </c>
      <c r="B1903" t="s">
        <v>12</v>
      </c>
      <c r="C1903" t="s">
        <v>47</v>
      </c>
      <c r="D1903" t="s">
        <v>3631</v>
      </c>
      <c r="E1903">
        <v>0</v>
      </c>
      <c r="F1903" t="s">
        <v>47</v>
      </c>
      <c r="G1903">
        <v>0</v>
      </c>
      <c r="H1903" t="s">
        <v>47</v>
      </c>
      <c r="I1903">
        <v>1</v>
      </c>
      <c r="J1903" t="s">
        <v>55</v>
      </c>
      <c r="K1903">
        <v>0</v>
      </c>
      <c r="L1903" t="s">
        <v>47</v>
      </c>
      <c r="M1903">
        <v>0</v>
      </c>
      <c r="N1903" t="s">
        <v>47</v>
      </c>
      <c r="O1903">
        <v>0</v>
      </c>
      <c r="P1903" t="s">
        <v>47</v>
      </c>
      <c r="Q1903">
        <v>0</v>
      </c>
      <c r="R1903" t="s">
        <v>47</v>
      </c>
      <c r="S1903">
        <v>0</v>
      </c>
      <c r="T1903" t="s">
        <v>47</v>
      </c>
    </row>
    <row r="1904" spans="1:20" x14ac:dyDescent="0.35">
      <c r="A1904" s="1" t="s">
        <v>4185</v>
      </c>
      <c r="B1904" t="s">
        <v>12</v>
      </c>
      <c r="C1904" t="s">
        <v>47</v>
      </c>
      <c r="D1904" t="s">
        <v>3632</v>
      </c>
      <c r="E1904">
        <v>0</v>
      </c>
      <c r="F1904" t="s">
        <v>47</v>
      </c>
      <c r="G1904">
        <v>0</v>
      </c>
      <c r="H1904" t="s">
        <v>47</v>
      </c>
      <c r="I1904">
        <v>0</v>
      </c>
      <c r="J1904" t="s">
        <v>47</v>
      </c>
      <c r="K1904">
        <v>1</v>
      </c>
      <c r="L1904" t="s">
        <v>55</v>
      </c>
      <c r="M1904">
        <v>0</v>
      </c>
      <c r="N1904" t="s">
        <v>47</v>
      </c>
      <c r="O1904">
        <v>0</v>
      </c>
      <c r="P1904" t="s">
        <v>47</v>
      </c>
      <c r="Q1904">
        <v>0</v>
      </c>
      <c r="R1904" t="s">
        <v>47</v>
      </c>
      <c r="S1904">
        <v>0</v>
      </c>
      <c r="T1904" t="s">
        <v>47</v>
      </c>
    </row>
    <row r="1905" spans="1:20" x14ac:dyDescent="0.35">
      <c r="A1905" s="1" t="s">
        <v>4186</v>
      </c>
      <c r="B1905" t="s">
        <v>12</v>
      </c>
      <c r="C1905" t="s">
        <v>47</v>
      </c>
      <c r="D1905" t="s">
        <v>3633</v>
      </c>
      <c r="E1905">
        <v>0</v>
      </c>
      <c r="F1905" t="s">
        <v>47</v>
      </c>
      <c r="G1905">
        <v>0</v>
      </c>
      <c r="H1905" t="s">
        <v>47</v>
      </c>
      <c r="I1905">
        <v>0</v>
      </c>
      <c r="J1905" t="s">
        <v>47</v>
      </c>
      <c r="K1905">
        <v>0</v>
      </c>
      <c r="L1905" t="s">
        <v>47</v>
      </c>
      <c r="M1905">
        <v>0</v>
      </c>
      <c r="N1905" t="s">
        <v>47</v>
      </c>
      <c r="O1905">
        <v>0</v>
      </c>
      <c r="P1905" t="s">
        <v>47</v>
      </c>
      <c r="Q1905">
        <v>0</v>
      </c>
      <c r="R1905" t="s">
        <v>47</v>
      </c>
      <c r="S1905">
        <v>1</v>
      </c>
      <c r="T1905" t="s">
        <v>55</v>
      </c>
    </row>
    <row r="1906" spans="1:20" x14ac:dyDescent="0.35">
      <c r="A1906" s="1" t="s">
        <v>4187</v>
      </c>
      <c r="B1906" t="s">
        <v>12</v>
      </c>
      <c r="C1906" t="s">
        <v>47</v>
      </c>
      <c r="D1906" t="s">
        <v>3634</v>
      </c>
      <c r="E1906">
        <v>0</v>
      </c>
      <c r="F1906" t="s">
        <v>47</v>
      </c>
      <c r="G1906">
        <v>0</v>
      </c>
      <c r="H1906" t="s">
        <v>47</v>
      </c>
      <c r="I1906">
        <v>1</v>
      </c>
      <c r="J1906" t="s">
        <v>55</v>
      </c>
      <c r="K1906">
        <v>0</v>
      </c>
      <c r="L1906" t="s">
        <v>47</v>
      </c>
      <c r="M1906">
        <v>0</v>
      </c>
      <c r="N1906" t="s">
        <v>47</v>
      </c>
      <c r="O1906">
        <v>0</v>
      </c>
      <c r="P1906" t="s">
        <v>47</v>
      </c>
      <c r="Q1906">
        <v>0</v>
      </c>
      <c r="R1906" t="s">
        <v>47</v>
      </c>
      <c r="S1906">
        <v>0</v>
      </c>
      <c r="T1906" t="s">
        <v>47</v>
      </c>
    </row>
    <row r="1907" spans="1:20" x14ac:dyDescent="0.35">
      <c r="A1907" s="1" t="s">
        <v>4188</v>
      </c>
      <c r="B1907" t="s">
        <v>12</v>
      </c>
      <c r="C1907" t="s">
        <v>47</v>
      </c>
      <c r="D1907" t="s">
        <v>3635</v>
      </c>
      <c r="E1907">
        <v>0</v>
      </c>
      <c r="F1907" t="s">
        <v>47</v>
      </c>
      <c r="G1907">
        <v>0</v>
      </c>
      <c r="H1907" t="s">
        <v>47</v>
      </c>
      <c r="I1907">
        <v>0</v>
      </c>
      <c r="J1907" t="s">
        <v>47</v>
      </c>
      <c r="K1907">
        <v>1</v>
      </c>
      <c r="L1907" t="s">
        <v>55</v>
      </c>
      <c r="M1907">
        <v>0</v>
      </c>
      <c r="N1907" t="s">
        <v>47</v>
      </c>
      <c r="O1907">
        <v>0</v>
      </c>
      <c r="P1907" t="s">
        <v>47</v>
      </c>
      <c r="Q1907">
        <v>0</v>
      </c>
      <c r="R1907" t="s">
        <v>47</v>
      </c>
      <c r="S1907">
        <v>0</v>
      </c>
      <c r="T1907" t="s">
        <v>47</v>
      </c>
    </row>
    <row r="1908" spans="1:20" x14ac:dyDescent="0.35">
      <c r="A1908" s="1" t="s">
        <v>4189</v>
      </c>
      <c r="B1908" t="s">
        <v>12</v>
      </c>
      <c r="C1908" t="s">
        <v>47</v>
      </c>
      <c r="D1908" t="s">
        <v>3636</v>
      </c>
      <c r="E1908">
        <v>0</v>
      </c>
      <c r="F1908" t="s">
        <v>47</v>
      </c>
      <c r="G1908">
        <v>0</v>
      </c>
      <c r="H1908" t="s">
        <v>47</v>
      </c>
      <c r="I1908">
        <v>0</v>
      </c>
      <c r="J1908" t="s">
        <v>47</v>
      </c>
      <c r="K1908">
        <v>0</v>
      </c>
      <c r="L1908" t="s">
        <v>47</v>
      </c>
      <c r="M1908">
        <v>0</v>
      </c>
      <c r="N1908" t="s">
        <v>47</v>
      </c>
      <c r="O1908">
        <v>0</v>
      </c>
      <c r="P1908" t="s">
        <v>47</v>
      </c>
      <c r="Q1908">
        <v>0</v>
      </c>
      <c r="R1908" t="s">
        <v>47</v>
      </c>
      <c r="S1908">
        <v>1</v>
      </c>
      <c r="T1908" t="s">
        <v>55</v>
      </c>
    </row>
    <row r="1909" spans="1:20" x14ac:dyDescent="0.35">
      <c r="A1909" s="1" t="s">
        <v>4190</v>
      </c>
      <c r="B1909" t="s">
        <v>16</v>
      </c>
      <c r="C1909" t="s">
        <v>47</v>
      </c>
      <c r="D1909" t="s">
        <v>3637</v>
      </c>
      <c r="E1909">
        <v>0</v>
      </c>
      <c r="F1909" t="s">
        <v>47</v>
      </c>
      <c r="G1909">
        <v>0</v>
      </c>
      <c r="H1909" t="s">
        <v>47</v>
      </c>
      <c r="I1909">
        <v>1</v>
      </c>
      <c r="J1909" t="s">
        <v>55</v>
      </c>
      <c r="K1909">
        <v>0</v>
      </c>
      <c r="L1909" t="s">
        <v>47</v>
      </c>
      <c r="M1909">
        <v>0</v>
      </c>
      <c r="N1909" t="s">
        <v>47</v>
      </c>
      <c r="O1909">
        <v>0</v>
      </c>
      <c r="P1909" t="s">
        <v>47</v>
      </c>
      <c r="Q1909">
        <v>0</v>
      </c>
      <c r="R1909" t="s">
        <v>47</v>
      </c>
      <c r="S1909">
        <v>0</v>
      </c>
      <c r="T1909" t="s">
        <v>47</v>
      </c>
    </row>
    <row r="1910" spans="1:20" x14ac:dyDescent="0.35">
      <c r="A1910" s="1" t="s">
        <v>4191</v>
      </c>
      <c r="B1910" t="s">
        <v>12</v>
      </c>
      <c r="C1910" t="s">
        <v>47</v>
      </c>
      <c r="D1910" t="s">
        <v>3638</v>
      </c>
      <c r="E1910">
        <v>0</v>
      </c>
      <c r="F1910" t="s">
        <v>47</v>
      </c>
      <c r="G1910">
        <v>0</v>
      </c>
      <c r="H1910" t="s">
        <v>47</v>
      </c>
      <c r="I1910">
        <v>0</v>
      </c>
      <c r="J1910" t="s">
        <v>47</v>
      </c>
      <c r="K1910">
        <v>1</v>
      </c>
      <c r="L1910" t="s">
        <v>55</v>
      </c>
      <c r="M1910">
        <v>0</v>
      </c>
      <c r="N1910" t="s">
        <v>47</v>
      </c>
      <c r="O1910">
        <v>0</v>
      </c>
      <c r="P1910" t="s">
        <v>47</v>
      </c>
      <c r="Q1910">
        <v>0</v>
      </c>
      <c r="R1910" t="s">
        <v>47</v>
      </c>
      <c r="S1910">
        <v>0</v>
      </c>
      <c r="T1910" t="s">
        <v>47</v>
      </c>
    </row>
    <row r="1911" spans="1:20" x14ac:dyDescent="0.35">
      <c r="A1911" s="1" t="s">
        <v>4192</v>
      </c>
      <c r="B1911" t="s">
        <v>12</v>
      </c>
      <c r="C1911" t="s">
        <v>47</v>
      </c>
      <c r="D1911" t="s">
        <v>3639</v>
      </c>
      <c r="E1911">
        <v>0</v>
      </c>
      <c r="F1911" t="s">
        <v>47</v>
      </c>
      <c r="G1911">
        <v>0</v>
      </c>
      <c r="H1911" t="s">
        <v>47</v>
      </c>
      <c r="I1911">
        <v>0</v>
      </c>
      <c r="J1911" t="s">
        <v>47</v>
      </c>
      <c r="K1911">
        <v>0</v>
      </c>
      <c r="L1911" t="s">
        <v>47</v>
      </c>
      <c r="M1911">
        <v>0</v>
      </c>
      <c r="N1911" t="s">
        <v>47</v>
      </c>
      <c r="O1911">
        <v>0</v>
      </c>
      <c r="P1911" t="s">
        <v>47</v>
      </c>
      <c r="Q1911">
        <v>0</v>
      </c>
      <c r="R1911" t="s">
        <v>47</v>
      </c>
      <c r="S1911">
        <v>1</v>
      </c>
      <c r="T1911" t="s">
        <v>55</v>
      </c>
    </row>
    <row r="1912" spans="1:20" x14ac:dyDescent="0.35">
      <c r="A1912" s="1" t="s">
        <v>4193</v>
      </c>
      <c r="B1912" t="s">
        <v>12</v>
      </c>
      <c r="C1912" t="s">
        <v>47</v>
      </c>
      <c r="D1912" t="s">
        <v>3640</v>
      </c>
      <c r="E1912">
        <v>0</v>
      </c>
      <c r="F1912" t="s">
        <v>47</v>
      </c>
      <c r="G1912">
        <v>0</v>
      </c>
      <c r="H1912" t="s">
        <v>47</v>
      </c>
      <c r="I1912">
        <v>1</v>
      </c>
      <c r="J1912" t="s">
        <v>55</v>
      </c>
      <c r="K1912">
        <v>0</v>
      </c>
      <c r="L1912" t="s">
        <v>47</v>
      </c>
      <c r="M1912">
        <v>0</v>
      </c>
      <c r="N1912" t="s">
        <v>47</v>
      </c>
      <c r="O1912">
        <v>0</v>
      </c>
      <c r="P1912" t="s">
        <v>47</v>
      </c>
      <c r="Q1912">
        <v>0</v>
      </c>
      <c r="R1912" t="s">
        <v>47</v>
      </c>
      <c r="S1912">
        <v>0</v>
      </c>
      <c r="T1912" t="s">
        <v>47</v>
      </c>
    </row>
    <row r="1913" spans="1:20" x14ac:dyDescent="0.35">
      <c r="A1913" s="1" t="s">
        <v>4194</v>
      </c>
      <c r="B1913" t="s">
        <v>12</v>
      </c>
      <c r="C1913" t="s">
        <v>47</v>
      </c>
      <c r="D1913" t="s">
        <v>3641</v>
      </c>
      <c r="E1913">
        <v>0</v>
      </c>
      <c r="F1913" t="s">
        <v>47</v>
      </c>
      <c r="G1913">
        <v>0</v>
      </c>
      <c r="H1913" t="s">
        <v>47</v>
      </c>
      <c r="I1913">
        <v>0</v>
      </c>
      <c r="J1913" t="s">
        <v>47</v>
      </c>
      <c r="K1913">
        <v>1</v>
      </c>
      <c r="L1913" t="s">
        <v>55</v>
      </c>
      <c r="M1913">
        <v>0</v>
      </c>
      <c r="N1913" t="s">
        <v>47</v>
      </c>
      <c r="O1913">
        <v>0</v>
      </c>
      <c r="P1913" t="s">
        <v>47</v>
      </c>
      <c r="Q1913">
        <v>0</v>
      </c>
      <c r="R1913" t="s">
        <v>47</v>
      </c>
      <c r="S1913">
        <v>0</v>
      </c>
      <c r="T1913" t="s">
        <v>47</v>
      </c>
    </row>
    <row r="1914" spans="1:20" x14ac:dyDescent="0.35">
      <c r="A1914" s="1" t="s">
        <v>4195</v>
      </c>
      <c r="B1914" t="s">
        <v>12</v>
      </c>
      <c r="C1914" t="s">
        <v>47</v>
      </c>
      <c r="D1914" t="s">
        <v>3642</v>
      </c>
      <c r="E1914">
        <v>0</v>
      </c>
      <c r="F1914" t="s">
        <v>47</v>
      </c>
      <c r="G1914">
        <v>0</v>
      </c>
      <c r="H1914" t="s">
        <v>47</v>
      </c>
      <c r="I1914">
        <v>0</v>
      </c>
      <c r="J1914" t="s">
        <v>47</v>
      </c>
      <c r="K1914">
        <v>0</v>
      </c>
      <c r="L1914" t="s">
        <v>47</v>
      </c>
      <c r="M1914">
        <v>0</v>
      </c>
      <c r="N1914" t="s">
        <v>47</v>
      </c>
      <c r="O1914">
        <v>0</v>
      </c>
      <c r="P1914" t="s">
        <v>47</v>
      </c>
      <c r="Q1914">
        <v>0</v>
      </c>
      <c r="R1914" t="s">
        <v>47</v>
      </c>
      <c r="S1914">
        <v>1</v>
      </c>
      <c r="T1914" t="s">
        <v>55</v>
      </c>
    </row>
    <row r="1915" spans="1:20" x14ac:dyDescent="0.35">
      <c r="A1915" s="1" t="s">
        <v>4196</v>
      </c>
      <c r="B1915" t="s">
        <v>12</v>
      </c>
      <c r="C1915" t="s">
        <v>47</v>
      </c>
      <c r="D1915" t="s">
        <v>3643</v>
      </c>
      <c r="E1915">
        <v>0</v>
      </c>
      <c r="F1915" t="s">
        <v>47</v>
      </c>
      <c r="G1915">
        <v>0</v>
      </c>
      <c r="H1915" t="s">
        <v>47</v>
      </c>
      <c r="I1915">
        <v>1</v>
      </c>
      <c r="J1915" t="s">
        <v>55</v>
      </c>
      <c r="K1915">
        <v>0</v>
      </c>
      <c r="L1915" t="s">
        <v>47</v>
      </c>
      <c r="M1915">
        <v>0</v>
      </c>
      <c r="N1915" t="s">
        <v>47</v>
      </c>
      <c r="O1915">
        <v>0</v>
      </c>
      <c r="P1915" t="s">
        <v>47</v>
      </c>
      <c r="Q1915">
        <v>0</v>
      </c>
      <c r="R1915" t="s">
        <v>47</v>
      </c>
      <c r="S1915">
        <v>0</v>
      </c>
      <c r="T1915" t="s">
        <v>47</v>
      </c>
    </row>
    <row r="1916" spans="1:20" x14ac:dyDescent="0.35">
      <c r="A1916" s="1" t="s">
        <v>4197</v>
      </c>
      <c r="B1916" t="s">
        <v>12</v>
      </c>
      <c r="C1916" t="s">
        <v>47</v>
      </c>
      <c r="D1916" t="s">
        <v>3644</v>
      </c>
      <c r="E1916">
        <v>0</v>
      </c>
      <c r="F1916" t="s">
        <v>47</v>
      </c>
      <c r="G1916">
        <v>0</v>
      </c>
      <c r="H1916" t="s">
        <v>47</v>
      </c>
      <c r="I1916">
        <v>0</v>
      </c>
      <c r="J1916" t="s">
        <v>47</v>
      </c>
      <c r="K1916">
        <v>1</v>
      </c>
      <c r="L1916" t="s">
        <v>55</v>
      </c>
      <c r="M1916">
        <v>0</v>
      </c>
      <c r="N1916" t="s">
        <v>47</v>
      </c>
      <c r="O1916">
        <v>0</v>
      </c>
      <c r="P1916" t="s">
        <v>47</v>
      </c>
      <c r="Q1916">
        <v>0</v>
      </c>
      <c r="R1916" t="s">
        <v>47</v>
      </c>
      <c r="S1916">
        <v>0</v>
      </c>
      <c r="T1916" t="s">
        <v>47</v>
      </c>
    </row>
    <row r="1917" spans="1:20" x14ac:dyDescent="0.35">
      <c r="A1917" s="1" t="s">
        <v>4198</v>
      </c>
      <c r="B1917" t="s">
        <v>12</v>
      </c>
      <c r="C1917" t="s">
        <v>47</v>
      </c>
      <c r="D1917" t="s">
        <v>3645</v>
      </c>
      <c r="E1917">
        <v>0</v>
      </c>
      <c r="F1917" t="s">
        <v>47</v>
      </c>
      <c r="G1917">
        <v>0</v>
      </c>
      <c r="H1917" t="s">
        <v>47</v>
      </c>
      <c r="I1917">
        <v>0</v>
      </c>
      <c r="J1917" t="s">
        <v>47</v>
      </c>
      <c r="K1917">
        <v>0</v>
      </c>
      <c r="L1917" t="s">
        <v>47</v>
      </c>
      <c r="M1917">
        <v>0</v>
      </c>
      <c r="N1917" t="s">
        <v>47</v>
      </c>
      <c r="O1917">
        <v>0</v>
      </c>
      <c r="P1917" t="s">
        <v>47</v>
      </c>
      <c r="Q1917">
        <v>0</v>
      </c>
      <c r="R1917" t="s">
        <v>47</v>
      </c>
      <c r="S1917">
        <v>1</v>
      </c>
      <c r="T1917" t="s">
        <v>55</v>
      </c>
    </row>
    <row r="1918" spans="1:20" x14ac:dyDescent="0.35">
      <c r="A1918" s="1" t="s">
        <v>4199</v>
      </c>
      <c r="B1918" t="s">
        <v>12</v>
      </c>
      <c r="C1918" t="s">
        <v>47</v>
      </c>
      <c r="D1918" t="s">
        <v>3646</v>
      </c>
      <c r="E1918">
        <v>0</v>
      </c>
      <c r="F1918" t="s">
        <v>47</v>
      </c>
      <c r="G1918">
        <v>0</v>
      </c>
      <c r="H1918" t="s">
        <v>47</v>
      </c>
      <c r="I1918">
        <v>1</v>
      </c>
      <c r="J1918" t="s">
        <v>55</v>
      </c>
      <c r="K1918">
        <v>0</v>
      </c>
      <c r="L1918" t="s">
        <v>47</v>
      </c>
      <c r="M1918">
        <v>0</v>
      </c>
      <c r="N1918" t="s">
        <v>47</v>
      </c>
      <c r="O1918">
        <v>0</v>
      </c>
      <c r="P1918" t="s">
        <v>47</v>
      </c>
      <c r="Q1918">
        <v>0</v>
      </c>
      <c r="R1918" t="s">
        <v>47</v>
      </c>
      <c r="S1918">
        <v>0</v>
      </c>
      <c r="T1918" t="s">
        <v>47</v>
      </c>
    </row>
    <row r="1919" spans="1:20" x14ac:dyDescent="0.35">
      <c r="A1919" s="1" t="s">
        <v>4200</v>
      </c>
      <c r="B1919" t="s">
        <v>12</v>
      </c>
      <c r="C1919" t="s">
        <v>47</v>
      </c>
      <c r="D1919" t="s">
        <v>3647</v>
      </c>
      <c r="E1919">
        <v>0</v>
      </c>
      <c r="F1919" t="s">
        <v>47</v>
      </c>
      <c r="G1919">
        <v>0</v>
      </c>
      <c r="H1919" t="s">
        <v>47</v>
      </c>
      <c r="I1919">
        <v>0</v>
      </c>
      <c r="J1919" t="s">
        <v>47</v>
      </c>
      <c r="K1919">
        <v>1</v>
      </c>
      <c r="L1919" t="s">
        <v>55</v>
      </c>
      <c r="M1919">
        <v>0</v>
      </c>
      <c r="N1919" t="s">
        <v>47</v>
      </c>
      <c r="O1919">
        <v>0</v>
      </c>
      <c r="P1919" t="s">
        <v>47</v>
      </c>
      <c r="Q1919">
        <v>0</v>
      </c>
      <c r="R1919" t="s">
        <v>47</v>
      </c>
      <c r="S1919">
        <v>0</v>
      </c>
      <c r="T1919" t="s">
        <v>47</v>
      </c>
    </row>
    <row r="1920" spans="1:20" x14ac:dyDescent="0.35">
      <c r="A1920" s="1" t="s">
        <v>4201</v>
      </c>
      <c r="B1920" t="s">
        <v>16</v>
      </c>
      <c r="C1920" t="s">
        <v>47</v>
      </c>
      <c r="D1920" t="s">
        <v>3648</v>
      </c>
      <c r="E1920">
        <v>0</v>
      </c>
      <c r="F1920" t="s">
        <v>47</v>
      </c>
      <c r="G1920">
        <v>0</v>
      </c>
      <c r="H1920" t="s">
        <v>47</v>
      </c>
      <c r="I1920">
        <v>0</v>
      </c>
      <c r="J1920" t="s">
        <v>47</v>
      </c>
      <c r="K1920">
        <v>0</v>
      </c>
      <c r="L1920" t="s">
        <v>47</v>
      </c>
      <c r="M1920">
        <v>0</v>
      </c>
      <c r="N1920" t="s">
        <v>47</v>
      </c>
      <c r="O1920">
        <v>0</v>
      </c>
      <c r="P1920" t="s">
        <v>47</v>
      </c>
      <c r="Q1920">
        <v>0</v>
      </c>
      <c r="R1920" t="s">
        <v>47</v>
      </c>
      <c r="S1920">
        <v>1</v>
      </c>
      <c r="T1920" t="s">
        <v>55</v>
      </c>
    </row>
    <row r="1921" spans="1:20" x14ac:dyDescent="0.35">
      <c r="A1921" s="1" t="s">
        <v>4202</v>
      </c>
      <c r="B1921" t="s">
        <v>12</v>
      </c>
      <c r="C1921" t="s">
        <v>47</v>
      </c>
      <c r="D1921" t="s">
        <v>3649</v>
      </c>
      <c r="E1921">
        <v>0</v>
      </c>
      <c r="F1921" t="s">
        <v>47</v>
      </c>
      <c r="G1921">
        <v>0</v>
      </c>
      <c r="H1921" t="s">
        <v>47</v>
      </c>
      <c r="I1921">
        <v>1</v>
      </c>
      <c r="J1921" t="s">
        <v>55</v>
      </c>
      <c r="K1921">
        <v>0</v>
      </c>
      <c r="L1921" t="s">
        <v>47</v>
      </c>
      <c r="M1921">
        <v>0</v>
      </c>
      <c r="N1921" t="s">
        <v>47</v>
      </c>
      <c r="O1921">
        <v>0</v>
      </c>
      <c r="P1921" t="s">
        <v>47</v>
      </c>
      <c r="Q1921">
        <v>0</v>
      </c>
      <c r="R1921" t="s">
        <v>47</v>
      </c>
      <c r="S1921">
        <v>0</v>
      </c>
      <c r="T1921" t="s">
        <v>47</v>
      </c>
    </row>
    <row r="1922" spans="1:20" x14ac:dyDescent="0.35">
      <c r="A1922" s="1" t="s">
        <v>4203</v>
      </c>
      <c r="B1922" t="s">
        <v>12</v>
      </c>
      <c r="C1922" t="s">
        <v>47</v>
      </c>
      <c r="D1922" t="s">
        <v>3650</v>
      </c>
      <c r="E1922">
        <v>0</v>
      </c>
      <c r="F1922" t="s">
        <v>47</v>
      </c>
      <c r="G1922">
        <v>0</v>
      </c>
      <c r="H1922" t="s">
        <v>47</v>
      </c>
      <c r="I1922">
        <v>0</v>
      </c>
      <c r="J1922" t="s">
        <v>47</v>
      </c>
      <c r="K1922">
        <v>1</v>
      </c>
      <c r="L1922" t="s">
        <v>55</v>
      </c>
      <c r="M1922">
        <v>0</v>
      </c>
      <c r="N1922" t="s">
        <v>47</v>
      </c>
      <c r="O1922">
        <v>0</v>
      </c>
      <c r="P1922" t="s">
        <v>47</v>
      </c>
      <c r="Q1922">
        <v>0</v>
      </c>
      <c r="R1922" t="s">
        <v>47</v>
      </c>
      <c r="S1922">
        <v>0</v>
      </c>
      <c r="T1922" t="s">
        <v>47</v>
      </c>
    </row>
    <row r="1923" spans="1:20" x14ac:dyDescent="0.35">
      <c r="A1923" s="1" t="s">
        <v>4204</v>
      </c>
      <c r="B1923" t="s">
        <v>12</v>
      </c>
      <c r="C1923" t="s">
        <v>47</v>
      </c>
      <c r="D1923" t="s">
        <v>3651</v>
      </c>
      <c r="E1923">
        <v>0</v>
      </c>
      <c r="F1923" t="s">
        <v>47</v>
      </c>
      <c r="G1923">
        <v>0</v>
      </c>
      <c r="H1923" t="s">
        <v>47</v>
      </c>
      <c r="I1923">
        <v>0</v>
      </c>
      <c r="J1923" t="s">
        <v>47</v>
      </c>
      <c r="K1923">
        <v>0</v>
      </c>
      <c r="L1923" t="s">
        <v>47</v>
      </c>
      <c r="M1923">
        <v>0</v>
      </c>
      <c r="N1923" t="s">
        <v>47</v>
      </c>
      <c r="O1923">
        <v>0</v>
      </c>
      <c r="P1923" t="s">
        <v>47</v>
      </c>
      <c r="Q1923">
        <v>0</v>
      </c>
      <c r="R1923" t="s">
        <v>47</v>
      </c>
      <c r="S1923">
        <v>1</v>
      </c>
      <c r="T1923" t="s">
        <v>55</v>
      </c>
    </row>
    <row r="1924" spans="1:20" x14ac:dyDescent="0.35">
      <c r="A1924" s="1" t="s">
        <v>4205</v>
      </c>
      <c r="B1924" t="s">
        <v>12</v>
      </c>
      <c r="C1924" t="s">
        <v>47</v>
      </c>
      <c r="D1924" t="s">
        <v>3652</v>
      </c>
      <c r="E1924">
        <v>0</v>
      </c>
      <c r="F1924" t="s">
        <v>47</v>
      </c>
      <c r="G1924">
        <v>0</v>
      </c>
      <c r="H1924" t="s">
        <v>47</v>
      </c>
      <c r="I1924">
        <v>1</v>
      </c>
      <c r="J1924" t="s">
        <v>55</v>
      </c>
      <c r="K1924">
        <v>0</v>
      </c>
      <c r="L1924" t="s">
        <v>47</v>
      </c>
      <c r="M1924">
        <v>0</v>
      </c>
      <c r="N1924" t="s">
        <v>47</v>
      </c>
      <c r="O1924">
        <v>0</v>
      </c>
      <c r="P1924" t="s">
        <v>47</v>
      </c>
      <c r="Q1924">
        <v>0</v>
      </c>
      <c r="R1924" t="s">
        <v>47</v>
      </c>
      <c r="S1924">
        <v>0</v>
      </c>
      <c r="T1924" t="s">
        <v>47</v>
      </c>
    </row>
    <row r="1925" spans="1:20" x14ac:dyDescent="0.35">
      <c r="A1925" s="1" t="s">
        <v>4206</v>
      </c>
      <c r="B1925" t="s">
        <v>12</v>
      </c>
      <c r="C1925" t="s">
        <v>47</v>
      </c>
      <c r="D1925" t="s">
        <v>3653</v>
      </c>
      <c r="E1925">
        <v>0</v>
      </c>
      <c r="F1925" t="s">
        <v>47</v>
      </c>
      <c r="G1925">
        <v>0</v>
      </c>
      <c r="H1925" t="s">
        <v>47</v>
      </c>
      <c r="I1925">
        <v>1</v>
      </c>
      <c r="J1925" t="s">
        <v>55</v>
      </c>
      <c r="K1925">
        <v>1</v>
      </c>
      <c r="L1925" t="s">
        <v>55</v>
      </c>
      <c r="M1925">
        <v>0</v>
      </c>
      <c r="N1925" t="s">
        <v>47</v>
      </c>
      <c r="O1925">
        <v>0</v>
      </c>
      <c r="P1925" t="s">
        <v>47</v>
      </c>
      <c r="Q1925">
        <v>0</v>
      </c>
      <c r="R1925" t="s">
        <v>47</v>
      </c>
      <c r="S1925">
        <v>1</v>
      </c>
      <c r="T1925" t="s">
        <v>55</v>
      </c>
    </row>
    <row r="1926" spans="1:20" x14ac:dyDescent="0.35">
      <c r="A1926" s="1" t="s">
        <v>4207</v>
      </c>
      <c r="B1926" t="s">
        <v>12</v>
      </c>
      <c r="C1926" t="s">
        <v>47</v>
      </c>
      <c r="D1926" t="s">
        <v>3654</v>
      </c>
      <c r="E1926">
        <v>0</v>
      </c>
      <c r="F1926" t="s">
        <v>47</v>
      </c>
      <c r="G1926">
        <v>0</v>
      </c>
      <c r="H1926" t="s">
        <v>47</v>
      </c>
      <c r="I1926">
        <v>0</v>
      </c>
      <c r="J1926" t="s">
        <v>47</v>
      </c>
      <c r="K1926">
        <v>1</v>
      </c>
      <c r="L1926" t="s">
        <v>55</v>
      </c>
      <c r="M1926">
        <v>0</v>
      </c>
      <c r="N1926" t="s">
        <v>47</v>
      </c>
      <c r="O1926">
        <v>0</v>
      </c>
      <c r="P1926" t="s">
        <v>47</v>
      </c>
      <c r="Q1926">
        <v>0</v>
      </c>
      <c r="R1926" t="s">
        <v>47</v>
      </c>
      <c r="S1926">
        <v>1</v>
      </c>
      <c r="T1926" t="s">
        <v>55</v>
      </c>
    </row>
    <row r="1927" spans="1:20" x14ac:dyDescent="0.35">
      <c r="A1927" s="1" t="s">
        <v>4208</v>
      </c>
      <c r="B1927" t="s">
        <v>12</v>
      </c>
      <c r="C1927" t="s">
        <v>47</v>
      </c>
      <c r="D1927" t="s">
        <v>3655</v>
      </c>
      <c r="E1927">
        <v>0</v>
      </c>
      <c r="F1927" t="s">
        <v>47</v>
      </c>
      <c r="G1927">
        <v>0</v>
      </c>
      <c r="H1927" t="s">
        <v>47</v>
      </c>
      <c r="I1927">
        <v>1</v>
      </c>
      <c r="J1927" t="s">
        <v>55</v>
      </c>
      <c r="K1927">
        <v>0</v>
      </c>
      <c r="L1927" t="s">
        <v>47</v>
      </c>
      <c r="M1927">
        <v>0</v>
      </c>
      <c r="N1927" t="s">
        <v>47</v>
      </c>
      <c r="O1927">
        <v>0</v>
      </c>
      <c r="P1927" t="s">
        <v>47</v>
      </c>
      <c r="Q1927">
        <v>0</v>
      </c>
      <c r="R1927" t="s">
        <v>47</v>
      </c>
      <c r="S1927">
        <v>0</v>
      </c>
      <c r="T1927" t="s">
        <v>47</v>
      </c>
    </row>
    <row r="1928" spans="1:20" x14ac:dyDescent="0.35">
      <c r="A1928" s="1" t="s">
        <v>4209</v>
      </c>
      <c r="B1928" t="s">
        <v>12</v>
      </c>
      <c r="C1928" t="s">
        <v>47</v>
      </c>
      <c r="D1928" t="s">
        <v>3656</v>
      </c>
      <c r="E1928">
        <v>0</v>
      </c>
      <c r="F1928" t="s">
        <v>47</v>
      </c>
      <c r="G1928">
        <v>0</v>
      </c>
      <c r="H1928" t="s">
        <v>47</v>
      </c>
      <c r="I1928">
        <v>1</v>
      </c>
      <c r="J1928" t="s">
        <v>55</v>
      </c>
      <c r="K1928">
        <v>1</v>
      </c>
      <c r="L1928" t="s">
        <v>55</v>
      </c>
      <c r="M1928">
        <v>0</v>
      </c>
      <c r="N1928" t="s">
        <v>47</v>
      </c>
      <c r="O1928">
        <v>0</v>
      </c>
      <c r="P1928" t="s">
        <v>47</v>
      </c>
      <c r="Q1928">
        <v>1</v>
      </c>
      <c r="R1928" t="s">
        <v>55</v>
      </c>
      <c r="S1928">
        <v>0</v>
      </c>
      <c r="T1928" t="s">
        <v>47</v>
      </c>
    </row>
    <row r="1929" spans="1:20" x14ac:dyDescent="0.35">
      <c r="A1929" s="1" t="s">
        <v>4210</v>
      </c>
      <c r="B1929" t="s">
        <v>12</v>
      </c>
      <c r="C1929" t="s">
        <v>47</v>
      </c>
      <c r="D1929" t="s">
        <v>3657</v>
      </c>
      <c r="E1929">
        <v>0</v>
      </c>
      <c r="F1929" t="s">
        <v>47</v>
      </c>
      <c r="G1929">
        <v>0</v>
      </c>
      <c r="H1929" t="s">
        <v>47</v>
      </c>
      <c r="I1929">
        <v>0</v>
      </c>
      <c r="J1929" t="s">
        <v>47</v>
      </c>
      <c r="K1929">
        <v>0</v>
      </c>
      <c r="L1929" t="s">
        <v>47</v>
      </c>
      <c r="M1929">
        <v>0</v>
      </c>
      <c r="N1929" t="s">
        <v>47</v>
      </c>
      <c r="O1929">
        <v>0</v>
      </c>
      <c r="P1929" t="s">
        <v>47</v>
      </c>
      <c r="Q1929">
        <v>0</v>
      </c>
      <c r="R1929" t="s">
        <v>47</v>
      </c>
      <c r="S1929">
        <v>1</v>
      </c>
      <c r="T1929" t="s">
        <v>55</v>
      </c>
    </row>
    <row r="1930" spans="1:20" x14ac:dyDescent="0.35">
      <c r="A1930" s="1" t="s">
        <v>4211</v>
      </c>
      <c r="B1930" t="s">
        <v>12</v>
      </c>
      <c r="C1930" t="s">
        <v>47</v>
      </c>
      <c r="D1930" t="s">
        <v>3658</v>
      </c>
      <c r="E1930">
        <v>0</v>
      </c>
      <c r="F1930" t="s">
        <v>47</v>
      </c>
      <c r="G1930">
        <v>0</v>
      </c>
      <c r="H1930" t="s">
        <v>47</v>
      </c>
      <c r="I1930">
        <v>1</v>
      </c>
      <c r="J1930" t="s">
        <v>55</v>
      </c>
      <c r="K1930">
        <v>0</v>
      </c>
      <c r="L1930" t="s">
        <v>47</v>
      </c>
      <c r="M1930">
        <v>0</v>
      </c>
      <c r="N1930" t="s">
        <v>47</v>
      </c>
      <c r="O1930">
        <v>0</v>
      </c>
      <c r="P1930" t="s">
        <v>47</v>
      </c>
      <c r="Q1930">
        <v>0</v>
      </c>
      <c r="R1930" t="s">
        <v>47</v>
      </c>
      <c r="S1930">
        <v>0</v>
      </c>
      <c r="T1930" t="s">
        <v>47</v>
      </c>
    </row>
    <row r="1931" spans="1:20" x14ac:dyDescent="0.35">
      <c r="A1931" s="1" t="s">
        <v>4212</v>
      </c>
      <c r="B1931" t="s">
        <v>12</v>
      </c>
      <c r="C1931" t="s">
        <v>47</v>
      </c>
      <c r="D1931" t="s">
        <v>3659</v>
      </c>
      <c r="E1931">
        <v>0</v>
      </c>
      <c r="F1931" t="s">
        <v>47</v>
      </c>
      <c r="G1931">
        <v>0</v>
      </c>
      <c r="H1931" t="s">
        <v>47</v>
      </c>
      <c r="I1931">
        <v>0</v>
      </c>
      <c r="J1931" t="s">
        <v>47</v>
      </c>
      <c r="K1931">
        <v>1</v>
      </c>
      <c r="L1931" t="s">
        <v>55</v>
      </c>
      <c r="M1931">
        <v>0</v>
      </c>
      <c r="N1931" t="s">
        <v>47</v>
      </c>
      <c r="O1931">
        <v>0</v>
      </c>
      <c r="P1931" t="s">
        <v>47</v>
      </c>
      <c r="Q1931">
        <v>0</v>
      </c>
      <c r="R1931" t="s">
        <v>47</v>
      </c>
      <c r="S1931">
        <v>0</v>
      </c>
      <c r="T1931" t="s">
        <v>47</v>
      </c>
    </row>
    <row r="1932" spans="1:20" x14ac:dyDescent="0.35">
      <c r="A1932" s="1" t="s">
        <v>4213</v>
      </c>
      <c r="B1932" t="s">
        <v>12</v>
      </c>
      <c r="C1932" t="s">
        <v>47</v>
      </c>
      <c r="D1932" t="s">
        <v>3660</v>
      </c>
      <c r="E1932">
        <v>0</v>
      </c>
      <c r="F1932" t="s">
        <v>47</v>
      </c>
      <c r="G1932">
        <v>0</v>
      </c>
      <c r="H1932" t="s">
        <v>47</v>
      </c>
      <c r="I1932">
        <v>0</v>
      </c>
      <c r="J1932" t="s">
        <v>47</v>
      </c>
      <c r="K1932">
        <v>1</v>
      </c>
      <c r="L1932" t="s">
        <v>55</v>
      </c>
      <c r="M1932">
        <v>0</v>
      </c>
      <c r="N1932" t="s">
        <v>47</v>
      </c>
      <c r="O1932">
        <v>0</v>
      </c>
      <c r="P1932" t="s">
        <v>47</v>
      </c>
      <c r="Q1932">
        <v>0</v>
      </c>
      <c r="R1932" t="s">
        <v>47</v>
      </c>
      <c r="S1932">
        <v>0</v>
      </c>
      <c r="T1932" t="s">
        <v>47</v>
      </c>
    </row>
    <row r="1933" spans="1:20" x14ac:dyDescent="0.35">
      <c r="A1933" s="1" t="s">
        <v>4214</v>
      </c>
      <c r="B1933" t="s">
        <v>12</v>
      </c>
      <c r="C1933" t="s">
        <v>47</v>
      </c>
      <c r="D1933" t="s">
        <v>3661</v>
      </c>
      <c r="E1933">
        <v>0</v>
      </c>
      <c r="F1933" t="s">
        <v>47</v>
      </c>
      <c r="G1933">
        <v>0</v>
      </c>
      <c r="H1933" t="s">
        <v>47</v>
      </c>
      <c r="I1933">
        <v>0</v>
      </c>
      <c r="J1933" t="s">
        <v>47</v>
      </c>
      <c r="K1933">
        <v>0</v>
      </c>
      <c r="L1933" t="s">
        <v>47</v>
      </c>
      <c r="M1933">
        <v>0</v>
      </c>
      <c r="N1933" t="s">
        <v>47</v>
      </c>
      <c r="O1933">
        <v>0</v>
      </c>
      <c r="P1933" t="s">
        <v>47</v>
      </c>
      <c r="Q1933">
        <v>0</v>
      </c>
      <c r="R1933" t="s">
        <v>47</v>
      </c>
      <c r="S1933">
        <v>1</v>
      </c>
      <c r="T1933" t="s">
        <v>55</v>
      </c>
    </row>
    <row r="1934" spans="1:20" x14ac:dyDescent="0.35">
      <c r="A1934" s="1" t="s">
        <v>4215</v>
      </c>
      <c r="B1934" t="s">
        <v>12</v>
      </c>
      <c r="C1934" t="s">
        <v>47</v>
      </c>
      <c r="D1934" t="s">
        <v>3662</v>
      </c>
      <c r="E1934">
        <v>0</v>
      </c>
      <c r="F1934" t="s">
        <v>47</v>
      </c>
      <c r="G1934">
        <v>0</v>
      </c>
      <c r="H1934" t="s">
        <v>47</v>
      </c>
      <c r="I1934">
        <v>1</v>
      </c>
      <c r="J1934" t="s">
        <v>55</v>
      </c>
      <c r="K1934">
        <v>0</v>
      </c>
      <c r="L1934" t="s">
        <v>47</v>
      </c>
      <c r="M1934">
        <v>0</v>
      </c>
      <c r="N1934" t="s">
        <v>47</v>
      </c>
      <c r="O1934">
        <v>0</v>
      </c>
      <c r="P1934" t="s">
        <v>47</v>
      </c>
      <c r="Q1934">
        <v>0</v>
      </c>
      <c r="R1934" t="s">
        <v>47</v>
      </c>
      <c r="S1934">
        <v>0</v>
      </c>
      <c r="T1934" t="s">
        <v>47</v>
      </c>
    </row>
    <row r="1935" spans="1:20" x14ac:dyDescent="0.35">
      <c r="A1935" s="1" t="s">
        <v>4216</v>
      </c>
      <c r="B1935" t="s">
        <v>12</v>
      </c>
      <c r="C1935" t="s">
        <v>47</v>
      </c>
      <c r="D1935" t="s">
        <v>3663</v>
      </c>
      <c r="E1935">
        <v>0</v>
      </c>
      <c r="F1935" t="s">
        <v>47</v>
      </c>
      <c r="G1935">
        <v>0</v>
      </c>
      <c r="H1935" t="s">
        <v>47</v>
      </c>
      <c r="I1935">
        <v>0</v>
      </c>
      <c r="J1935" t="s">
        <v>47</v>
      </c>
      <c r="K1935">
        <v>1</v>
      </c>
      <c r="L1935" t="s">
        <v>55</v>
      </c>
      <c r="M1935">
        <v>0</v>
      </c>
      <c r="N1935" t="s">
        <v>47</v>
      </c>
      <c r="O1935">
        <v>0</v>
      </c>
      <c r="P1935" t="s">
        <v>47</v>
      </c>
      <c r="Q1935">
        <v>0</v>
      </c>
      <c r="R1935" t="s">
        <v>47</v>
      </c>
      <c r="S1935">
        <v>0</v>
      </c>
      <c r="T1935" t="s">
        <v>47</v>
      </c>
    </row>
    <row r="1936" spans="1:20" x14ac:dyDescent="0.35">
      <c r="A1936" s="1" t="s">
        <v>4217</v>
      </c>
      <c r="B1936" t="s">
        <v>12</v>
      </c>
      <c r="C1936" t="s">
        <v>47</v>
      </c>
      <c r="D1936" t="s">
        <v>3664</v>
      </c>
      <c r="E1936">
        <v>0</v>
      </c>
      <c r="F1936" t="s">
        <v>47</v>
      </c>
      <c r="G1936">
        <v>0</v>
      </c>
      <c r="H1936" t="s">
        <v>47</v>
      </c>
      <c r="I1936">
        <v>0</v>
      </c>
      <c r="J1936" t="s">
        <v>47</v>
      </c>
      <c r="K1936">
        <v>0</v>
      </c>
      <c r="L1936" t="s">
        <v>47</v>
      </c>
      <c r="M1936">
        <v>0</v>
      </c>
      <c r="N1936" t="s">
        <v>47</v>
      </c>
      <c r="O1936">
        <v>0</v>
      </c>
      <c r="P1936" t="s">
        <v>47</v>
      </c>
      <c r="Q1936">
        <v>0</v>
      </c>
      <c r="R1936" t="s">
        <v>47</v>
      </c>
      <c r="S1936">
        <v>1</v>
      </c>
      <c r="T1936" t="s">
        <v>55</v>
      </c>
    </row>
    <row r="1937" spans="1:20" x14ac:dyDescent="0.35">
      <c r="A1937" s="1" t="s">
        <v>4218</v>
      </c>
      <c r="B1937" t="s">
        <v>12</v>
      </c>
      <c r="C1937" t="s">
        <v>47</v>
      </c>
      <c r="D1937" t="s">
        <v>3665</v>
      </c>
      <c r="E1937">
        <v>0</v>
      </c>
      <c r="F1937" t="s">
        <v>47</v>
      </c>
      <c r="G1937">
        <v>0</v>
      </c>
      <c r="H1937" t="s">
        <v>47</v>
      </c>
      <c r="I1937">
        <v>1</v>
      </c>
      <c r="J1937" t="s">
        <v>55</v>
      </c>
      <c r="K1937">
        <v>0</v>
      </c>
      <c r="L1937" t="s">
        <v>47</v>
      </c>
      <c r="M1937">
        <v>0</v>
      </c>
      <c r="N1937" t="s">
        <v>47</v>
      </c>
      <c r="O1937">
        <v>0</v>
      </c>
      <c r="P1937" t="s">
        <v>47</v>
      </c>
      <c r="Q1937">
        <v>0</v>
      </c>
      <c r="R1937" t="s">
        <v>47</v>
      </c>
      <c r="S1937">
        <v>0</v>
      </c>
      <c r="T1937" t="s">
        <v>47</v>
      </c>
    </row>
    <row r="1938" spans="1:20" x14ac:dyDescent="0.35">
      <c r="A1938" s="1" t="s">
        <v>4219</v>
      </c>
      <c r="B1938" t="s">
        <v>12</v>
      </c>
      <c r="C1938" t="s">
        <v>47</v>
      </c>
      <c r="D1938" t="s">
        <v>3666</v>
      </c>
      <c r="E1938">
        <v>0</v>
      </c>
      <c r="F1938" t="s">
        <v>47</v>
      </c>
      <c r="G1938">
        <v>0</v>
      </c>
      <c r="H1938" t="s">
        <v>47</v>
      </c>
      <c r="I1938">
        <v>0</v>
      </c>
      <c r="J1938" t="s">
        <v>47</v>
      </c>
      <c r="K1938">
        <v>1</v>
      </c>
      <c r="L1938" t="s">
        <v>55</v>
      </c>
      <c r="M1938">
        <v>0</v>
      </c>
      <c r="N1938" t="s">
        <v>47</v>
      </c>
      <c r="O1938">
        <v>0</v>
      </c>
      <c r="P1938" t="s">
        <v>47</v>
      </c>
      <c r="Q1938">
        <v>0</v>
      </c>
      <c r="R1938" t="s">
        <v>47</v>
      </c>
      <c r="S1938">
        <v>0</v>
      </c>
      <c r="T1938" t="s">
        <v>47</v>
      </c>
    </row>
    <row r="1939" spans="1:20" x14ac:dyDescent="0.35">
      <c r="A1939" s="1" t="s">
        <v>4220</v>
      </c>
      <c r="B1939" t="s">
        <v>12</v>
      </c>
      <c r="C1939" t="s">
        <v>47</v>
      </c>
      <c r="D1939" t="s">
        <v>3667</v>
      </c>
      <c r="E1939">
        <v>0</v>
      </c>
      <c r="F1939" t="s">
        <v>47</v>
      </c>
      <c r="G1939">
        <v>0</v>
      </c>
      <c r="H1939" t="s">
        <v>47</v>
      </c>
      <c r="I1939">
        <v>0</v>
      </c>
      <c r="J1939" t="s">
        <v>47</v>
      </c>
      <c r="K1939">
        <v>0</v>
      </c>
      <c r="L1939" t="s">
        <v>47</v>
      </c>
      <c r="M1939">
        <v>0</v>
      </c>
      <c r="N1939" t="s">
        <v>47</v>
      </c>
      <c r="O1939">
        <v>0</v>
      </c>
      <c r="P1939" t="s">
        <v>47</v>
      </c>
      <c r="Q1939">
        <v>0</v>
      </c>
      <c r="R1939" t="s">
        <v>47</v>
      </c>
      <c r="S1939">
        <v>1</v>
      </c>
      <c r="T1939" t="s">
        <v>55</v>
      </c>
    </row>
    <row r="1940" spans="1:20" x14ac:dyDescent="0.35">
      <c r="A1940" s="1" t="s">
        <v>4221</v>
      </c>
      <c r="B1940" t="s">
        <v>12</v>
      </c>
      <c r="C1940" t="s">
        <v>47</v>
      </c>
      <c r="D1940" t="s">
        <v>3668</v>
      </c>
      <c r="E1940">
        <v>0</v>
      </c>
      <c r="F1940" t="s">
        <v>47</v>
      </c>
      <c r="G1940">
        <v>0</v>
      </c>
      <c r="H1940" t="s">
        <v>47</v>
      </c>
      <c r="I1940">
        <v>1</v>
      </c>
      <c r="J1940" t="s">
        <v>55</v>
      </c>
      <c r="K1940">
        <v>0</v>
      </c>
      <c r="L1940" t="s">
        <v>47</v>
      </c>
      <c r="M1940">
        <v>0</v>
      </c>
      <c r="N1940" t="s">
        <v>47</v>
      </c>
      <c r="O1940">
        <v>0</v>
      </c>
      <c r="P1940" t="s">
        <v>47</v>
      </c>
      <c r="Q1940">
        <v>0</v>
      </c>
      <c r="R1940" t="s">
        <v>47</v>
      </c>
      <c r="S1940">
        <v>0</v>
      </c>
      <c r="T1940" t="s">
        <v>47</v>
      </c>
    </row>
    <row r="1941" spans="1:20" x14ac:dyDescent="0.35">
      <c r="A1941" s="1" t="s">
        <v>4222</v>
      </c>
      <c r="B1941" t="s">
        <v>12</v>
      </c>
      <c r="C1941" t="s">
        <v>47</v>
      </c>
      <c r="D1941" t="s">
        <v>3669</v>
      </c>
      <c r="E1941">
        <v>0</v>
      </c>
      <c r="F1941" t="s">
        <v>47</v>
      </c>
      <c r="G1941">
        <v>0</v>
      </c>
      <c r="H1941" t="s">
        <v>47</v>
      </c>
      <c r="I1941">
        <v>0</v>
      </c>
      <c r="J1941" t="s">
        <v>47</v>
      </c>
      <c r="K1941">
        <v>1</v>
      </c>
      <c r="L1941" t="s">
        <v>55</v>
      </c>
      <c r="M1941">
        <v>0</v>
      </c>
      <c r="N1941" t="s">
        <v>47</v>
      </c>
      <c r="O1941">
        <v>0</v>
      </c>
      <c r="P1941" t="s">
        <v>47</v>
      </c>
      <c r="Q1941">
        <v>0</v>
      </c>
      <c r="R1941" t="s">
        <v>47</v>
      </c>
      <c r="S1941">
        <v>0</v>
      </c>
      <c r="T1941" t="s">
        <v>47</v>
      </c>
    </row>
    <row r="1942" spans="1:20" x14ac:dyDescent="0.35">
      <c r="A1942" s="1" t="s">
        <v>4223</v>
      </c>
      <c r="B1942" t="s">
        <v>12</v>
      </c>
      <c r="C1942" t="s">
        <v>47</v>
      </c>
      <c r="D1942" t="s">
        <v>3670</v>
      </c>
      <c r="E1942">
        <v>0</v>
      </c>
      <c r="F1942" t="s">
        <v>47</v>
      </c>
      <c r="G1942">
        <v>0</v>
      </c>
      <c r="H1942" t="s">
        <v>47</v>
      </c>
      <c r="I1942">
        <v>0</v>
      </c>
      <c r="J1942" t="s">
        <v>47</v>
      </c>
      <c r="K1942">
        <v>1</v>
      </c>
      <c r="L1942" t="s">
        <v>55</v>
      </c>
      <c r="M1942">
        <v>0</v>
      </c>
      <c r="N1942" t="s">
        <v>47</v>
      </c>
      <c r="O1942">
        <v>0</v>
      </c>
      <c r="P1942" t="s">
        <v>47</v>
      </c>
      <c r="Q1942">
        <v>1</v>
      </c>
      <c r="R1942" t="s">
        <v>55</v>
      </c>
      <c r="S1942">
        <v>0</v>
      </c>
      <c r="T1942" t="s">
        <v>47</v>
      </c>
    </row>
    <row r="1943" spans="1:20" x14ac:dyDescent="0.35">
      <c r="A1943" s="1" t="s">
        <v>4224</v>
      </c>
      <c r="B1943" t="s">
        <v>12</v>
      </c>
      <c r="C1943" t="s">
        <v>47</v>
      </c>
      <c r="D1943" t="s">
        <v>3671</v>
      </c>
      <c r="E1943">
        <v>0</v>
      </c>
      <c r="F1943" t="s">
        <v>47</v>
      </c>
      <c r="G1943">
        <v>0</v>
      </c>
      <c r="H1943" t="s">
        <v>47</v>
      </c>
      <c r="I1943">
        <v>0</v>
      </c>
      <c r="J1943" t="s">
        <v>47</v>
      </c>
      <c r="K1943">
        <v>0</v>
      </c>
      <c r="L1943" t="s">
        <v>47</v>
      </c>
      <c r="M1943">
        <v>0</v>
      </c>
      <c r="N1943" t="s">
        <v>47</v>
      </c>
      <c r="O1943">
        <v>0</v>
      </c>
      <c r="P1943" t="s">
        <v>47</v>
      </c>
      <c r="Q1943">
        <v>0</v>
      </c>
      <c r="R1943" t="s">
        <v>47</v>
      </c>
      <c r="S1943">
        <v>1</v>
      </c>
      <c r="T1943" t="s">
        <v>55</v>
      </c>
    </row>
    <row r="1944" spans="1:20" x14ac:dyDescent="0.35">
      <c r="A1944" s="1" t="s">
        <v>4225</v>
      </c>
      <c r="B1944" t="s">
        <v>12</v>
      </c>
      <c r="C1944" t="s">
        <v>47</v>
      </c>
      <c r="D1944" t="s">
        <v>3672</v>
      </c>
      <c r="E1944">
        <v>0</v>
      </c>
      <c r="F1944" t="s">
        <v>47</v>
      </c>
      <c r="G1944">
        <v>0</v>
      </c>
      <c r="H1944" t="s">
        <v>47</v>
      </c>
      <c r="I1944">
        <v>1</v>
      </c>
      <c r="J1944" t="s">
        <v>55</v>
      </c>
      <c r="K1944">
        <v>0</v>
      </c>
      <c r="L1944" t="s">
        <v>47</v>
      </c>
      <c r="M1944">
        <v>0</v>
      </c>
      <c r="N1944" t="s">
        <v>47</v>
      </c>
      <c r="O1944">
        <v>0</v>
      </c>
      <c r="P1944" t="s">
        <v>47</v>
      </c>
      <c r="Q1944">
        <v>0</v>
      </c>
      <c r="R1944" t="s">
        <v>47</v>
      </c>
      <c r="S1944">
        <v>0</v>
      </c>
      <c r="T1944" t="s">
        <v>47</v>
      </c>
    </row>
    <row r="1945" spans="1:20" x14ac:dyDescent="0.35">
      <c r="A1945" s="1" t="s">
        <v>4226</v>
      </c>
      <c r="B1945" t="s">
        <v>12</v>
      </c>
      <c r="C1945" t="s">
        <v>47</v>
      </c>
      <c r="D1945" t="s">
        <v>3673</v>
      </c>
      <c r="E1945">
        <v>0</v>
      </c>
      <c r="F1945" t="s">
        <v>47</v>
      </c>
      <c r="G1945">
        <v>0</v>
      </c>
      <c r="H1945" t="s">
        <v>47</v>
      </c>
      <c r="I1945">
        <v>0</v>
      </c>
      <c r="J1945" t="s">
        <v>47</v>
      </c>
      <c r="K1945">
        <v>1</v>
      </c>
      <c r="L1945" t="s">
        <v>55</v>
      </c>
      <c r="M1945">
        <v>0</v>
      </c>
      <c r="N1945" t="s">
        <v>47</v>
      </c>
      <c r="O1945">
        <v>0</v>
      </c>
      <c r="P1945" t="s">
        <v>47</v>
      </c>
      <c r="Q1945">
        <v>0</v>
      </c>
      <c r="R1945" t="s">
        <v>47</v>
      </c>
      <c r="S1945">
        <v>0</v>
      </c>
      <c r="T1945" t="s">
        <v>47</v>
      </c>
    </row>
    <row r="1946" spans="1:20" x14ac:dyDescent="0.35">
      <c r="A1946" s="1" t="s">
        <v>4227</v>
      </c>
      <c r="B1946" t="s">
        <v>12</v>
      </c>
      <c r="C1946" t="s">
        <v>47</v>
      </c>
      <c r="D1946" t="s">
        <v>3674</v>
      </c>
      <c r="E1946">
        <v>0</v>
      </c>
      <c r="F1946" t="s">
        <v>47</v>
      </c>
      <c r="G1946">
        <v>0</v>
      </c>
      <c r="H1946" t="s">
        <v>47</v>
      </c>
      <c r="I1946">
        <v>0</v>
      </c>
      <c r="J1946" t="s">
        <v>47</v>
      </c>
      <c r="K1946">
        <v>0</v>
      </c>
      <c r="L1946" t="s">
        <v>47</v>
      </c>
      <c r="M1946">
        <v>0</v>
      </c>
      <c r="N1946" t="s">
        <v>47</v>
      </c>
      <c r="O1946">
        <v>0</v>
      </c>
      <c r="P1946" t="s">
        <v>47</v>
      </c>
      <c r="Q1946">
        <v>0</v>
      </c>
      <c r="R1946" t="s">
        <v>47</v>
      </c>
      <c r="S1946">
        <v>1</v>
      </c>
      <c r="T1946" t="s">
        <v>55</v>
      </c>
    </row>
    <row r="1947" spans="1:20" x14ac:dyDescent="0.35">
      <c r="A1947" s="1" t="s">
        <v>4228</v>
      </c>
      <c r="B1947" t="s">
        <v>12</v>
      </c>
      <c r="C1947" t="s">
        <v>47</v>
      </c>
      <c r="D1947" t="s">
        <v>3675</v>
      </c>
      <c r="E1947">
        <v>0</v>
      </c>
      <c r="F1947" t="s">
        <v>47</v>
      </c>
      <c r="G1947">
        <v>0</v>
      </c>
      <c r="H1947" t="s">
        <v>47</v>
      </c>
      <c r="I1947">
        <v>1</v>
      </c>
      <c r="J1947" t="s">
        <v>55</v>
      </c>
      <c r="K1947">
        <v>0</v>
      </c>
      <c r="L1947" t="s">
        <v>47</v>
      </c>
      <c r="M1947">
        <v>0</v>
      </c>
      <c r="N1947" t="s">
        <v>47</v>
      </c>
      <c r="O1947">
        <v>0</v>
      </c>
      <c r="P1947" t="s">
        <v>47</v>
      </c>
      <c r="Q1947">
        <v>0</v>
      </c>
      <c r="R1947" t="s">
        <v>47</v>
      </c>
      <c r="S1947">
        <v>0</v>
      </c>
      <c r="T1947" t="s">
        <v>47</v>
      </c>
    </row>
    <row r="1948" spans="1:20" x14ac:dyDescent="0.35">
      <c r="A1948" s="1" t="s">
        <v>4229</v>
      </c>
      <c r="B1948" t="s">
        <v>12</v>
      </c>
      <c r="C1948" t="s">
        <v>47</v>
      </c>
      <c r="D1948" t="s">
        <v>3676</v>
      </c>
      <c r="E1948">
        <v>0</v>
      </c>
      <c r="F1948" t="s">
        <v>47</v>
      </c>
      <c r="G1948">
        <v>0</v>
      </c>
      <c r="H1948" t="s">
        <v>47</v>
      </c>
      <c r="I1948">
        <v>0</v>
      </c>
      <c r="J1948" t="s">
        <v>47</v>
      </c>
      <c r="K1948">
        <v>1</v>
      </c>
      <c r="L1948" t="s">
        <v>55</v>
      </c>
      <c r="M1948">
        <v>0</v>
      </c>
      <c r="N1948" t="s">
        <v>47</v>
      </c>
      <c r="O1948">
        <v>0</v>
      </c>
      <c r="P1948" t="s">
        <v>47</v>
      </c>
      <c r="Q1948">
        <v>0</v>
      </c>
      <c r="R1948" t="s">
        <v>47</v>
      </c>
      <c r="S1948">
        <v>0</v>
      </c>
      <c r="T1948" t="s">
        <v>47</v>
      </c>
    </row>
    <row r="1949" spans="1:20" x14ac:dyDescent="0.35">
      <c r="A1949" s="1" t="s">
        <v>4230</v>
      </c>
      <c r="B1949" t="s">
        <v>12</v>
      </c>
      <c r="C1949" t="s">
        <v>47</v>
      </c>
      <c r="D1949" t="s">
        <v>3677</v>
      </c>
      <c r="E1949">
        <v>0</v>
      </c>
      <c r="F1949" t="s">
        <v>47</v>
      </c>
      <c r="G1949">
        <v>0</v>
      </c>
      <c r="H1949" t="s">
        <v>47</v>
      </c>
      <c r="I1949">
        <v>0</v>
      </c>
      <c r="J1949" t="s">
        <v>47</v>
      </c>
      <c r="K1949">
        <v>0</v>
      </c>
      <c r="L1949" t="s">
        <v>47</v>
      </c>
      <c r="M1949">
        <v>0</v>
      </c>
      <c r="N1949" t="s">
        <v>47</v>
      </c>
      <c r="O1949">
        <v>0</v>
      </c>
      <c r="P1949" t="s">
        <v>47</v>
      </c>
      <c r="Q1949">
        <v>1</v>
      </c>
      <c r="R1949" t="s">
        <v>55</v>
      </c>
      <c r="S1949">
        <v>0</v>
      </c>
      <c r="T1949" t="s">
        <v>47</v>
      </c>
    </row>
    <row r="1950" spans="1:20" x14ac:dyDescent="0.35">
      <c r="A1950" s="1" t="s">
        <v>4231</v>
      </c>
      <c r="B1950" t="s">
        <v>12</v>
      </c>
      <c r="C1950" t="s">
        <v>47</v>
      </c>
      <c r="D1950" t="s">
        <v>3678</v>
      </c>
      <c r="E1950">
        <v>0</v>
      </c>
      <c r="F1950" t="s">
        <v>47</v>
      </c>
      <c r="G1950">
        <v>0</v>
      </c>
      <c r="H1950" t="s">
        <v>47</v>
      </c>
      <c r="I1950">
        <v>0</v>
      </c>
      <c r="J1950" t="s">
        <v>47</v>
      </c>
      <c r="K1950">
        <v>0</v>
      </c>
      <c r="L1950" t="s">
        <v>47</v>
      </c>
      <c r="M1950">
        <v>0</v>
      </c>
      <c r="N1950" t="s">
        <v>47</v>
      </c>
      <c r="O1950">
        <v>0</v>
      </c>
      <c r="P1950" t="s">
        <v>47</v>
      </c>
      <c r="Q1950">
        <v>0</v>
      </c>
      <c r="R1950" t="s">
        <v>47</v>
      </c>
      <c r="S1950">
        <v>1</v>
      </c>
      <c r="T1950" t="s">
        <v>55</v>
      </c>
    </row>
    <row r="1951" spans="1:20" x14ac:dyDescent="0.35">
      <c r="A1951" s="1" t="s">
        <v>4232</v>
      </c>
      <c r="B1951" t="s">
        <v>12</v>
      </c>
      <c r="C1951" t="s">
        <v>47</v>
      </c>
      <c r="D1951" t="s">
        <v>3683</v>
      </c>
      <c r="E1951">
        <v>0</v>
      </c>
      <c r="F1951" t="s">
        <v>47</v>
      </c>
      <c r="G1951">
        <v>0</v>
      </c>
      <c r="H1951" t="s">
        <v>47</v>
      </c>
      <c r="I1951">
        <v>1</v>
      </c>
      <c r="J1951" t="s">
        <v>55</v>
      </c>
      <c r="K1951">
        <v>0</v>
      </c>
      <c r="L1951" t="s">
        <v>47</v>
      </c>
      <c r="M1951">
        <v>0</v>
      </c>
      <c r="N1951" t="s">
        <v>47</v>
      </c>
      <c r="O1951">
        <v>0</v>
      </c>
      <c r="P1951" t="s">
        <v>47</v>
      </c>
      <c r="Q1951">
        <v>0</v>
      </c>
      <c r="R1951" t="s">
        <v>47</v>
      </c>
      <c r="S1951">
        <v>0</v>
      </c>
      <c r="T1951" t="s">
        <v>47</v>
      </c>
    </row>
    <row r="1952" spans="1:20" x14ac:dyDescent="0.35">
      <c r="A1952" s="1" t="s">
        <v>4233</v>
      </c>
      <c r="B1952" t="s">
        <v>12</v>
      </c>
      <c r="C1952" t="s">
        <v>47</v>
      </c>
      <c r="D1952" t="s">
        <v>3679</v>
      </c>
      <c r="E1952">
        <v>0</v>
      </c>
      <c r="F1952" t="s">
        <v>47</v>
      </c>
      <c r="G1952">
        <v>0</v>
      </c>
      <c r="H1952" t="s">
        <v>47</v>
      </c>
      <c r="I1952">
        <v>0</v>
      </c>
      <c r="J1952" t="s">
        <v>47</v>
      </c>
      <c r="K1952">
        <v>1</v>
      </c>
      <c r="L1952" t="s">
        <v>55</v>
      </c>
      <c r="M1952">
        <v>0</v>
      </c>
      <c r="N1952" t="s">
        <v>47</v>
      </c>
      <c r="O1952">
        <v>0</v>
      </c>
      <c r="P1952" t="s">
        <v>47</v>
      </c>
      <c r="Q1952">
        <v>0</v>
      </c>
      <c r="R1952" t="s">
        <v>47</v>
      </c>
      <c r="S1952">
        <v>0</v>
      </c>
      <c r="T1952" t="s">
        <v>47</v>
      </c>
    </row>
    <row r="1953" spans="1:20" x14ac:dyDescent="0.35">
      <c r="A1953" s="1" t="s">
        <v>4234</v>
      </c>
      <c r="B1953" t="s">
        <v>12</v>
      </c>
      <c r="C1953" t="s">
        <v>47</v>
      </c>
      <c r="D1953" t="s">
        <v>3680</v>
      </c>
      <c r="E1953">
        <v>0</v>
      </c>
      <c r="F1953" t="s">
        <v>47</v>
      </c>
      <c r="G1953">
        <v>0</v>
      </c>
      <c r="H1953" t="s">
        <v>47</v>
      </c>
      <c r="I1953">
        <v>0</v>
      </c>
      <c r="J1953" t="s">
        <v>47</v>
      </c>
      <c r="K1953">
        <v>0</v>
      </c>
      <c r="L1953" t="s">
        <v>47</v>
      </c>
      <c r="M1953">
        <v>0</v>
      </c>
      <c r="N1953" t="s">
        <v>47</v>
      </c>
      <c r="O1953">
        <v>0</v>
      </c>
      <c r="P1953" t="s">
        <v>47</v>
      </c>
      <c r="Q1953">
        <v>0</v>
      </c>
      <c r="R1953" t="s">
        <v>47</v>
      </c>
      <c r="S1953">
        <v>1</v>
      </c>
      <c r="T1953" t="s">
        <v>55</v>
      </c>
    </row>
    <row r="1954" spans="1:20" x14ac:dyDescent="0.35">
      <c r="A1954" s="1" t="s">
        <v>4235</v>
      </c>
      <c r="B1954" t="s">
        <v>12</v>
      </c>
      <c r="C1954" t="s">
        <v>47</v>
      </c>
      <c r="D1954" t="s">
        <v>3681</v>
      </c>
      <c r="E1954">
        <v>0</v>
      </c>
      <c r="F1954" t="s">
        <v>47</v>
      </c>
      <c r="G1954">
        <v>0</v>
      </c>
      <c r="H1954" t="s">
        <v>47</v>
      </c>
      <c r="I1954">
        <v>1</v>
      </c>
      <c r="J1954" t="s">
        <v>55</v>
      </c>
      <c r="K1954">
        <v>0</v>
      </c>
      <c r="L1954" t="s">
        <v>47</v>
      </c>
      <c r="M1954">
        <v>0</v>
      </c>
      <c r="N1954" t="s">
        <v>47</v>
      </c>
      <c r="O1954">
        <v>0</v>
      </c>
      <c r="P1954" t="s">
        <v>47</v>
      </c>
      <c r="Q1954">
        <v>0</v>
      </c>
      <c r="R1954" t="s">
        <v>47</v>
      </c>
      <c r="S1954">
        <v>0</v>
      </c>
      <c r="T1954" t="s">
        <v>47</v>
      </c>
    </row>
    <row r="1955" spans="1:20" x14ac:dyDescent="0.35">
      <c r="A1955" s="1" t="s">
        <v>4236</v>
      </c>
      <c r="B1955" t="s">
        <v>12</v>
      </c>
      <c r="C1955" t="s">
        <v>47</v>
      </c>
      <c r="D1955" t="s">
        <v>3682</v>
      </c>
      <c r="E1955">
        <v>0</v>
      </c>
      <c r="F1955" t="s">
        <v>47</v>
      </c>
      <c r="G1955">
        <v>0</v>
      </c>
      <c r="H1955" t="s">
        <v>47</v>
      </c>
      <c r="I1955">
        <v>1</v>
      </c>
      <c r="J1955" t="s">
        <v>55</v>
      </c>
      <c r="K1955">
        <v>1</v>
      </c>
      <c r="L1955" t="s">
        <v>55</v>
      </c>
      <c r="M1955">
        <v>0</v>
      </c>
      <c r="N1955" t="s">
        <v>47</v>
      </c>
      <c r="O1955">
        <v>0</v>
      </c>
      <c r="P1955" t="s">
        <v>47</v>
      </c>
      <c r="Q1955">
        <v>0</v>
      </c>
      <c r="R1955" t="s">
        <v>47</v>
      </c>
      <c r="S1955">
        <v>1</v>
      </c>
      <c r="T1955" t="s">
        <v>55</v>
      </c>
    </row>
    <row r="1956" spans="1:20" x14ac:dyDescent="0.35">
      <c r="A1956" s="1" t="s">
        <v>4237</v>
      </c>
      <c r="B1956" t="s">
        <v>12</v>
      </c>
      <c r="C1956" t="s">
        <v>47</v>
      </c>
      <c r="D1956" t="s">
        <v>3684</v>
      </c>
      <c r="E1956">
        <v>0</v>
      </c>
      <c r="F1956" t="s">
        <v>47</v>
      </c>
      <c r="G1956">
        <v>0</v>
      </c>
      <c r="H1956" t="s">
        <v>47</v>
      </c>
      <c r="I1956">
        <v>1</v>
      </c>
      <c r="J1956" t="s">
        <v>48</v>
      </c>
      <c r="K1956">
        <v>0</v>
      </c>
      <c r="L1956" t="s">
        <v>47</v>
      </c>
      <c r="M1956">
        <v>0</v>
      </c>
      <c r="N1956" t="s">
        <v>47</v>
      </c>
      <c r="O1956">
        <v>0</v>
      </c>
      <c r="P1956" t="s">
        <v>47</v>
      </c>
      <c r="Q1956">
        <v>0</v>
      </c>
      <c r="R1956" t="s">
        <v>47</v>
      </c>
      <c r="S1956">
        <v>0</v>
      </c>
      <c r="T1956" t="s">
        <v>47</v>
      </c>
    </row>
    <row r="1957" spans="1:20" x14ac:dyDescent="0.35">
      <c r="A1957" s="1" t="s">
        <v>4238</v>
      </c>
      <c r="B1957" t="s">
        <v>12</v>
      </c>
      <c r="C1957" t="s">
        <v>47</v>
      </c>
      <c r="D1957" t="s">
        <v>3685</v>
      </c>
      <c r="E1957">
        <v>0</v>
      </c>
      <c r="F1957" t="s">
        <v>47</v>
      </c>
      <c r="G1957">
        <v>0</v>
      </c>
      <c r="H1957" t="s">
        <v>47</v>
      </c>
      <c r="I1957">
        <v>1</v>
      </c>
      <c r="J1957" t="s">
        <v>48</v>
      </c>
      <c r="K1957">
        <v>0</v>
      </c>
      <c r="L1957" t="s">
        <v>47</v>
      </c>
      <c r="M1957">
        <v>0</v>
      </c>
      <c r="N1957" t="s">
        <v>47</v>
      </c>
      <c r="O1957">
        <v>0</v>
      </c>
      <c r="P1957" t="s">
        <v>47</v>
      </c>
      <c r="Q1957">
        <v>0</v>
      </c>
      <c r="R1957" t="s">
        <v>47</v>
      </c>
      <c r="S1957">
        <v>0</v>
      </c>
      <c r="T1957" t="s">
        <v>47</v>
      </c>
    </row>
    <row r="1958" spans="1:20" x14ac:dyDescent="0.35">
      <c r="A1958" s="1" t="s">
        <v>4239</v>
      </c>
      <c r="B1958" t="s">
        <v>12</v>
      </c>
      <c r="C1958" t="s">
        <v>47</v>
      </c>
      <c r="D1958" t="s">
        <v>3686</v>
      </c>
      <c r="E1958">
        <v>0</v>
      </c>
      <c r="F1958" t="s">
        <v>47</v>
      </c>
      <c r="G1958">
        <v>0</v>
      </c>
      <c r="H1958" t="s">
        <v>47</v>
      </c>
      <c r="I1958">
        <v>1</v>
      </c>
      <c r="J1958" t="s">
        <v>48</v>
      </c>
      <c r="K1958">
        <v>0</v>
      </c>
      <c r="L1958" t="s">
        <v>47</v>
      </c>
      <c r="M1958">
        <v>0</v>
      </c>
      <c r="N1958" t="s">
        <v>47</v>
      </c>
      <c r="O1958">
        <v>0</v>
      </c>
      <c r="P1958" t="s">
        <v>47</v>
      </c>
      <c r="Q1958">
        <v>0</v>
      </c>
      <c r="R1958" t="s">
        <v>47</v>
      </c>
      <c r="S1958">
        <v>0</v>
      </c>
      <c r="T1958" t="s">
        <v>47</v>
      </c>
    </row>
    <row r="1959" spans="1:20" x14ac:dyDescent="0.35">
      <c r="A1959" s="1" t="s">
        <v>4240</v>
      </c>
      <c r="B1959" t="s">
        <v>12</v>
      </c>
      <c r="C1959" t="s">
        <v>47</v>
      </c>
      <c r="D1959" t="s">
        <v>3687</v>
      </c>
      <c r="E1959">
        <v>0</v>
      </c>
      <c r="F1959" t="s">
        <v>47</v>
      </c>
      <c r="G1959">
        <v>0</v>
      </c>
      <c r="H1959" t="s">
        <v>47</v>
      </c>
      <c r="I1959">
        <v>1</v>
      </c>
      <c r="J1959" t="s">
        <v>48</v>
      </c>
      <c r="K1959">
        <v>0</v>
      </c>
      <c r="L1959" t="s">
        <v>47</v>
      </c>
      <c r="M1959">
        <v>0</v>
      </c>
      <c r="N1959" t="s">
        <v>47</v>
      </c>
      <c r="O1959">
        <v>0</v>
      </c>
      <c r="P1959" t="s">
        <v>47</v>
      </c>
      <c r="Q1959">
        <v>0</v>
      </c>
      <c r="R1959" t="s">
        <v>47</v>
      </c>
      <c r="S1959">
        <v>0</v>
      </c>
      <c r="T1959" t="s">
        <v>47</v>
      </c>
    </row>
    <row r="1960" spans="1:20" x14ac:dyDescent="0.35">
      <c r="A1960" s="1" t="s">
        <v>4241</v>
      </c>
      <c r="B1960" t="s">
        <v>12</v>
      </c>
      <c r="C1960" t="s">
        <v>47</v>
      </c>
      <c r="D1960" t="s">
        <v>3688</v>
      </c>
      <c r="E1960">
        <v>0</v>
      </c>
      <c r="F1960" t="s">
        <v>47</v>
      </c>
      <c r="G1960">
        <v>0</v>
      </c>
      <c r="H1960" t="s">
        <v>47</v>
      </c>
      <c r="I1960">
        <v>1</v>
      </c>
      <c r="J1960" t="s">
        <v>48</v>
      </c>
      <c r="K1960">
        <v>0</v>
      </c>
      <c r="L1960" t="s">
        <v>47</v>
      </c>
      <c r="M1960">
        <v>0</v>
      </c>
      <c r="N1960" t="s">
        <v>47</v>
      </c>
      <c r="O1960">
        <v>0</v>
      </c>
      <c r="P1960" t="s">
        <v>47</v>
      </c>
      <c r="Q1960">
        <v>0</v>
      </c>
      <c r="R1960" t="s">
        <v>47</v>
      </c>
      <c r="S1960">
        <v>0</v>
      </c>
      <c r="T1960" t="s">
        <v>47</v>
      </c>
    </row>
    <row r="1961" spans="1:20" x14ac:dyDescent="0.35">
      <c r="A1961" s="1" t="s">
        <v>4242</v>
      </c>
      <c r="B1961" t="s">
        <v>12</v>
      </c>
      <c r="C1961" t="s">
        <v>47</v>
      </c>
      <c r="D1961" t="s">
        <v>3689</v>
      </c>
      <c r="E1961">
        <v>0</v>
      </c>
      <c r="F1961" t="s">
        <v>47</v>
      </c>
      <c r="G1961">
        <v>0</v>
      </c>
      <c r="H1961" t="s">
        <v>47</v>
      </c>
      <c r="I1961">
        <v>1</v>
      </c>
      <c r="J1961" t="s">
        <v>48</v>
      </c>
      <c r="K1961">
        <v>0</v>
      </c>
      <c r="L1961" t="s">
        <v>47</v>
      </c>
      <c r="M1961">
        <v>0</v>
      </c>
      <c r="N1961" t="s">
        <v>47</v>
      </c>
      <c r="O1961">
        <v>0</v>
      </c>
      <c r="P1961" t="s">
        <v>47</v>
      </c>
      <c r="Q1961">
        <v>0</v>
      </c>
      <c r="R1961" t="s">
        <v>47</v>
      </c>
      <c r="S1961">
        <v>0</v>
      </c>
      <c r="T1961" t="s">
        <v>47</v>
      </c>
    </row>
    <row r="1962" spans="1:20" x14ac:dyDescent="0.35">
      <c r="A1962" s="1" t="s">
        <v>4243</v>
      </c>
      <c r="B1962" t="s">
        <v>12</v>
      </c>
      <c r="C1962" t="s">
        <v>47</v>
      </c>
      <c r="D1962" t="s">
        <v>3690</v>
      </c>
      <c r="E1962">
        <v>0</v>
      </c>
      <c r="F1962" t="s">
        <v>47</v>
      </c>
      <c r="G1962">
        <v>0</v>
      </c>
      <c r="H1962" t="s">
        <v>47</v>
      </c>
      <c r="I1962">
        <v>1</v>
      </c>
      <c r="J1962" t="s">
        <v>48</v>
      </c>
      <c r="K1962">
        <v>0</v>
      </c>
      <c r="L1962" t="s">
        <v>47</v>
      </c>
      <c r="M1962">
        <v>0</v>
      </c>
      <c r="N1962" t="s">
        <v>47</v>
      </c>
      <c r="O1962">
        <v>0</v>
      </c>
      <c r="P1962" t="s">
        <v>47</v>
      </c>
      <c r="Q1962">
        <v>0</v>
      </c>
      <c r="R1962" t="s">
        <v>47</v>
      </c>
      <c r="S1962">
        <v>0</v>
      </c>
      <c r="T1962" t="s">
        <v>47</v>
      </c>
    </row>
    <row r="1963" spans="1:20" x14ac:dyDescent="0.35">
      <c r="A1963" s="1" t="s">
        <v>4244</v>
      </c>
      <c r="B1963" t="s">
        <v>12</v>
      </c>
      <c r="C1963" t="s">
        <v>47</v>
      </c>
      <c r="D1963" t="s">
        <v>3691</v>
      </c>
      <c r="E1963">
        <v>0</v>
      </c>
      <c r="F1963" t="s">
        <v>47</v>
      </c>
      <c r="G1963">
        <v>0</v>
      </c>
      <c r="H1963" t="s">
        <v>47</v>
      </c>
      <c r="I1963">
        <v>1</v>
      </c>
      <c r="J1963" t="s">
        <v>48</v>
      </c>
      <c r="K1963">
        <v>0</v>
      </c>
      <c r="L1963" t="s">
        <v>47</v>
      </c>
      <c r="M1963">
        <v>0</v>
      </c>
      <c r="N1963" t="s">
        <v>47</v>
      </c>
      <c r="O1963">
        <v>0</v>
      </c>
      <c r="P1963" t="s">
        <v>47</v>
      </c>
      <c r="Q1963">
        <v>0</v>
      </c>
      <c r="R1963" t="s">
        <v>47</v>
      </c>
      <c r="S1963">
        <v>0</v>
      </c>
      <c r="T1963" t="s">
        <v>47</v>
      </c>
    </row>
    <row r="1964" spans="1:20" x14ac:dyDescent="0.35">
      <c r="A1964" s="1" t="s">
        <v>4245</v>
      </c>
      <c r="B1964" t="s">
        <v>12</v>
      </c>
      <c r="C1964" t="s">
        <v>47</v>
      </c>
      <c r="D1964" t="s">
        <v>3692</v>
      </c>
      <c r="E1964">
        <v>0</v>
      </c>
      <c r="F1964" t="s">
        <v>47</v>
      </c>
      <c r="G1964">
        <v>0</v>
      </c>
      <c r="H1964" t="s">
        <v>47</v>
      </c>
      <c r="I1964">
        <v>1</v>
      </c>
      <c r="J1964" t="s">
        <v>48</v>
      </c>
      <c r="K1964">
        <v>0</v>
      </c>
      <c r="L1964" t="s">
        <v>47</v>
      </c>
      <c r="M1964">
        <v>0</v>
      </c>
      <c r="N1964" t="s">
        <v>47</v>
      </c>
      <c r="O1964">
        <v>0</v>
      </c>
      <c r="P1964" t="s">
        <v>47</v>
      </c>
      <c r="Q1964">
        <v>0</v>
      </c>
      <c r="R1964" t="s">
        <v>47</v>
      </c>
      <c r="S1964">
        <v>0</v>
      </c>
      <c r="T1964" t="s">
        <v>47</v>
      </c>
    </row>
    <row r="1965" spans="1:20" x14ac:dyDescent="0.35">
      <c r="A1965" s="1" t="s">
        <v>4246</v>
      </c>
      <c r="B1965" t="s">
        <v>12</v>
      </c>
      <c r="C1965" t="s">
        <v>47</v>
      </c>
      <c r="D1965" t="s">
        <v>3693</v>
      </c>
      <c r="E1965">
        <v>0</v>
      </c>
      <c r="F1965" t="s">
        <v>47</v>
      </c>
      <c r="G1965">
        <v>0</v>
      </c>
      <c r="H1965" t="s">
        <v>47</v>
      </c>
      <c r="I1965">
        <v>1</v>
      </c>
      <c r="J1965" t="s">
        <v>48</v>
      </c>
      <c r="K1965">
        <v>0</v>
      </c>
      <c r="L1965" t="s">
        <v>47</v>
      </c>
      <c r="M1965">
        <v>0</v>
      </c>
      <c r="N1965" t="s">
        <v>47</v>
      </c>
      <c r="O1965">
        <v>0</v>
      </c>
      <c r="P1965" t="s">
        <v>47</v>
      </c>
      <c r="Q1965">
        <v>0</v>
      </c>
      <c r="R1965" t="s">
        <v>47</v>
      </c>
      <c r="S1965">
        <v>0</v>
      </c>
      <c r="T1965" t="s">
        <v>47</v>
      </c>
    </row>
    <row r="1966" spans="1:20" x14ac:dyDescent="0.35">
      <c r="A1966" s="1" t="s">
        <v>4247</v>
      </c>
      <c r="B1966" t="s">
        <v>12</v>
      </c>
      <c r="C1966" t="s">
        <v>47</v>
      </c>
      <c r="D1966" t="s">
        <v>3694</v>
      </c>
      <c r="E1966">
        <v>0</v>
      </c>
      <c r="F1966" t="s">
        <v>47</v>
      </c>
      <c r="G1966">
        <v>0</v>
      </c>
      <c r="H1966" t="s">
        <v>47</v>
      </c>
      <c r="I1966">
        <v>1</v>
      </c>
      <c r="J1966" t="s">
        <v>48</v>
      </c>
      <c r="K1966">
        <v>0</v>
      </c>
      <c r="L1966" t="s">
        <v>47</v>
      </c>
      <c r="M1966">
        <v>0</v>
      </c>
      <c r="N1966" t="s">
        <v>47</v>
      </c>
      <c r="O1966">
        <v>0</v>
      </c>
      <c r="P1966" t="s">
        <v>47</v>
      </c>
      <c r="Q1966">
        <v>0</v>
      </c>
      <c r="R1966" t="s">
        <v>47</v>
      </c>
      <c r="S1966">
        <v>0</v>
      </c>
      <c r="T1966" t="s">
        <v>47</v>
      </c>
    </row>
    <row r="1967" spans="1:20" x14ac:dyDescent="0.35">
      <c r="A1967" s="1" t="s">
        <v>4248</v>
      </c>
      <c r="B1967" t="s">
        <v>12</v>
      </c>
      <c r="C1967" t="s">
        <v>47</v>
      </c>
      <c r="D1967" t="s">
        <v>3695</v>
      </c>
      <c r="E1967">
        <v>0</v>
      </c>
      <c r="F1967" t="s">
        <v>47</v>
      </c>
      <c r="G1967">
        <v>0</v>
      </c>
      <c r="H1967" t="s">
        <v>47</v>
      </c>
      <c r="I1967">
        <v>1</v>
      </c>
      <c r="J1967" t="s">
        <v>48</v>
      </c>
      <c r="K1967">
        <v>0</v>
      </c>
      <c r="L1967" t="s">
        <v>47</v>
      </c>
      <c r="M1967">
        <v>0</v>
      </c>
      <c r="N1967" t="s">
        <v>47</v>
      </c>
      <c r="O1967">
        <v>0</v>
      </c>
      <c r="P1967" t="s">
        <v>47</v>
      </c>
      <c r="Q1967">
        <v>0</v>
      </c>
      <c r="R1967" t="s">
        <v>47</v>
      </c>
      <c r="S1967">
        <v>0</v>
      </c>
      <c r="T1967" t="s">
        <v>47</v>
      </c>
    </row>
    <row r="1968" spans="1:20" x14ac:dyDescent="0.35">
      <c r="A1968" s="1" t="s">
        <v>4249</v>
      </c>
      <c r="B1968" t="s">
        <v>12</v>
      </c>
      <c r="C1968" t="s">
        <v>47</v>
      </c>
      <c r="D1968" t="s">
        <v>3696</v>
      </c>
      <c r="E1968">
        <v>0</v>
      </c>
      <c r="F1968" t="s">
        <v>47</v>
      </c>
      <c r="G1968">
        <v>0</v>
      </c>
      <c r="H1968" t="s">
        <v>47</v>
      </c>
      <c r="I1968">
        <v>1</v>
      </c>
      <c r="J1968" t="s">
        <v>48</v>
      </c>
      <c r="K1968">
        <v>0</v>
      </c>
      <c r="L1968" t="s">
        <v>47</v>
      </c>
      <c r="M1968">
        <v>0</v>
      </c>
      <c r="N1968" t="s">
        <v>47</v>
      </c>
      <c r="O1968">
        <v>0</v>
      </c>
      <c r="P1968" t="s">
        <v>47</v>
      </c>
      <c r="Q1968">
        <v>0</v>
      </c>
      <c r="R1968" t="s">
        <v>47</v>
      </c>
      <c r="S1968">
        <v>0</v>
      </c>
      <c r="T1968" t="s">
        <v>47</v>
      </c>
    </row>
    <row r="1969" spans="1:20" x14ac:dyDescent="0.35">
      <c r="A1969" s="1" t="s">
        <v>4250</v>
      </c>
      <c r="B1969" t="s">
        <v>12</v>
      </c>
      <c r="C1969" t="s">
        <v>47</v>
      </c>
      <c r="D1969" t="s">
        <v>3697</v>
      </c>
      <c r="E1969">
        <v>0</v>
      </c>
      <c r="F1969" t="s">
        <v>47</v>
      </c>
      <c r="G1969">
        <v>0</v>
      </c>
      <c r="H1969" t="s">
        <v>47</v>
      </c>
      <c r="I1969">
        <v>1</v>
      </c>
      <c r="J1969" t="s">
        <v>48</v>
      </c>
      <c r="K1969">
        <v>0</v>
      </c>
      <c r="L1969" t="s">
        <v>47</v>
      </c>
      <c r="M1969">
        <v>0</v>
      </c>
      <c r="N1969" t="s">
        <v>47</v>
      </c>
      <c r="O1969">
        <v>0</v>
      </c>
      <c r="P1969" t="s">
        <v>47</v>
      </c>
      <c r="Q1969">
        <v>0</v>
      </c>
      <c r="R1969" t="s">
        <v>47</v>
      </c>
      <c r="S1969">
        <v>0</v>
      </c>
      <c r="T1969" t="s">
        <v>47</v>
      </c>
    </row>
    <row r="1970" spans="1:20" x14ac:dyDescent="0.35">
      <c r="A1970" s="1" t="s">
        <v>4251</v>
      </c>
      <c r="B1970" t="s">
        <v>12</v>
      </c>
      <c r="C1970" t="s">
        <v>47</v>
      </c>
      <c r="D1970" t="s">
        <v>3698</v>
      </c>
      <c r="E1970">
        <v>0</v>
      </c>
      <c r="F1970" t="s">
        <v>47</v>
      </c>
      <c r="G1970">
        <v>0</v>
      </c>
      <c r="H1970" t="s">
        <v>47</v>
      </c>
      <c r="I1970">
        <v>1</v>
      </c>
      <c r="J1970" t="s">
        <v>48</v>
      </c>
      <c r="K1970">
        <v>0</v>
      </c>
      <c r="L1970" t="s">
        <v>47</v>
      </c>
      <c r="M1970">
        <v>0</v>
      </c>
      <c r="N1970" t="s">
        <v>47</v>
      </c>
      <c r="O1970">
        <v>0</v>
      </c>
      <c r="P1970" t="s">
        <v>47</v>
      </c>
      <c r="Q1970">
        <v>0</v>
      </c>
      <c r="R1970" t="s">
        <v>47</v>
      </c>
      <c r="S1970">
        <v>0</v>
      </c>
      <c r="T1970" t="s">
        <v>47</v>
      </c>
    </row>
    <row r="1971" spans="1:20" x14ac:dyDescent="0.35">
      <c r="A1971" s="1" t="s">
        <v>4252</v>
      </c>
      <c r="B1971" t="s">
        <v>12</v>
      </c>
      <c r="C1971" t="s">
        <v>47</v>
      </c>
      <c r="D1971" t="s">
        <v>3699</v>
      </c>
      <c r="E1971">
        <v>0</v>
      </c>
      <c r="F1971" t="s">
        <v>47</v>
      </c>
      <c r="G1971">
        <v>0</v>
      </c>
      <c r="H1971" t="s">
        <v>47</v>
      </c>
      <c r="I1971">
        <v>1</v>
      </c>
      <c r="J1971" t="s">
        <v>48</v>
      </c>
      <c r="K1971">
        <v>0</v>
      </c>
      <c r="L1971" t="s">
        <v>47</v>
      </c>
      <c r="M1971">
        <v>0</v>
      </c>
      <c r="N1971" t="s">
        <v>47</v>
      </c>
      <c r="O1971">
        <v>0</v>
      </c>
      <c r="P1971" t="s">
        <v>47</v>
      </c>
      <c r="Q1971">
        <v>0</v>
      </c>
      <c r="R1971" t="s">
        <v>47</v>
      </c>
      <c r="S1971">
        <v>0</v>
      </c>
      <c r="T1971" t="s">
        <v>47</v>
      </c>
    </row>
    <row r="1972" spans="1:20" x14ac:dyDescent="0.35">
      <c r="A1972" s="1" t="s">
        <v>4253</v>
      </c>
      <c r="B1972" t="s">
        <v>12</v>
      </c>
      <c r="C1972" t="s">
        <v>47</v>
      </c>
      <c r="D1972" t="s">
        <v>3700</v>
      </c>
      <c r="E1972">
        <v>0</v>
      </c>
      <c r="F1972" t="s">
        <v>47</v>
      </c>
      <c r="G1972">
        <v>0</v>
      </c>
      <c r="H1972" t="s">
        <v>47</v>
      </c>
      <c r="I1972">
        <v>1</v>
      </c>
      <c r="J1972" t="s">
        <v>48</v>
      </c>
      <c r="K1972">
        <v>0</v>
      </c>
      <c r="L1972" t="s">
        <v>47</v>
      </c>
      <c r="M1972">
        <v>0</v>
      </c>
      <c r="N1972" t="s">
        <v>47</v>
      </c>
      <c r="O1972">
        <v>0</v>
      </c>
      <c r="P1972" t="s">
        <v>47</v>
      </c>
      <c r="Q1972">
        <v>0</v>
      </c>
      <c r="R1972" t="s">
        <v>47</v>
      </c>
      <c r="S1972">
        <v>0</v>
      </c>
      <c r="T1972" t="s">
        <v>47</v>
      </c>
    </row>
    <row r="1973" spans="1:20" x14ac:dyDescent="0.35">
      <c r="A1973" s="1" t="s">
        <v>4254</v>
      </c>
      <c r="B1973" t="s">
        <v>12</v>
      </c>
      <c r="C1973" t="s">
        <v>47</v>
      </c>
      <c r="D1973" t="s">
        <v>3701</v>
      </c>
      <c r="E1973">
        <v>0</v>
      </c>
      <c r="F1973" t="s">
        <v>47</v>
      </c>
      <c r="G1973">
        <v>0</v>
      </c>
      <c r="H1973" t="s">
        <v>47</v>
      </c>
      <c r="I1973">
        <v>1</v>
      </c>
      <c r="J1973" t="s">
        <v>48</v>
      </c>
      <c r="K1973">
        <v>0</v>
      </c>
      <c r="L1973" t="s">
        <v>47</v>
      </c>
      <c r="M1973">
        <v>0</v>
      </c>
      <c r="N1973" t="s">
        <v>47</v>
      </c>
      <c r="O1973">
        <v>0</v>
      </c>
      <c r="P1973" t="s">
        <v>47</v>
      </c>
      <c r="Q1973">
        <v>0</v>
      </c>
      <c r="R1973" t="s">
        <v>47</v>
      </c>
      <c r="S1973">
        <v>0</v>
      </c>
      <c r="T1973" t="s">
        <v>47</v>
      </c>
    </row>
    <row r="1974" spans="1:20" x14ac:dyDescent="0.35">
      <c r="A1974" s="1" t="s">
        <v>4255</v>
      </c>
      <c r="B1974" t="s">
        <v>12</v>
      </c>
      <c r="C1974" t="s">
        <v>47</v>
      </c>
      <c r="D1974" t="s">
        <v>3702</v>
      </c>
      <c r="E1974">
        <v>0</v>
      </c>
      <c r="F1974" t="s">
        <v>47</v>
      </c>
      <c r="G1974">
        <v>0</v>
      </c>
      <c r="H1974" t="s">
        <v>47</v>
      </c>
      <c r="I1974">
        <v>1</v>
      </c>
      <c r="J1974" t="s">
        <v>48</v>
      </c>
      <c r="K1974">
        <v>0</v>
      </c>
      <c r="L1974" t="s">
        <v>47</v>
      </c>
      <c r="M1974">
        <v>0</v>
      </c>
      <c r="N1974" t="s">
        <v>47</v>
      </c>
      <c r="O1974">
        <v>0</v>
      </c>
      <c r="P1974" t="s">
        <v>47</v>
      </c>
      <c r="Q1974">
        <v>0</v>
      </c>
      <c r="R1974" t="s">
        <v>47</v>
      </c>
      <c r="S1974">
        <v>0</v>
      </c>
      <c r="T1974" t="s">
        <v>47</v>
      </c>
    </row>
    <row r="1975" spans="1:20" x14ac:dyDescent="0.35">
      <c r="A1975" s="1" t="s">
        <v>4256</v>
      </c>
      <c r="B1975" t="s">
        <v>12</v>
      </c>
      <c r="C1975" t="s">
        <v>47</v>
      </c>
      <c r="D1975" t="s">
        <v>3703</v>
      </c>
      <c r="E1975">
        <v>0</v>
      </c>
      <c r="F1975" t="s">
        <v>47</v>
      </c>
      <c r="G1975">
        <v>0</v>
      </c>
      <c r="H1975" t="s">
        <v>47</v>
      </c>
      <c r="I1975">
        <v>1</v>
      </c>
      <c r="J1975" t="s">
        <v>48</v>
      </c>
      <c r="K1975">
        <v>0</v>
      </c>
      <c r="L1975" t="s">
        <v>47</v>
      </c>
      <c r="M1975">
        <v>0</v>
      </c>
      <c r="N1975" t="s">
        <v>47</v>
      </c>
      <c r="O1975">
        <v>0</v>
      </c>
      <c r="P1975" t="s">
        <v>47</v>
      </c>
      <c r="Q1975">
        <v>0</v>
      </c>
      <c r="R1975" t="s">
        <v>47</v>
      </c>
      <c r="S1975">
        <v>0</v>
      </c>
      <c r="T1975" t="s">
        <v>47</v>
      </c>
    </row>
    <row r="1976" spans="1:20" x14ac:dyDescent="0.35">
      <c r="A1976" s="1" t="s">
        <v>4257</v>
      </c>
      <c r="B1976" t="s">
        <v>12</v>
      </c>
      <c r="C1976" t="s">
        <v>47</v>
      </c>
      <c r="D1976" t="s">
        <v>3704</v>
      </c>
      <c r="E1976">
        <v>0</v>
      </c>
      <c r="F1976" t="s">
        <v>47</v>
      </c>
      <c r="G1976">
        <v>0</v>
      </c>
      <c r="H1976" t="s">
        <v>47</v>
      </c>
      <c r="I1976">
        <v>1</v>
      </c>
      <c r="J1976" t="s">
        <v>48</v>
      </c>
      <c r="K1976">
        <v>0</v>
      </c>
      <c r="L1976" t="s">
        <v>47</v>
      </c>
      <c r="M1976">
        <v>0</v>
      </c>
      <c r="N1976" t="s">
        <v>47</v>
      </c>
      <c r="O1976">
        <v>0</v>
      </c>
      <c r="P1976" t="s">
        <v>47</v>
      </c>
      <c r="Q1976">
        <v>0</v>
      </c>
      <c r="R1976" t="s">
        <v>47</v>
      </c>
      <c r="S1976">
        <v>0</v>
      </c>
      <c r="T1976" t="s">
        <v>47</v>
      </c>
    </row>
    <row r="1977" spans="1:20" x14ac:dyDescent="0.35">
      <c r="A1977" s="1" t="s">
        <v>4258</v>
      </c>
      <c r="B1977" t="s">
        <v>12</v>
      </c>
      <c r="C1977" t="s">
        <v>47</v>
      </c>
      <c r="D1977" t="s">
        <v>3705</v>
      </c>
      <c r="E1977">
        <v>0</v>
      </c>
      <c r="F1977" t="s">
        <v>47</v>
      </c>
      <c r="G1977">
        <v>0</v>
      </c>
      <c r="H1977" t="s">
        <v>47</v>
      </c>
      <c r="I1977">
        <v>1</v>
      </c>
      <c r="J1977" t="s">
        <v>48</v>
      </c>
      <c r="K1977">
        <v>0</v>
      </c>
      <c r="L1977" t="s">
        <v>47</v>
      </c>
      <c r="M1977">
        <v>0</v>
      </c>
      <c r="N1977" t="s">
        <v>47</v>
      </c>
      <c r="O1977">
        <v>0</v>
      </c>
      <c r="P1977" t="s">
        <v>47</v>
      </c>
      <c r="Q1977">
        <v>0</v>
      </c>
      <c r="R1977" t="s">
        <v>47</v>
      </c>
      <c r="S1977">
        <v>0</v>
      </c>
      <c r="T1977" t="s">
        <v>47</v>
      </c>
    </row>
    <row r="1978" spans="1:20" x14ac:dyDescent="0.35">
      <c r="A1978" s="1" t="s">
        <v>4259</v>
      </c>
      <c r="B1978" t="s">
        <v>12</v>
      </c>
      <c r="C1978" t="s">
        <v>47</v>
      </c>
      <c r="D1978" t="s">
        <v>3706</v>
      </c>
      <c r="E1978">
        <v>0</v>
      </c>
      <c r="F1978" t="s">
        <v>47</v>
      </c>
      <c r="G1978">
        <v>0</v>
      </c>
      <c r="H1978" t="s">
        <v>47</v>
      </c>
      <c r="I1978">
        <v>1</v>
      </c>
      <c r="J1978" t="s">
        <v>48</v>
      </c>
      <c r="K1978">
        <v>0</v>
      </c>
      <c r="L1978" t="s">
        <v>47</v>
      </c>
      <c r="M1978">
        <v>0</v>
      </c>
      <c r="N1978" t="s">
        <v>47</v>
      </c>
      <c r="O1978">
        <v>0</v>
      </c>
      <c r="P1978" t="s">
        <v>47</v>
      </c>
      <c r="Q1978">
        <v>0</v>
      </c>
      <c r="R1978" t="s">
        <v>47</v>
      </c>
      <c r="S1978">
        <v>0</v>
      </c>
      <c r="T1978" t="s">
        <v>47</v>
      </c>
    </row>
    <row r="1979" spans="1:20" x14ac:dyDescent="0.35">
      <c r="A1979" s="1" t="s">
        <v>4260</v>
      </c>
      <c r="B1979" t="s">
        <v>12</v>
      </c>
      <c r="C1979" t="s">
        <v>47</v>
      </c>
      <c r="D1979" t="s">
        <v>3707</v>
      </c>
      <c r="E1979">
        <v>0</v>
      </c>
      <c r="F1979" t="s">
        <v>47</v>
      </c>
      <c r="G1979">
        <v>0</v>
      </c>
      <c r="H1979" t="s">
        <v>47</v>
      </c>
      <c r="I1979">
        <v>1</v>
      </c>
      <c r="J1979" t="s">
        <v>48</v>
      </c>
      <c r="K1979">
        <v>0</v>
      </c>
      <c r="L1979" t="s">
        <v>47</v>
      </c>
      <c r="M1979">
        <v>0</v>
      </c>
      <c r="N1979" t="s">
        <v>47</v>
      </c>
      <c r="O1979">
        <v>0</v>
      </c>
      <c r="P1979" t="s">
        <v>47</v>
      </c>
      <c r="Q1979">
        <v>0</v>
      </c>
      <c r="R1979" t="s">
        <v>47</v>
      </c>
      <c r="S1979">
        <v>0</v>
      </c>
      <c r="T1979" t="s">
        <v>47</v>
      </c>
    </row>
    <row r="1980" spans="1:20" x14ac:dyDescent="0.35">
      <c r="A1980" s="1" t="s">
        <v>4261</v>
      </c>
      <c r="B1980" t="s">
        <v>12</v>
      </c>
      <c r="C1980" t="s">
        <v>47</v>
      </c>
      <c r="D1980" t="s">
        <v>3708</v>
      </c>
      <c r="E1980">
        <v>0</v>
      </c>
      <c r="F1980" t="s">
        <v>47</v>
      </c>
      <c r="G1980">
        <v>0</v>
      </c>
      <c r="H1980" t="s">
        <v>47</v>
      </c>
      <c r="I1980">
        <v>1</v>
      </c>
      <c r="J1980" t="s">
        <v>48</v>
      </c>
      <c r="K1980">
        <v>0</v>
      </c>
      <c r="L1980" t="s">
        <v>47</v>
      </c>
      <c r="M1980">
        <v>0</v>
      </c>
      <c r="N1980" t="s">
        <v>47</v>
      </c>
      <c r="O1980">
        <v>0</v>
      </c>
      <c r="P1980" t="s">
        <v>47</v>
      </c>
      <c r="Q1980">
        <v>0</v>
      </c>
      <c r="R1980" t="s">
        <v>47</v>
      </c>
      <c r="S1980">
        <v>0</v>
      </c>
      <c r="T1980" t="s">
        <v>47</v>
      </c>
    </row>
    <row r="1981" spans="1:20" x14ac:dyDescent="0.35">
      <c r="A1981" s="1" t="s">
        <v>4262</v>
      </c>
      <c r="B1981" t="s">
        <v>12</v>
      </c>
      <c r="C1981" t="s">
        <v>47</v>
      </c>
      <c r="D1981" t="s">
        <v>3709</v>
      </c>
      <c r="E1981">
        <v>0</v>
      </c>
      <c r="F1981" t="s">
        <v>47</v>
      </c>
      <c r="G1981">
        <v>0</v>
      </c>
      <c r="H1981" t="s">
        <v>47</v>
      </c>
      <c r="I1981">
        <v>1</v>
      </c>
      <c r="J1981" t="s">
        <v>48</v>
      </c>
      <c r="K1981">
        <v>0</v>
      </c>
      <c r="L1981" t="s">
        <v>47</v>
      </c>
      <c r="M1981">
        <v>0</v>
      </c>
      <c r="N1981" t="s">
        <v>47</v>
      </c>
      <c r="O1981">
        <v>0</v>
      </c>
      <c r="P1981" t="s">
        <v>47</v>
      </c>
      <c r="Q1981">
        <v>0</v>
      </c>
      <c r="R1981" t="s">
        <v>47</v>
      </c>
      <c r="S1981">
        <v>0</v>
      </c>
      <c r="T1981" t="s">
        <v>47</v>
      </c>
    </row>
    <row r="1982" spans="1:20" x14ac:dyDescent="0.35">
      <c r="A1982" s="1" t="s">
        <v>4263</v>
      </c>
      <c r="B1982" t="s">
        <v>12</v>
      </c>
      <c r="C1982" t="s">
        <v>47</v>
      </c>
      <c r="D1982" t="s">
        <v>3710</v>
      </c>
      <c r="E1982">
        <v>0</v>
      </c>
      <c r="F1982" t="s">
        <v>47</v>
      </c>
      <c r="G1982">
        <v>0</v>
      </c>
      <c r="H1982" t="s">
        <v>47</v>
      </c>
      <c r="I1982">
        <v>1</v>
      </c>
      <c r="J1982" t="s">
        <v>48</v>
      </c>
      <c r="K1982">
        <v>0</v>
      </c>
      <c r="L1982" t="s">
        <v>47</v>
      </c>
      <c r="M1982">
        <v>0</v>
      </c>
      <c r="N1982" t="s">
        <v>47</v>
      </c>
      <c r="O1982">
        <v>0</v>
      </c>
      <c r="P1982" t="s">
        <v>47</v>
      </c>
      <c r="Q1982">
        <v>0</v>
      </c>
      <c r="R1982" t="s">
        <v>47</v>
      </c>
      <c r="S1982">
        <v>0</v>
      </c>
      <c r="T1982" t="s">
        <v>47</v>
      </c>
    </row>
    <row r="1983" spans="1:20" x14ac:dyDescent="0.35">
      <c r="A1983" s="1" t="s">
        <v>4264</v>
      </c>
      <c r="B1983" t="s">
        <v>12</v>
      </c>
      <c r="C1983" t="s">
        <v>47</v>
      </c>
      <c r="D1983" t="s">
        <v>3711</v>
      </c>
      <c r="E1983">
        <v>0</v>
      </c>
      <c r="F1983" t="s">
        <v>47</v>
      </c>
      <c r="G1983">
        <v>0</v>
      </c>
      <c r="H1983" t="s">
        <v>47</v>
      </c>
      <c r="I1983">
        <v>1</v>
      </c>
      <c r="J1983" t="s">
        <v>48</v>
      </c>
      <c r="K1983">
        <v>0</v>
      </c>
      <c r="L1983" t="s">
        <v>47</v>
      </c>
      <c r="M1983">
        <v>0</v>
      </c>
      <c r="N1983" t="s">
        <v>47</v>
      </c>
      <c r="O1983">
        <v>0</v>
      </c>
      <c r="P1983" t="s">
        <v>47</v>
      </c>
      <c r="Q1983">
        <v>0</v>
      </c>
      <c r="R1983" t="s">
        <v>47</v>
      </c>
      <c r="S1983">
        <v>0</v>
      </c>
      <c r="T1983" t="s">
        <v>47</v>
      </c>
    </row>
    <row r="1984" spans="1:20" x14ac:dyDescent="0.35">
      <c r="A1984" s="1" t="s">
        <v>4265</v>
      </c>
      <c r="B1984" t="s">
        <v>12</v>
      </c>
      <c r="C1984" t="s">
        <v>47</v>
      </c>
      <c r="D1984" t="s">
        <v>3712</v>
      </c>
      <c r="E1984">
        <v>0</v>
      </c>
      <c r="F1984" t="s">
        <v>47</v>
      </c>
      <c r="G1984">
        <v>0</v>
      </c>
      <c r="H1984" t="s">
        <v>47</v>
      </c>
      <c r="I1984">
        <v>1</v>
      </c>
      <c r="J1984" t="s">
        <v>48</v>
      </c>
      <c r="K1984">
        <v>0</v>
      </c>
      <c r="L1984" t="s">
        <v>47</v>
      </c>
      <c r="M1984">
        <v>0</v>
      </c>
      <c r="N1984" t="s">
        <v>47</v>
      </c>
      <c r="O1984">
        <v>0</v>
      </c>
      <c r="P1984" t="s">
        <v>47</v>
      </c>
      <c r="Q1984">
        <v>0</v>
      </c>
      <c r="R1984" t="s">
        <v>47</v>
      </c>
      <c r="S1984">
        <v>0</v>
      </c>
      <c r="T1984" t="s">
        <v>47</v>
      </c>
    </row>
    <row r="1985" spans="1:20" x14ac:dyDescent="0.35">
      <c r="A1985" s="1" t="s">
        <v>4266</v>
      </c>
      <c r="B1985" t="s">
        <v>12</v>
      </c>
      <c r="C1985" t="s">
        <v>47</v>
      </c>
      <c r="D1985" t="s">
        <v>3713</v>
      </c>
      <c r="E1985">
        <v>0</v>
      </c>
      <c r="F1985" t="s">
        <v>47</v>
      </c>
      <c r="G1985">
        <v>0</v>
      </c>
      <c r="H1985" t="s">
        <v>47</v>
      </c>
      <c r="I1985">
        <v>1</v>
      </c>
      <c r="J1985" t="s">
        <v>48</v>
      </c>
      <c r="K1985">
        <v>0</v>
      </c>
      <c r="L1985" t="s">
        <v>47</v>
      </c>
      <c r="M1985">
        <v>0</v>
      </c>
      <c r="N1985" t="s">
        <v>47</v>
      </c>
      <c r="O1985">
        <v>0</v>
      </c>
      <c r="P1985" t="s">
        <v>47</v>
      </c>
      <c r="Q1985">
        <v>0</v>
      </c>
      <c r="R1985" t="s">
        <v>47</v>
      </c>
      <c r="S1985">
        <v>0</v>
      </c>
      <c r="T1985" t="s">
        <v>47</v>
      </c>
    </row>
    <row r="1986" spans="1:20" x14ac:dyDescent="0.35">
      <c r="A1986" s="1" t="s">
        <v>4267</v>
      </c>
      <c r="B1986" t="s">
        <v>12</v>
      </c>
      <c r="C1986" t="s">
        <v>47</v>
      </c>
      <c r="D1986" t="s">
        <v>3714</v>
      </c>
      <c r="E1986">
        <v>0</v>
      </c>
      <c r="F1986" t="s">
        <v>47</v>
      </c>
      <c r="G1986">
        <v>0</v>
      </c>
      <c r="H1986" t="s">
        <v>47</v>
      </c>
      <c r="I1986">
        <v>1</v>
      </c>
      <c r="J1986" t="s">
        <v>48</v>
      </c>
      <c r="K1986">
        <v>0</v>
      </c>
      <c r="L1986" t="s">
        <v>47</v>
      </c>
      <c r="M1986">
        <v>0</v>
      </c>
      <c r="N1986" t="s">
        <v>47</v>
      </c>
      <c r="O1986">
        <v>0</v>
      </c>
      <c r="P1986" t="s">
        <v>47</v>
      </c>
      <c r="Q1986">
        <v>0</v>
      </c>
      <c r="R1986" t="s">
        <v>47</v>
      </c>
      <c r="S1986">
        <v>0</v>
      </c>
      <c r="T1986" t="s">
        <v>47</v>
      </c>
    </row>
    <row r="1987" spans="1:20" x14ac:dyDescent="0.35">
      <c r="A1987" s="1" t="s">
        <v>4268</v>
      </c>
      <c r="B1987" t="s">
        <v>12</v>
      </c>
      <c r="C1987" t="s">
        <v>47</v>
      </c>
      <c r="D1987" t="s">
        <v>3715</v>
      </c>
      <c r="E1987">
        <v>0</v>
      </c>
      <c r="F1987" t="s">
        <v>47</v>
      </c>
      <c r="G1987">
        <v>0</v>
      </c>
      <c r="H1987" t="s">
        <v>47</v>
      </c>
      <c r="I1987">
        <v>1</v>
      </c>
      <c r="J1987" t="s">
        <v>48</v>
      </c>
      <c r="K1987">
        <v>0</v>
      </c>
      <c r="L1987" t="s">
        <v>47</v>
      </c>
      <c r="M1987">
        <v>0</v>
      </c>
      <c r="N1987" t="s">
        <v>47</v>
      </c>
      <c r="O1987">
        <v>0</v>
      </c>
      <c r="P1987" t="s">
        <v>47</v>
      </c>
      <c r="Q1987">
        <v>0</v>
      </c>
      <c r="R1987" t="s">
        <v>47</v>
      </c>
      <c r="S1987">
        <v>0</v>
      </c>
      <c r="T1987" t="s">
        <v>47</v>
      </c>
    </row>
    <row r="1988" spans="1:20" x14ac:dyDescent="0.35">
      <c r="A1988" s="1" t="s">
        <v>4269</v>
      </c>
      <c r="B1988" t="s">
        <v>12</v>
      </c>
      <c r="C1988" t="s">
        <v>47</v>
      </c>
      <c r="D1988" t="s">
        <v>3716</v>
      </c>
      <c r="E1988">
        <v>0</v>
      </c>
      <c r="F1988" t="s">
        <v>47</v>
      </c>
      <c r="G1988">
        <v>0</v>
      </c>
      <c r="H1988" t="s">
        <v>47</v>
      </c>
      <c r="I1988">
        <v>1</v>
      </c>
      <c r="J1988" t="s">
        <v>48</v>
      </c>
      <c r="K1988">
        <v>0</v>
      </c>
      <c r="L1988" t="s">
        <v>47</v>
      </c>
      <c r="M1988">
        <v>0</v>
      </c>
      <c r="N1988" t="s">
        <v>47</v>
      </c>
      <c r="O1988">
        <v>0</v>
      </c>
      <c r="P1988" t="s">
        <v>47</v>
      </c>
      <c r="Q1988">
        <v>0</v>
      </c>
      <c r="R1988" t="s">
        <v>47</v>
      </c>
      <c r="S1988">
        <v>0</v>
      </c>
      <c r="T1988" t="s">
        <v>47</v>
      </c>
    </row>
    <row r="1989" spans="1:20" x14ac:dyDescent="0.35">
      <c r="A1989" s="1" t="s">
        <v>4270</v>
      </c>
      <c r="B1989" t="s">
        <v>12</v>
      </c>
      <c r="C1989" t="s">
        <v>47</v>
      </c>
      <c r="D1989" t="s">
        <v>3717</v>
      </c>
      <c r="E1989">
        <v>0</v>
      </c>
      <c r="F1989" t="s">
        <v>47</v>
      </c>
      <c r="G1989">
        <v>0</v>
      </c>
      <c r="H1989" t="s">
        <v>47</v>
      </c>
      <c r="I1989">
        <v>1</v>
      </c>
      <c r="J1989" t="s">
        <v>48</v>
      </c>
      <c r="K1989">
        <v>0</v>
      </c>
      <c r="L1989" t="s">
        <v>47</v>
      </c>
      <c r="M1989">
        <v>0</v>
      </c>
      <c r="N1989" t="s">
        <v>47</v>
      </c>
      <c r="O1989">
        <v>0</v>
      </c>
      <c r="P1989" t="s">
        <v>47</v>
      </c>
      <c r="Q1989">
        <v>0</v>
      </c>
      <c r="R1989" t="s">
        <v>47</v>
      </c>
      <c r="S1989">
        <v>0</v>
      </c>
      <c r="T1989" t="s">
        <v>47</v>
      </c>
    </row>
    <row r="1990" spans="1:20" x14ac:dyDescent="0.35">
      <c r="A1990" s="1" t="s">
        <v>4271</v>
      </c>
      <c r="B1990" t="s">
        <v>12</v>
      </c>
      <c r="C1990" t="s">
        <v>47</v>
      </c>
      <c r="D1990" t="s">
        <v>3718</v>
      </c>
      <c r="E1990">
        <v>0</v>
      </c>
      <c r="F1990" t="s">
        <v>47</v>
      </c>
      <c r="G1990">
        <v>0</v>
      </c>
      <c r="H1990" t="s">
        <v>47</v>
      </c>
      <c r="I1990">
        <v>1</v>
      </c>
      <c r="J1990" t="s">
        <v>48</v>
      </c>
      <c r="K1990">
        <v>0</v>
      </c>
      <c r="L1990" t="s">
        <v>47</v>
      </c>
      <c r="M1990">
        <v>0</v>
      </c>
      <c r="N1990" t="s">
        <v>47</v>
      </c>
      <c r="O1990">
        <v>0</v>
      </c>
      <c r="P1990" t="s">
        <v>47</v>
      </c>
      <c r="Q1990">
        <v>0</v>
      </c>
      <c r="R1990" t="s">
        <v>47</v>
      </c>
      <c r="S1990">
        <v>0</v>
      </c>
      <c r="T1990" t="s">
        <v>47</v>
      </c>
    </row>
    <row r="1991" spans="1:20" x14ac:dyDescent="0.35">
      <c r="A1991" s="1" t="s">
        <v>4272</v>
      </c>
      <c r="B1991" t="s">
        <v>12</v>
      </c>
      <c r="C1991" t="s">
        <v>47</v>
      </c>
      <c r="D1991" t="s">
        <v>3719</v>
      </c>
      <c r="E1991">
        <v>0</v>
      </c>
      <c r="F1991" t="s">
        <v>47</v>
      </c>
      <c r="G1991">
        <v>0</v>
      </c>
      <c r="H1991" t="s">
        <v>47</v>
      </c>
      <c r="I1991">
        <v>1</v>
      </c>
      <c r="J1991" t="s">
        <v>48</v>
      </c>
      <c r="K1991">
        <v>0</v>
      </c>
      <c r="L1991" t="s">
        <v>47</v>
      </c>
      <c r="M1991">
        <v>0</v>
      </c>
      <c r="N1991" t="s">
        <v>47</v>
      </c>
      <c r="O1991">
        <v>0</v>
      </c>
      <c r="P1991" t="s">
        <v>47</v>
      </c>
      <c r="Q1991">
        <v>0</v>
      </c>
      <c r="R1991" t="s">
        <v>47</v>
      </c>
      <c r="S1991">
        <v>0</v>
      </c>
      <c r="T1991" t="s">
        <v>47</v>
      </c>
    </row>
    <row r="1992" spans="1:20" x14ac:dyDescent="0.35">
      <c r="A1992" s="1" t="s">
        <v>4273</v>
      </c>
      <c r="B1992" t="s">
        <v>12</v>
      </c>
      <c r="C1992" t="s">
        <v>47</v>
      </c>
      <c r="D1992" t="s">
        <v>3720</v>
      </c>
      <c r="E1992">
        <v>0</v>
      </c>
      <c r="F1992" t="s">
        <v>47</v>
      </c>
      <c r="G1992">
        <v>0</v>
      </c>
      <c r="H1992" t="s">
        <v>47</v>
      </c>
      <c r="I1992">
        <v>1</v>
      </c>
      <c r="J1992" t="s">
        <v>48</v>
      </c>
      <c r="K1992">
        <v>0</v>
      </c>
      <c r="L1992" t="s">
        <v>47</v>
      </c>
      <c r="M1992">
        <v>0</v>
      </c>
      <c r="N1992" t="s">
        <v>47</v>
      </c>
      <c r="O1992">
        <v>0</v>
      </c>
      <c r="P1992" t="s">
        <v>47</v>
      </c>
      <c r="Q1992">
        <v>0</v>
      </c>
      <c r="R1992" t="s">
        <v>47</v>
      </c>
      <c r="S1992">
        <v>0</v>
      </c>
      <c r="T1992" t="s">
        <v>47</v>
      </c>
    </row>
    <row r="1993" spans="1:20" x14ac:dyDescent="0.35">
      <c r="A1993" s="1" t="s">
        <v>4274</v>
      </c>
      <c r="B1993" t="s">
        <v>12</v>
      </c>
      <c r="C1993" t="s">
        <v>47</v>
      </c>
      <c r="D1993" t="s">
        <v>3721</v>
      </c>
      <c r="E1993">
        <v>0</v>
      </c>
      <c r="F1993" t="s">
        <v>47</v>
      </c>
      <c r="G1993">
        <v>0</v>
      </c>
      <c r="H1993" t="s">
        <v>47</v>
      </c>
      <c r="I1993">
        <v>1</v>
      </c>
      <c r="J1993" t="s">
        <v>48</v>
      </c>
      <c r="K1993">
        <v>0</v>
      </c>
      <c r="L1993" t="s">
        <v>47</v>
      </c>
      <c r="M1993">
        <v>0</v>
      </c>
      <c r="N1993" t="s">
        <v>47</v>
      </c>
      <c r="O1993">
        <v>0</v>
      </c>
      <c r="P1993" t="s">
        <v>47</v>
      </c>
      <c r="Q1993">
        <v>0</v>
      </c>
      <c r="R1993" t="s">
        <v>47</v>
      </c>
      <c r="S1993">
        <v>0</v>
      </c>
      <c r="T1993" t="s">
        <v>47</v>
      </c>
    </row>
    <row r="1994" spans="1:20" x14ac:dyDescent="0.35">
      <c r="A1994" s="1" t="s">
        <v>4275</v>
      </c>
      <c r="B1994" t="s">
        <v>12</v>
      </c>
      <c r="C1994" t="s">
        <v>47</v>
      </c>
      <c r="D1994" t="s">
        <v>3722</v>
      </c>
      <c r="E1994">
        <v>0</v>
      </c>
      <c r="F1994" t="s">
        <v>47</v>
      </c>
      <c r="G1994">
        <v>0</v>
      </c>
      <c r="H1994" t="s">
        <v>47</v>
      </c>
      <c r="I1994">
        <v>1</v>
      </c>
      <c r="J1994" t="s">
        <v>48</v>
      </c>
      <c r="K1994">
        <v>0</v>
      </c>
      <c r="L1994" t="s">
        <v>47</v>
      </c>
      <c r="M1994">
        <v>0</v>
      </c>
      <c r="N1994" t="s">
        <v>47</v>
      </c>
      <c r="O1994">
        <v>0</v>
      </c>
      <c r="P1994" t="s">
        <v>47</v>
      </c>
      <c r="Q1994">
        <v>0</v>
      </c>
      <c r="R1994" t="s">
        <v>47</v>
      </c>
      <c r="S1994">
        <v>0</v>
      </c>
      <c r="T1994" t="s">
        <v>47</v>
      </c>
    </row>
    <row r="1995" spans="1:20" x14ac:dyDescent="0.35">
      <c r="A1995" s="1" t="s">
        <v>4276</v>
      </c>
      <c r="B1995" t="s">
        <v>12</v>
      </c>
      <c r="C1995" t="s">
        <v>47</v>
      </c>
      <c r="D1995" t="s">
        <v>3723</v>
      </c>
      <c r="E1995">
        <v>0</v>
      </c>
      <c r="F1995" t="s">
        <v>47</v>
      </c>
      <c r="G1995">
        <v>0</v>
      </c>
      <c r="H1995" t="s">
        <v>47</v>
      </c>
      <c r="I1995">
        <v>1</v>
      </c>
      <c r="J1995" t="s">
        <v>48</v>
      </c>
      <c r="K1995">
        <v>0</v>
      </c>
      <c r="L1995" t="s">
        <v>47</v>
      </c>
      <c r="M1995">
        <v>0</v>
      </c>
      <c r="N1995" t="s">
        <v>47</v>
      </c>
      <c r="O1995">
        <v>0</v>
      </c>
      <c r="P1995" t="s">
        <v>47</v>
      </c>
      <c r="Q1995">
        <v>0</v>
      </c>
      <c r="R1995" t="s">
        <v>47</v>
      </c>
      <c r="S1995">
        <v>0</v>
      </c>
      <c r="T1995" t="s">
        <v>47</v>
      </c>
    </row>
    <row r="1996" spans="1:20" x14ac:dyDescent="0.35">
      <c r="A1996" s="1" t="s">
        <v>4277</v>
      </c>
      <c r="B1996" t="s">
        <v>12</v>
      </c>
      <c r="C1996" t="s">
        <v>47</v>
      </c>
      <c r="D1996" t="s">
        <v>3724</v>
      </c>
      <c r="E1996">
        <v>0</v>
      </c>
      <c r="F1996" t="s">
        <v>47</v>
      </c>
      <c r="G1996">
        <v>0</v>
      </c>
      <c r="H1996" t="s">
        <v>47</v>
      </c>
      <c r="I1996">
        <v>1</v>
      </c>
      <c r="J1996" t="s">
        <v>48</v>
      </c>
      <c r="K1996">
        <v>0</v>
      </c>
      <c r="L1996" t="s">
        <v>47</v>
      </c>
      <c r="M1996">
        <v>0</v>
      </c>
      <c r="N1996" t="s">
        <v>47</v>
      </c>
      <c r="O1996">
        <v>0</v>
      </c>
      <c r="P1996" t="s">
        <v>47</v>
      </c>
      <c r="Q1996">
        <v>0</v>
      </c>
      <c r="R1996" t="s">
        <v>47</v>
      </c>
      <c r="S1996">
        <v>0</v>
      </c>
      <c r="T1996" t="s">
        <v>47</v>
      </c>
    </row>
    <row r="1997" spans="1:20" x14ac:dyDescent="0.35">
      <c r="A1997" s="1" t="s">
        <v>4278</v>
      </c>
      <c r="B1997" t="s">
        <v>12</v>
      </c>
      <c r="C1997" t="s">
        <v>47</v>
      </c>
      <c r="D1997" t="s">
        <v>3725</v>
      </c>
      <c r="E1997">
        <v>0</v>
      </c>
      <c r="F1997" t="s">
        <v>47</v>
      </c>
      <c r="G1997">
        <v>0</v>
      </c>
      <c r="H1997" t="s">
        <v>47</v>
      </c>
      <c r="I1997">
        <v>1</v>
      </c>
      <c r="J1997" t="s">
        <v>48</v>
      </c>
      <c r="K1997">
        <v>0</v>
      </c>
      <c r="L1997" t="s">
        <v>47</v>
      </c>
      <c r="M1997">
        <v>0</v>
      </c>
      <c r="N1997" t="s">
        <v>47</v>
      </c>
      <c r="O1997">
        <v>0</v>
      </c>
      <c r="P1997" t="s">
        <v>47</v>
      </c>
      <c r="Q1997">
        <v>0</v>
      </c>
      <c r="R1997" t="s">
        <v>47</v>
      </c>
      <c r="S1997">
        <v>0</v>
      </c>
      <c r="T1997" t="s">
        <v>47</v>
      </c>
    </row>
    <row r="1998" spans="1:20" x14ac:dyDescent="0.35">
      <c r="A1998" s="1" t="s">
        <v>4279</v>
      </c>
      <c r="B1998" t="s">
        <v>12</v>
      </c>
      <c r="C1998" t="s">
        <v>47</v>
      </c>
      <c r="D1998" t="s">
        <v>3726</v>
      </c>
      <c r="E1998">
        <v>0</v>
      </c>
      <c r="F1998" t="s">
        <v>47</v>
      </c>
      <c r="G1998">
        <v>0</v>
      </c>
      <c r="H1998" t="s">
        <v>47</v>
      </c>
      <c r="I1998">
        <v>1</v>
      </c>
      <c r="J1998" t="s">
        <v>48</v>
      </c>
      <c r="K1998">
        <v>0</v>
      </c>
      <c r="L1998" t="s">
        <v>47</v>
      </c>
      <c r="M1998">
        <v>0</v>
      </c>
      <c r="N1998" t="s">
        <v>47</v>
      </c>
      <c r="O1998">
        <v>0</v>
      </c>
      <c r="P1998" t="s">
        <v>47</v>
      </c>
      <c r="Q1998">
        <v>0</v>
      </c>
      <c r="R1998" t="s">
        <v>47</v>
      </c>
      <c r="S1998">
        <v>0</v>
      </c>
      <c r="T1998" t="s">
        <v>47</v>
      </c>
    </row>
    <row r="1999" spans="1:20" x14ac:dyDescent="0.35">
      <c r="A1999" s="1" t="s">
        <v>4280</v>
      </c>
      <c r="B1999" t="s">
        <v>12</v>
      </c>
      <c r="C1999" t="s">
        <v>47</v>
      </c>
      <c r="D1999" t="s">
        <v>3727</v>
      </c>
      <c r="E1999">
        <v>0</v>
      </c>
      <c r="F1999" t="s">
        <v>47</v>
      </c>
      <c r="G1999">
        <v>0</v>
      </c>
      <c r="H1999" t="s">
        <v>47</v>
      </c>
      <c r="I1999">
        <v>1</v>
      </c>
      <c r="J1999" t="s">
        <v>48</v>
      </c>
      <c r="K1999">
        <v>0</v>
      </c>
      <c r="L1999" t="s">
        <v>47</v>
      </c>
      <c r="M1999">
        <v>0</v>
      </c>
      <c r="N1999" t="s">
        <v>47</v>
      </c>
      <c r="O1999">
        <v>0</v>
      </c>
      <c r="P1999" t="s">
        <v>47</v>
      </c>
      <c r="Q1999">
        <v>0</v>
      </c>
      <c r="R1999" t="s">
        <v>47</v>
      </c>
      <c r="S1999">
        <v>0</v>
      </c>
      <c r="T1999" t="s">
        <v>47</v>
      </c>
    </row>
    <row r="2000" spans="1:20" x14ac:dyDescent="0.35">
      <c r="A2000" s="1" t="s">
        <v>4281</v>
      </c>
      <c r="B2000" t="s">
        <v>12</v>
      </c>
      <c r="C2000" t="s">
        <v>47</v>
      </c>
      <c r="D2000" t="s">
        <v>3728</v>
      </c>
      <c r="E2000">
        <v>0</v>
      </c>
      <c r="F2000" t="s">
        <v>47</v>
      </c>
      <c r="G2000">
        <v>0</v>
      </c>
      <c r="H2000" t="s">
        <v>47</v>
      </c>
      <c r="I2000">
        <v>1</v>
      </c>
      <c r="J2000" t="s">
        <v>48</v>
      </c>
      <c r="K2000">
        <v>0</v>
      </c>
      <c r="L2000" t="s">
        <v>47</v>
      </c>
      <c r="M2000">
        <v>0</v>
      </c>
      <c r="N2000" t="s">
        <v>47</v>
      </c>
      <c r="O2000">
        <v>0</v>
      </c>
      <c r="P2000" t="s">
        <v>47</v>
      </c>
      <c r="Q2000">
        <v>0</v>
      </c>
      <c r="R2000" t="s">
        <v>47</v>
      </c>
      <c r="S2000">
        <v>0</v>
      </c>
      <c r="T2000" t="s">
        <v>47</v>
      </c>
    </row>
    <row r="2001" spans="1:20" x14ac:dyDescent="0.35">
      <c r="A2001" s="1" t="s">
        <v>4282</v>
      </c>
      <c r="B2001" t="s">
        <v>12</v>
      </c>
      <c r="C2001" t="s">
        <v>47</v>
      </c>
      <c r="D2001" t="s">
        <v>3729</v>
      </c>
      <c r="E2001">
        <v>0</v>
      </c>
      <c r="F2001" t="s">
        <v>47</v>
      </c>
      <c r="G2001">
        <v>0</v>
      </c>
      <c r="H2001" t="s">
        <v>47</v>
      </c>
      <c r="I2001">
        <v>1</v>
      </c>
      <c r="J2001" t="s">
        <v>48</v>
      </c>
      <c r="K2001">
        <v>0</v>
      </c>
      <c r="L2001" t="s">
        <v>47</v>
      </c>
      <c r="M2001">
        <v>0</v>
      </c>
      <c r="N2001" t="s">
        <v>47</v>
      </c>
      <c r="O2001">
        <v>0</v>
      </c>
      <c r="P2001" t="s">
        <v>47</v>
      </c>
      <c r="Q2001">
        <v>0</v>
      </c>
      <c r="R2001" t="s">
        <v>47</v>
      </c>
      <c r="S2001">
        <v>0</v>
      </c>
      <c r="T2001" t="s">
        <v>47</v>
      </c>
    </row>
    <row r="2002" spans="1:20" x14ac:dyDescent="0.35">
      <c r="A2002" s="1" t="s">
        <v>4283</v>
      </c>
      <c r="B2002" t="s">
        <v>12</v>
      </c>
      <c r="C2002" t="s">
        <v>47</v>
      </c>
      <c r="D2002" t="s">
        <v>3730</v>
      </c>
      <c r="E2002">
        <v>0</v>
      </c>
      <c r="F2002" t="s">
        <v>47</v>
      </c>
      <c r="G2002">
        <v>0</v>
      </c>
      <c r="H2002" t="s">
        <v>47</v>
      </c>
      <c r="I2002">
        <v>1</v>
      </c>
      <c r="J2002" t="s">
        <v>48</v>
      </c>
      <c r="K2002">
        <v>0</v>
      </c>
      <c r="L2002" t="s">
        <v>47</v>
      </c>
      <c r="M2002">
        <v>0</v>
      </c>
      <c r="N2002" t="s">
        <v>47</v>
      </c>
      <c r="O2002">
        <v>0</v>
      </c>
      <c r="P2002" t="s">
        <v>47</v>
      </c>
      <c r="Q2002">
        <v>0</v>
      </c>
      <c r="R2002" t="s">
        <v>47</v>
      </c>
      <c r="S2002">
        <v>0</v>
      </c>
      <c r="T2002" t="s">
        <v>47</v>
      </c>
    </row>
    <row r="2003" spans="1:20" x14ac:dyDescent="0.35">
      <c r="A2003" s="1" t="s">
        <v>4284</v>
      </c>
      <c r="B2003" t="s">
        <v>12</v>
      </c>
      <c r="C2003" t="s">
        <v>47</v>
      </c>
      <c r="D2003" t="s">
        <v>3731</v>
      </c>
      <c r="E2003">
        <v>0</v>
      </c>
      <c r="F2003" t="s">
        <v>47</v>
      </c>
      <c r="G2003">
        <v>0</v>
      </c>
      <c r="H2003" t="s">
        <v>47</v>
      </c>
      <c r="I2003">
        <v>1</v>
      </c>
      <c r="J2003" t="s">
        <v>48</v>
      </c>
      <c r="K2003">
        <v>0</v>
      </c>
      <c r="L2003" t="s">
        <v>47</v>
      </c>
      <c r="M2003">
        <v>0</v>
      </c>
      <c r="N2003" t="s">
        <v>47</v>
      </c>
      <c r="O2003">
        <v>0</v>
      </c>
      <c r="P2003" t="s">
        <v>47</v>
      </c>
      <c r="Q2003">
        <v>0</v>
      </c>
      <c r="R2003" t="s">
        <v>47</v>
      </c>
      <c r="S2003">
        <v>0</v>
      </c>
      <c r="T2003" t="s">
        <v>47</v>
      </c>
    </row>
    <row r="2004" spans="1:20" x14ac:dyDescent="0.35">
      <c r="A2004" s="1" t="s">
        <v>4285</v>
      </c>
      <c r="B2004" t="s">
        <v>12</v>
      </c>
      <c r="C2004" t="s">
        <v>47</v>
      </c>
      <c r="D2004" t="s">
        <v>3732</v>
      </c>
      <c r="E2004">
        <v>0</v>
      </c>
      <c r="F2004" t="s">
        <v>47</v>
      </c>
      <c r="G2004">
        <v>0</v>
      </c>
      <c r="H2004" t="s">
        <v>47</v>
      </c>
      <c r="I2004">
        <v>1</v>
      </c>
      <c r="J2004" t="s">
        <v>48</v>
      </c>
      <c r="K2004">
        <v>0</v>
      </c>
      <c r="L2004" t="s">
        <v>47</v>
      </c>
      <c r="M2004">
        <v>0</v>
      </c>
      <c r="N2004" t="s">
        <v>47</v>
      </c>
      <c r="O2004">
        <v>0</v>
      </c>
      <c r="P2004" t="s">
        <v>47</v>
      </c>
      <c r="Q2004">
        <v>0</v>
      </c>
      <c r="R2004" t="s">
        <v>47</v>
      </c>
      <c r="S2004">
        <v>0</v>
      </c>
      <c r="T2004" t="s">
        <v>47</v>
      </c>
    </row>
    <row r="2005" spans="1:20" x14ac:dyDescent="0.35">
      <c r="A2005" s="1" t="s">
        <v>4286</v>
      </c>
      <c r="B2005" t="s">
        <v>12</v>
      </c>
      <c r="C2005" t="s">
        <v>47</v>
      </c>
      <c r="D2005" t="s">
        <v>3733</v>
      </c>
      <c r="E2005">
        <v>0</v>
      </c>
      <c r="F2005" t="s">
        <v>47</v>
      </c>
      <c r="G2005">
        <v>0</v>
      </c>
      <c r="H2005" t="s">
        <v>47</v>
      </c>
      <c r="I2005">
        <v>1</v>
      </c>
      <c r="J2005" t="s">
        <v>48</v>
      </c>
      <c r="K2005">
        <v>0</v>
      </c>
      <c r="L2005" t="s">
        <v>47</v>
      </c>
      <c r="M2005">
        <v>0</v>
      </c>
      <c r="N2005" t="s">
        <v>47</v>
      </c>
      <c r="O2005">
        <v>0</v>
      </c>
      <c r="P2005" t="s">
        <v>47</v>
      </c>
      <c r="Q2005">
        <v>0</v>
      </c>
      <c r="R2005" t="s">
        <v>47</v>
      </c>
      <c r="S2005">
        <v>0</v>
      </c>
      <c r="T2005" t="s">
        <v>47</v>
      </c>
    </row>
    <row r="2006" spans="1:20" x14ac:dyDescent="0.35">
      <c r="A2006" s="1" t="s">
        <v>4287</v>
      </c>
      <c r="B2006" t="s">
        <v>12</v>
      </c>
      <c r="C2006" t="s">
        <v>47</v>
      </c>
      <c r="D2006" t="s">
        <v>3734</v>
      </c>
      <c r="E2006">
        <v>0</v>
      </c>
      <c r="F2006" t="s">
        <v>47</v>
      </c>
      <c r="G2006">
        <v>0</v>
      </c>
      <c r="H2006" t="s">
        <v>47</v>
      </c>
      <c r="I2006">
        <v>1</v>
      </c>
      <c r="J2006" t="s">
        <v>48</v>
      </c>
      <c r="K2006">
        <v>0</v>
      </c>
      <c r="L2006" t="s">
        <v>47</v>
      </c>
      <c r="M2006">
        <v>0</v>
      </c>
      <c r="N2006" t="s">
        <v>47</v>
      </c>
      <c r="O2006">
        <v>0</v>
      </c>
      <c r="P2006" t="s">
        <v>47</v>
      </c>
      <c r="Q2006">
        <v>0</v>
      </c>
      <c r="R2006" t="s">
        <v>47</v>
      </c>
      <c r="S2006">
        <v>0</v>
      </c>
      <c r="T2006" t="s">
        <v>47</v>
      </c>
    </row>
    <row r="2007" spans="1:20" x14ac:dyDescent="0.35">
      <c r="A2007" s="1" t="s">
        <v>4288</v>
      </c>
      <c r="B2007" t="s">
        <v>12</v>
      </c>
      <c r="C2007" t="s">
        <v>47</v>
      </c>
      <c r="D2007" t="s">
        <v>3735</v>
      </c>
      <c r="E2007">
        <v>0</v>
      </c>
      <c r="F2007" t="s">
        <v>47</v>
      </c>
      <c r="G2007">
        <v>0</v>
      </c>
      <c r="H2007" t="s">
        <v>47</v>
      </c>
      <c r="I2007">
        <v>1</v>
      </c>
      <c r="J2007" t="s">
        <v>48</v>
      </c>
      <c r="K2007">
        <v>0</v>
      </c>
      <c r="L2007" t="s">
        <v>47</v>
      </c>
      <c r="M2007">
        <v>0</v>
      </c>
      <c r="N2007" t="s">
        <v>47</v>
      </c>
      <c r="O2007">
        <v>0</v>
      </c>
      <c r="P2007" t="s">
        <v>47</v>
      </c>
      <c r="Q2007">
        <v>0</v>
      </c>
      <c r="R2007" t="s">
        <v>47</v>
      </c>
      <c r="S2007">
        <v>0</v>
      </c>
      <c r="T2007" t="s">
        <v>47</v>
      </c>
    </row>
    <row r="2008" spans="1:20" x14ac:dyDescent="0.35">
      <c r="A2008" s="1" t="s">
        <v>4289</v>
      </c>
      <c r="B2008" t="s">
        <v>12</v>
      </c>
      <c r="C2008" t="s">
        <v>47</v>
      </c>
      <c r="D2008" t="s">
        <v>3736</v>
      </c>
      <c r="E2008">
        <v>0</v>
      </c>
      <c r="F2008" t="s">
        <v>47</v>
      </c>
      <c r="G2008">
        <v>0</v>
      </c>
      <c r="H2008" t="s">
        <v>47</v>
      </c>
      <c r="I2008">
        <v>1</v>
      </c>
      <c r="J2008" t="s">
        <v>48</v>
      </c>
      <c r="K2008">
        <v>0</v>
      </c>
      <c r="L2008" t="s">
        <v>47</v>
      </c>
      <c r="M2008">
        <v>0</v>
      </c>
      <c r="N2008" t="s">
        <v>47</v>
      </c>
      <c r="O2008">
        <v>0</v>
      </c>
      <c r="P2008" t="s">
        <v>47</v>
      </c>
      <c r="Q2008">
        <v>0</v>
      </c>
      <c r="R2008" t="s">
        <v>47</v>
      </c>
      <c r="S2008">
        <v>0</v>
      </c>
      <c r="T2008" t="s">
        <v>47</v>
      </c>
    </row>
    <row r="2009" spans="1:20" x14ac:dyDescent="0.35">
      <c r="A2009" s="1" t="s">
        <v>4290</v>
      </c>
      <c r="B2009" t="s">
        <v>12</v>
      </c>
      <c r="C2009" t="s">
        <v>47</v>
      </c>
      <c r="D2009" t="s">
        <v>3737</v>
      </c>
      <c r="E2009">
        <v>0</v>
      </c>
      <c r="F2009" t="s">
        <v>47</v>
      </c>
      <c r="G2009">
        <v>0</v>
      </c>
      <c r="H2009" t="s">
        <v>47</v>
      </c>
      <c r="I2009">
        <v>1</v>
      </c>
      <c r="J2009" t="s">
        <v>48</v>
      </c>
      <c r="K2009">
        <v>0</v>
      </c>
      <c r="L2009" t="s">
        <v>47</v>
      </c>
      <c r="M2009">
        <v>0</v>
      </c>
      <c r="N2009" t="s">
        <v>47</v>
      </c>
      <c r="O2009">
        <v>0</v>
      </c>
      <c r="P2009" t="s">
        <v>47</v>
      </c>
      <c r="Q2009">
        <v>0</v>
      </c>
      <c r="R2009" t="s">
        <v>47</v>
      </c>
      <c r="S2009">
        <v>0</v>
      </c>
      <c r="T2009" t="s">
        <v>47</v>
      </c>
    </row>
    <row r="2010" spans="1:20" x14ac:dyDescent="0.35">
      <c r="A2010" s="1" t="s">
        <v>4291</v>
      </c>
      <c r="B2010" t="s">
        <v>12</v>
      </c>
      <c r="C2010" t="s">
        <v>47</v>
      </c>
      <c r="D2010" t="s">
        <v>3738</v>
      </c>
      <c r="E2010">
        <v>0</v>
      </c>
      <c r="F2010" t="s">
        <v>47</v>
      </c>
      <c r="G2010">
        <v>0</v>
      </c>
      <c r="H2010" t="s">
        <v>47</v>
      </c>
      <c r="I2010">
        <v>1</v>
      </c>
      <c r="J2010" t="s">
        <v>48</v>
      </c>
      <c r="K2010">
        <v>0</v>
      </c>
      <c r="L2010" t="s">
        <v>47</v>
      </c>
      <c r="M2010">
        <v>0</v>
      </c>
      <c r="N2010" t="s">
        <v>47</v>
      </c>
      <c r="O2010">
        <v>0</v>
      </c>
      <c r="P2010" t="s">
        <v>47</v>
      </c>
      <c r="Q2010">
        <v>0</v>
      </c>
      <c r="R2010" t="s">
        <v>47</v>
      </c>
      <c r="S2010">
        <v>0</v>
      </c>
      <c r="T2010" t="s">
        <v>47</v>
      </c>
    </row>
    <row r="2011" spans="1:20" x14ac:dyDescent="0.35">
      <c r="A2011" s="1" t="s">
        <v>4292</v>
      </c>
      <c r="B2011" t="s">
        <v>12</v>
      </c>
      <c r="C2011" t="s">
        <v>47</v>
      </c>
      <c r="D2011" t="s">
        <v>3739</v>
      </c>
      <c r="E2011">
        <v>0</v>
      </c>
      <c r="F2011" t="s">
        <v>47</v>
      </c>
      <c r="G2011">
        <v>0</v>
      </c>
      <c r="H2011" t="s">
        <v>47</v>
      </c>
      <c r="I2011">
        <v>1</v>
      </c>
      <c r="J2011" t="s">
        <v>48</v>
      </c>
      <c r="K2011">
        <v>0</v>
      </c>
      <c r="L2011" t="s">
        <v>47</v>
      </c>
      <c r="M2011">
        <v>0</v>
      </c>
      <c r="N2011" t="s">
        <v>47</v>
      </c>
      <c r="O2011">
        <v>0</v>
      </c>
      <c r="P2011" t="s">
        <v>47</v>
      </c>
      <c r="Q2011">
        <v>0</v>
      </c>
      <c r="R2011" t="s">
        <v>47</v>
      </c>
      <c r="S2011">
        <v>0</v>
      </c>
      <c r="T2011" t="s">
        <v>47</v>
      </c>
    </row>
    <row r="2012" spans="1:20" x14ac:dyDescent="0.35">
      <c r="A2012" s="1" t="s">
        <v>4293</v>
      </c>
      <c r="B2012" t="s">
        <v>12</v>
      </c>
      <c r="C2012" t="s">
        <v>47</v>
      </c>
      <c r="D2012" t="s">
        <v>3740</v>
      </c>
      <c r="E2012">
        <v>0</v>
      </c>
      <c r="F2012" t="s">
        <v>47</v>
      </c>
      <c r="G2012">
        <v>0</v>
      </c>
      <c r="H2012" t="s">
        <v>47</v>
      </c>
      <c r="I2012">
        <v>1</v>
      </c>
      <c r="J2012" t="s">
        <v>48</v>
      </c>
      <c r="K2012">
        <v>0</v>
      </c>
      <c r="L2012" t="s">
        <v>47</v>
      </c>
      <c r="M2012">
        <v>0</v>
      </c>
      <c r="N2012" t="s">
        <v>47</v>
      </c>
      <c r="O2012">
        <v>0</v>
      </c>
      <c r="P2012" t="s">
        <v>47</v>
      </c>
      <c r="Q2012">
        <v>0</v>
      </c>
      <c r="R2012" t="s">
        <v>47</v>
      </c>
      <c r="S2012">
        <v>0</v>
      </c>
      <c r="T2012" t="s">
        <v>47</v>
      </c>
    </row>
    <row r="2013" spans="1:20" x14ac:dyDescent="0.35">
      <c r="A2013" s="1" t="s">
        <v>4294</v>
      </c>
      <c r="B2013" t="s">
        <v>12</v>
      </c>
      <c r="C2013" t="s">
        <v>47</v>
      </c>
      <c r="D2013" t="s">
        <v>3741</v>
      </c>
      <c r="E2013">
        <v>0</v>
      </c>
      <c r="F2013" t="s">
        <v>47</v>
      </c>
      <c r="G2013">
        <v>0</v>
      </c>
      <c r="H2013" t="s">
        <v>47</v>
      </c>
      <c r="I2013">
        <v>1</v>
      </c>
      <c r="J2013" t="s">
        <v>48</v>
      </c>
      <c r="K2013">
        <v>0</v>
      </c>
      <c r="L2013" t="s">
        <v>47</v>
      </c>
      <c r="M2013">
        <v>0</v>
      </c>
      <c r="N2013" t="s">
        <v>47</v>
      </c>
      <c r="O2013">
        <v>0</v>
      </c>
      <c r="P2013" t="s">
        <v>47</v>
      </c>
      <c r="Q2013">
        <v>0</v>
      </c>
      <c r="R2013" t="s">
        <v>47</v>
      </c>
      <c r="S2013">
        <v>0</v>
      </c>
      <c r="T2013" t="s">
        <v>47</v>
      </c>
    </row>
    <row r="2014" spans="1:20" x14ac:dyDescent="0.35">
      <c r="A2014" s="1" t="s">
        <v>4295</v>
      </c>
      <c r="B2014" t="s">
        <v>12</v>
      </c>
      <c r="C2014" t="s">
        <v>47</v>
      </c>
      <c r="D2014" t="s">
        <v>3742</v>
      </c>
      <c r="E2014">
        <v>0</v>
      </c>
      <c r="F2014" t="s">
        <v>47</v>
      </c>
      <c r="G2014">
        <v>0</v>
      </c>
      <c r="H2014" t="s">
        <v>47</v>
      </c>
      <c r="I2014">
        <v>1</v>
      </c>
      <c r="J2014" t="s">
        <v>48</v>
      </c>
      <c r="K2014">
        <v>0</v>
      </c>
      <c r="L2014" t="s">
        <v>47</v>
      </c>
      <c r="M2014">
        <v>0</v>
      </c>
      <c r="N2014" t="s">
        <v>47</v>
      </c>
      <c r="O2014">
        <v>0</v>
      </c>
      <c r="P2014" t="s">
        <v>47</v>
      </c>
      <c r="Q2014">
        <v>0</v>
      </c>
      <c r="R2014" t="s">
        <v>47</v>
      </c>
      <c r="S2014">
        <v>0</v>
      </c>
      <c r="T2014" t="s">
        <v>47</v>
      </c>
    </row>
    <row r="2015" spans="1:20" x14ac:dyDescent="0.35">
      <c r="A2015" s="1" t="s">
        <v>4296</v>
      </c>
      <c r="B2015" t="s">
        <v>12</v>
      </c>
      <c r="C2015" t="s">
        <v>47</v>
      </c>
      <c r="D2015" t="s">
        <v>3743</v>
      </c>
      <c r="E2015">
        <v>0</v>
      </c>
      <c r="F2015" t="s">
        <v>47</v>
      </c>
      <c r="G2015">
        <v>0</v>
      </c>
      <c r="H2015" t="s">
        <v>47</v>
      </c>
      <c r="I2015">
        <v>1</v>
      </c>
      <c r="J2015" t="s">
        <v>48</v>
      </c>
      <c r="K2015">
        <v>0</v>
      </c>
      <c r="L2015" t="s">
        <v>47</v>
      </c>
      <c r="M2015">
        <v>0</v>
      </c>
      <c r="N2015" t="s">
        <v>47</v>
      </c>
      <c r="O2015">
        <v>0</v>
      </c>
      <c r="P2015" t="s">
        <v>47</v>
      </c>
      <c r="Q2015">
        <v>0</v>
      </c>
      <c r="R2015" t="s">
        <v>47</v>
      </c>
      <c r="S2015">
        <v>0</v>
      </c>
      <c r="T2015" t="s">
        <v>47</v>
      </c>
    </row>
    <row r="2016" spans="1:20" x14ac:dyDescent="0.35">
      <c r="A2016" s="1" t="s">
        <v>4297</v>
      </c>
      <c r="B2016" t="s">
        <v>12</v>
      </c>
      <c r="C2016" t="s">
        <v>47</v>
      </c>
      <c r="D2016" t="s">
        <v>3744</v>
      </c>
      <c r="E2016">
        <v>0</v>
      </c>
      <c r="F2016" t="s">
        <v>47</v>
      </c>
      <c r="G2016">
        <v>0</v>
      </c>
      <c r="H2016" t="s">
        <v>47</v>
      </c>
      <c r="I2016">
        <v>0</v>
      </c>
      <c r="J2016" t="s">
        <v>47</v>
      </c>
      <c r="K2016">
        <v>1</v>
      </c>
      <c r="L2016" t="s">
        <v>48</v>
      </c>
      <c r="M2016">
        <v>0</v>
      </c>
      <c r="N2016" t="s">
        <v>47</v>
      </c>
      <c r="O2016">
        <v>0</v>
      </c>
      <c r="P2016" t="s">
        <v>47</v>
      </c>
      <c r="Q2016">
        <v>0</v>
      </c>
      <c r="R2016" t="s">
        <v>47</v>
      </c>
      <c r="S2016">
        <v>0</v>
      </c>
      <c r="T2016" t="s">
        <v>47</v>
      </c>
    </row>
    <row r="2017" spans="1:20" x14ac:dyDescent="0.35">
      <c r="A2017" s="1" t="s">
        <v>4298</v>
      </c>
      <c r="B2017" t="s">
        <v>12</v>
      </c>
      <c r="C2017" t="s">
        <v>47</v>
      </c>
      <c r="D2017" t="s">
        <v>3745</v>
      </c>
      <c r="E2017">
        <v>0</v>
      </c>
      <c r="F2017" t="s">
        <v>47</v>
      </c>
      <c r="G2017">
        <v>0</v>
      </c>
      <c r="H2017" t="s">
        <v>47</v>
      </c>
      <c r="I2017">
        <v>0</v>
      </c>
      <c r="J2017" t="s">
        <v>47</v>
      </c>
      <c r="K2017">
        <v>1</v>
      </c>
      <c r="L2017" t="s">
        <v>48</v>
      </c>
      <c r="M2017">
        <v>0</v>
      </c>
      <c r="N2017" t="s">
        <v>47</v>
      </c>
      <c r="O2017">
        <v>0</v>
      </c>
      <c r="P2017" t="s">
        <v>47</v>
      </c>
      <c r="Q2017">
        <v>0</v>
      </c>
      <c r="R2017" t="s">
        <v>47</v>
      </c>
      <c r="S2017">
        <v>0</v>
      </c>
      <c r="T2017" t="s">
        <v>47</v>
      </c>
    </row>
    <row r="2018" spans="1:20" x14ac:dyDescent="0.35">
      <c r="A2018" s="1" t="s">
        <v>4299</v>
      </c>
      <c r="B2018" t="s">
        <v>12</v>
      </c>
      <c r="C2018" t="s">
        <v>47</v>
      </c>
      <c r="D2018" t="s">
        <v>3746</v>
      </c>
      <c r="E2018">
        <v>0</v>
      </c>
      <c r="F2018" t="s">
        <v>47</v>
      </c>
      <c r="G2018">
        <v>0</v>
      </c>
      <c r="H2018" t="s">
        <v>47</v>
      </c>
      <c r="I2018">
        <v>0</v>
      </c>
      <c r="J2018" t="s">
        <v>47</v>
      </c>
      <c r="K2018">
        <v>1</v>
      </c>
      <c r="L2018" t="s">
        <v>48</v>
      </c>
      <c r="M2018">
        <v>0</v>
      </c>
      <c r="N2018" t="s">
        <v>47</v>
      </c>
      <c r="O2018">
        <v>0</v>
      </c>
      <c r="P2018" t="s">
        <v>47</v>
      </c>
      <c r="Q2018">
        <v>0</v>
      </c>
      <c r="R2018" t="s">
        <v>47</v>
      </c>
      <c r="S2018">
        <v>0</v>
      </c>
      <c r="T2018" t="s">
        <v>47</v>
      </c>
    </row>
    <row r="2019" spans="1:20" x14ac:dyDescent="0.35">
      <c r="A2019" s="1" t="s">
        <v>4300</v>
      </c>
      <c r="B2019" t="s">
        <v>12</v>
      </c>
      <c r="C2019" t="s">
        <v>47</v>
      </c>
      <c r="D2019" t="s">
        <v>3747</v>
      </c>
      <c r="E2019">
        <v>0</v>
      </c>
      <c r="F2019" t="s">
        <v>47</v>
      </c>
      <c r="G2019">
        <v>0</v>
      </c>
      <c r="H2019" t="s">
        <v>47</v>
      </c>
      <c r="I2019">
        <v>0</v>
      </c>
      <c r="J2019" t="s">
        <v>47</v>
      </c>
      <c r="K2019">
        <v>1</v>
      </c>
      <c r="L2019" t="s">
        <v>48</v>
      </c>
      <c r="M2019">
        <v>0</v>
      </c>
      <c r="N2019" t="s">
        <v>47</v>
      </c>
      <c r="O2019">
        <v>0</v>
      </c>
      <c r="P2019" t="s">
        <v>47</v>
      </c>
      <c r="Q2019">
        <v>0</v>
      </c>
      <c r="R2019" t="s">
        <v>47</v>
      </c>
      <c r="S2019">
        <v>0</v>
      </c>
      <c r="T2019" t="s">
        <v>47</v>
      </c>
    </row>
    <row r="2020" spans="1:20" x14ac:dyDescent="0.35">
      <c r="A2020" s="1" t="s">
        <v>4301</v>
      </c>
      <c r="B2020" t="s">
        <v>12</v>
      </c>
      <c r="C2020" t="s">
        <v>47</v>
      </c>
      <c r="D2020" t="s">
        <v>3748</v>
      </c>
      <c r="E2020">
        <v>0</v>
      </c>
      <c r="F2020" t="s">
        <v>47</v>
      </c>
      <c r="G2020">
        <v>0</v>
      </c>
      <c r="H2020" t="s">
        <v>47</v>
      </c>
      <c r="I2020">
        <v>0</v>
      </c>
      <c r="J2020" t="s">
        <v>47</v>
      </c>
      <c r="K2020">
        <v>1</v>
      </c>
      <c r="L2020" t="s">
        <v>48</v>
      </c>
      <c r="M2020">
        <v>0</v>
      </c>
      <c r="N2020" t="s">
        <v>47</v>
      </c>
      <c r="O2020">
        <v>0</v>
      </c>
      <c r="P2020" t="s">
        <v>47</v>
      </c>
      <c r="Q2020">
        <v>0</v>
      </c>
      <c r="R2020" t="s">
        <v>47</v>
      </c>
      <c r="S2020">
        <v>0</v>
      </c>
      <c r="T2020" t="s">
        <v>47</v>
      </c>
    </row>
    <row r="2021" spans="1:20" x14ac:dyDescent="0.35">
      <c r="A2021" s="1" t="s">
        <v>4302</v>
      </c>
      <c r="B2021" t="s">
        <v>12</v>
      </c>
      <c r="C2021" t="s">
        <v>47</v>
      </c>
      <c r="D2021" t="s">
        <v>3749</v>
      </c>
      <c r="E2021">
        <v>0</v>
      </c>
      <c r="F2021" t="s">
        <v>47</v>
      </c>
      <c r="G2021">
        <v>0</v>
      </c>
      <c r="H2021" t="s">
        <v>47</v>
      </c>
      <c r="I2021">
        <v>0</v>
      </c>
      <c r="J2021" t="s">
        <v>47</v>
      </c>
      <c r="K2021">
        <v>1</v>
      </c>
      <c r="L2021" t="s">
        <v>48</v>
      </c>
      <c r="M2021">
        <v>0</v>
      </c>
      <c r="N2021" t="s">
        <v>47</v>
      </c>
      <c r="O2021">
        <v>0</v>
      </c>
      <c r="P2021" t="s">
        <v>47</v>
      </c>
      <c r="Q2021">
        <v>0</v>
      </c>
      <c r="R2021" t="s">
        <v>47</v>
      </c>
      <c r="S2021">
        <v>0</v>
      </c>
      <c r="T2021" t="s">
        <v>47</v>
      </c>
    </row>
    <row r="2022" spans="1:20" x14ac:dyDescent="0.35">
      <c r="A2022" s="1" t="s">
        <v>4303</v>
      </c>
      <c r="B2022" t="s">
        <v>12</v>
      </c>
      <c r="C2022" t="s">
        <v>47</v>
      </c>
      <c r="D2022" t="s">
        <v>3750</v>
      </c>
      <c r="E2022">
        <v>0</v>
      </c>
      <c r="F2022" t="s">
        <v>47</v>
      </c>
      <c r="G2022">
        <v>0</v>
      </c>
      <c r="H2022" t="s">
        <v>47</v>
      </c>
      <c r="I2022">
        <v>0</v>
      </c>
      <c r="J2022" t="s">
        <v>47</v>
      </c>
      <c r="K2022">
        <v>1</v>
      </c>
      <c r="L2022" t="s">
        <v>48</v>
      </c>
      <c r="M2022">
        <v>0</v>
      </c>
      <c r="N2022" t="s">
        <v>47</v>
      </c>
      <c r="O2022">
        <v>0</v>
      </c>
      <c r="P2022" t="s">
        <v>47</v>
      </c>
      <c r="Q2022">
        <v>0</v>
      </c>
      <c r="R2022" t="s">
        <v>47</v>
      </c>
      <c r="S2022">
        <v>0</v>
      </c>
      <c r="T2022" t="s">
        <v>47</v>
      </c>
    </row>
    <row r="2023" spans="1:20" x14ac:dyDescent="0.35">
      <c r="A2023" s="1" t="s">
        <v>4304</v>
      </c>
      <c r="B2023" t="s">
        <v>12</v>
      </c>
      <c r="C2023" t="s">
        <v>47</v>
      </c>
      <c r="D2023" t="s">
        <v>3751</v>
      </c>
      <c r="E2023">
        <v>0</v>
      </c>
      <c r="F2023" t="s">
        <v>47</v>
      </c>
      <c r="G2023">
        <v>0</v>
      </c>
      <c r="H2023" t="s">
        <v>47</v>
      </c>
      <c r="I2023">
        <v>0</v>
      </c>
      <c r="J2023" t="s">
        <v>47</v>
      </c>
      <c r="K2023">
        <v>1</v>
      </c>
      <c r="L2023" t="s">
        <v>48</v>
      </c>
      <c r="M2023">
        <v>0</v>
      </c>
      <c r="N2023" t="s">
        <v>47</v>
      </c>
      <c r="O2023">
        <v>0</v>
      </c>
      <c r="P2023" t="s">
        <v>47</v>
      </c>
      <c r="Q2023">
        <v>0</v>
      </c>
      <c r="R2023" t="s">
        <v>47</v>
      </c>
      <c r="S2023">
        <v>0</v>
      </c>
      <c r="T2023" t="s">
        <v>47</v>
      </c>
    </row>
    <row r="2024" spans="1:20" x14ac:dyDescent="0.35">
      <c r="A2024" s="1" t="s">
        <v>4305</v>
      </c>
      <c r="B2024" t="s">
        <v>12</v>
      </c>
      <c r="C2024" t="s">
        <v>47</v>
      </c>
      <c r="D2024" t="s">
        <v>3752</v>
      </c>
      <c r="E2024">
        <v>0</v>
      </c>
      <c r="F2024" t="s">
        <v>47</v>
      </c>
      <c r="G2024">
        <v>0</v>
      </c>
      <c r="H2024" t="s">
        <v>47</v>
      </c>
      <c r="I2024">
        <v>0</v>
      </c>
      <c r="J2024" t="s">
        <v>47</v>
      </c>
      <c r="K2024">
        <v>1</v>
      </c>
      <c r="L2024" t="s">
        <v>48</v>
      </c>
      <c r="M2024">
        <v>0</v>
      </c>
      <c r="N2024" t="s">
        <v>47</v>
      </c>
      <c r="O2024">
        <v>0</v>
      </c>
      <c r="P2024" t="s">
        <v>47</v>
      </c>
      <c r="Q2024">
        <v>0</v>
      </c>
      <c r="R2024" t="s">
        <v>47</v>
      </c>
      <c r="S2024">
        <v>0</v>
      </c>
      <c r="T2024" t="s">
        <v>47</v>
      </c>
    </row>
    <row r="2025" spans="1:20" x14ac:dyDescent="0.35">
      <c r="A2025" s="1" t="s">
        <v>4306</v>
      </c>
      <c r="B2025" t="s">
        <v>12</v>
      </c>
      <c r="C2025" t="s">
        <v>47</v>
      </c>
      <c r="D2025" t="s">
        <v>3753</v>
      </c>
      <c r="E2025">
        <v>0</v>
      </c>
      <c r="F2025" t="s">
        <v>47</v>
      </c>
      <c r="G2025">
        <v>0</v>
      </c>
      <c r="H2025" t="s">
        <v>47</v>
      </c>
      <c r="I2025">
        <v>0</v>
      </c>
      <c r="J2025" t="s">
        <v>47</v>
      </c>
      <c r="K2025">
        <v>1</v>
      </c>
      <c r="L2025" t="s">
        <v>48</v>
      </c>
      <c r="M2025">
        <v>0</v>
      </c>
      <c r="N2025" t="s">
        <v>47</v>
      </c>
      <c r="O2025">
        <v>0</v>
      </c>
      <c r="P2025" t="s">
        <v>47</v>
      </c>
      <c r="Q2025">
        <v>0</v>
      </c>
      <c r="R2025" t="s">
        <v>47</v>
      </c>
      <c r="S2025">
        <v>0</v>
      </c>
      <c r="T2025" t="s">
        <v>47</v>
      </c>
    </row>
    <row r="2026" spans="1:20" x14ac:dyDescent="0.35">
      <c r="A2026" s="1" t="s">
        <v>4307</v>
      </c>
      <c r="B2026" t="s">
        <v>12</v>
      </c>
      <c r="C2026" t="s">
        <v>47</v>
      </c>
      <c r="D2026" t="s">
        <v>3754</v>
      </c>
      <c r="E2026">
        <v>0</v>
      </c>
      <c r="F2026" t="s">
        <v>47</v>
      </c>
      <c r="G2026">
        <v>0</v>
      </c>
      <c r="H2026" t="s">
        <v>47</v>
      </c>
      <c r="I2026">
        <v>0</v>
      </c>
      <c r="J2026" t="s">
        <v>47</v>
      </c>
      <c r="K2026">
        <v>1</v>
      </c>
      <c r="L2026" t="s">
        <v>48</v>
      </c>
      <c r="M2026">
        <v>0</v>
      </c>
      <c r="N2026" t="s">
        <v>47</v>
      </c>
      <c r="O2026">
        <v>0</v>
      </c>
      <c r="P2026" t="s">
        <v>47</v>
      </c>
      <c r="Q2026">
        <v>0</v>
      </c>
      <c r="R2026" t="s">
        <v>47</v>
      </c>
      <c r="S2026">
        <v>0</v>
      </c>
      <c r="T2026" t="s">
        <v>47</v>
      </c>
    </row>
    <row r="2027" spans="1:20" x14ac:dyDescent="0.35">
      <c r="A2027" s="1" t="s">
        <v>4308</v>
      </c>
      <c r="B2027" t="s">
        <v>12</v>
      </c>
      <c r="C2027" t="s">
        <v>47</v>
      </c>
      <c r="D2027" t="s">
        <v>3755</v>
      </c>
      <c r="E2027">
        <v>0</v>
      </c>
      <c r="F2027" t="s">
        <v>47</v>
      </c>
      <c r="G2027">
        <v>0</v>
      </c>
      <c r="H2027" t="s">
        <v>47</v>
      </c>
      <c r="I2027">
        <v>0</v>
      </c>
      <c r="J2027" t="s">
        <v>47</v>
      </c>
      <c r="K2027">
        <v>1</v>
      </c>
      <c r="L2027" t="s">
        <v>48</v>
      </c>
      <c r="M2027">
        <v>0</v>
      </c>
      <c r="N2027" t="s">
        <v>47</v>
      </c>
      <c r="O2027">
        <v>0</v>
      </c>
      <c r="P2027" t="s">
        <v>47</v>
      </c>
      <c r="Q2027">
        <v>0</v>
      </c>
      <c r="R2027" t="s">
        <v>47</v>
      </c>
      <c r="S2027">
        <v>0</v>
      </c>
      <c r="T2027" t="s">
        <v>47</v>
      </c>
    </row>
    <row r="2028" spans="1:20" x14ac:dyDescent="0.35">
      <c r="A2028" s="1" t="s">
        <v>4309</v>
      </c>
      <c r="B2028" t="s">
        <v>12</v>
      </c>
      <c r="C2028" t="s">
        <v>47</v>
      </c>
      <c r="D2028" t="s">
        <v>3756</v>
      </c>
      <c r="E2028">
        <v>0</v>
      </c>
      <c r="F2028" t="s">
        <v>47</v>
      </c>
      <c r="G2028">
        <v>0</v>
      </c>
      <c r="H2028" t="s">
        <v>47</v>
      </c>
      <c r="I2028">
        <v>0</v>
      </c>
      <c r="J2028" t="s">
        <v>47</v>
      </c>
      <c r="K2028">
        <v>1</v>
      </c>
      <c r="L2028" t="s">
        <v>48</v>
      </c>
      <c r="M2028">
        <v>0</v>
      </c>
      <c r="N2028" t="s">
        <v>47</v>
      </c>
      <c r="O2028">
        <v>0</v>
      </c>
      <c r="P2028" t="s">
        <v>47</v>
      </c>
      <c r="Q2028">
        <v>0</v>
      </c>
      <c r="R2028" t="s">
        <v>47</v>
      </c>
      <c r="S2028">
        <v>0</v>
      </c>
      <c r="T2028" t="s">
        <v>47</v>
      </c>
    </row>
    <row r="2029" spans="1:20" x14ac:dyDescent="0.35">
      <c r="A2029" s="1" t="s">
        <v>4310</v>
      </c>
      <c r="B2029" t="s">
        <v>12</v>
      </c>
      <c r="C2029" t="s">
        <v>47</v>
      </c>
      <c r="D2029" t="s">
        <v>3757</v>
      </c>
      <c r="E2029">
        <v>0</v>
      </c>
      <c r="F2029" t="s">
        <v>47</v>
      </c>
      <c r="G2029">
        <v>0</v>
      </c>
      <c r="H2029" t="s">
        <v>47</v>
      </c>
      <c r="I2029">
        <v>0</v>
      </c>
      <c r="J2029" t="s">
        <v>47</v>
      </c>
      <c r="K2029">
        <v>1</v>
      </c>
      <c r="L2029" t="s">
        <v>48</v>
      </c>
      <c r="M2029">
        <v>0</v>
      </c>
      <c r="N2029" t="s">
        <v>47</v>
      </c>
      <c r="O2029">
        <v>0</v>
      </c>
      <c r="P2029" t="s">
        <v>47</v>
      </c>
      <c r="Q2029">
        <v>0</v>
      </c>
      <c r="R2029" t="s">
        <v>47</v>
      </c>
      <c r="S2029">
        <v>0</v>
      </c>
      <c r="T2029" t="s">
        <v>47</v>
      </c>
    </row>
    <row r="2030" spans="1:20" x14ac:dyDescent="0.35">
      <c r="A2030" s="1" t="s">
        <v>4311</v>
      </c>
      <c r="B2030" t="s">
        <v>12</v>
      </c>
      <c r="C2030" t="s">
        <v>47</v>
      </c>
      <c r="D2030" t="s">
        <v>3758</v>
      </c>
      <c r="E2030">
        <v>0</v>
      </c>
      <c r="F2030" t="s">
        <v>47</v>
      </c>
      <c r="G2030">
        <v>0</v>
      </c>
      <c r="H2030" t="s">
        <v>47</v>
      </c>
      <c r="I2030">
        <v>0</v>
      </c>
      <c r="J2030" t="s">
        <v>47</v>
      </c>
      <c r="K2030">
        <v>1</v>
      </c>
      <c r="L2030" t="s">
        <v>48</v>
      </c>
      <c r="M2030">
        <v>0</v>
      </c>
      <c r="N2030" t="s">
        <v>47</v>
      </c>
      <c r="O2030">
        <v>0</v>
      </c>
      <c r="P2030" t="s">
        <v>47</v>
      </c>
      <c r="Q2030">
        <v>0</v>
      </c>
      <c r="R2030" t="s">
        <v>47</v>
      </c>
      <c r="S2030">
        <v>0</v>
      </c>
      <c r="T2030" t="s">
        <v>47</v>
      </c>
    </row>
    <row r="2031" spans="1:20" x14ac:dyDescent="0.35">
      <c r="A2031" s="1" t="s">
        <v>4312</v>
      </c>
      <c r="B2031" t="s">
        <v>12</v>
      </c>
      <c r="C2031" t="s">
        <v>47</v>
      </c>
      <c r="D2031" t="s">
        <v>3759</v>
      </c>
      <c r="E2031">
        <v>0</v>
      </c>
      <c r="F2031" t="s">
        <v>47</v>
      </c>
      <c r="G2031">
        <v>0</v>
      </c>
      <c r="H2031" t="s">
        <v>47</v>
      </c>
      <c r="I2031">
        <v>0</v>
      </c>
      <c r="J2031" t="s">
        <v>47</v>
      </c>
      <c r="K2031">
        <v>1</v>
      </c>
      <c r="L2031" t="s">
        <v>48</v>
      </c>
      <c r="M2031">
        <v>0</v>
      </c>
      <c r="N2031" t="s">
        <v>47</v>
      </c>
      <c r="O2031">
        <v>0</v>
      </c>
      <c r="P2031" t="s">
        <v>47</v>
      </c>
      <c r="Q2031">
        <v>0</v>
      </c>
      <c r="R2031" t="s">
        <v>47</v>
      </c>
      <c r="S2031">
        <v>0</v>
      </c>
      <c r="T2031" t="s">
        <v>47</v>
      </c>
    </row>
    <row r="2032" spans="1:20" x14ac:dyDescent="0.35">
      <c r="A2032" s="1" t="s">
        <v>4313</v>
      </c>
      <c r="B2032" t="s">
        <v>12</v>
      </c>
      <c r="C2032" t="s">
        <v>47</v>
      </c>
      <c r="D2032" t="s">
        <v>3760</v>
      </c>
      <c r="E2032">
        <v>0</v>
      </c>
      <c r="F2032" t="s">
        <v>47</v>
      </c>
      <c r="G2032">
        <v>0</v>
      </c>
      <c r="H2032" t="s">
        <v>47</v>
      </c>
      <c r="I2032">
        <v>0</v>
      </c>
      <c r="J2032" t="s">
        <v>47</v>
      </c>
      <c r="K2032">
        <v>1</v>
      </c>
      <c r="L2032" t="s">
        <v>48</v>
      </c>
      <c r="M2032">
        <v>0</v>
      </c>
      <c r="N2032" t="s">
        <v>47</v>
      </c>
      <c r="O2032">
        <v>0</v>
      </c>
      <c r="P2032" t="s">
        <v>47</v>
      </c>
      <c r="Q2032">
        <v>0</v>
      </c>
      <c r="R2032" t="s">
        <v>47</v>
      </c>
      <c r="S2032">
        <v>0</v>
      </c>
      <c r="T2032" t="s">
        <v>47</v>
      </c>
    </row>
    <row r="2033" spans="1:20" x14ac:dyDescent="0.35">
      <c r="A2033" s="1" t="s">
        <v>4314</v>
      </c>
      <c r="B2033" t="s">
        <v>12</v>
      </c>
      <c r="C2033" t="s">
        <v>47</v>
      </c>
      <c r="D2033" t="s">
        <v>3761</v>
      </c>
      <c r="E2033">
        <v>0</v>
      </c>
      <c r="F2033" t="s">
        <v>47</v>
      </c>
      <c r="G2033">
        <v>0</v>
      </c>
      <c r="H2033" t="s">
        <v>47</v>
      </c>
      <c r="I2033">
        <v>0</v>
      </c>
      <c r="J2033" t="s">
        <v>47</v>
      </c>
      <c r="K2033">
        <v>1</v>
      </c>
      <c r="L2033" t="s">
        <v>48</v>
      </c>
      <c r="M2033">
        <v>0</v>
      </c>
      <c r="N2033" t="s">
        <v>47</v>
      </c>
      <c r="O2033">
        <v>0</v>
      </c>
      <c r="P2033" t="s">
        <v>47</v>
      </c>
      <c r="Q2033">
        <v>0</v>
      </c>
      <c r="R2033" t="s">
        <v>47</v>
      </c>
      <c r="S2033">
        <v>0</v>
      </c>
      <c r="T2033" t="s">
        <v>47</v>
      </c>
    </row>
    <row r="2034" spans="1:20" x14ac:dyDescent="0.35">
      <c r="A2034" s="1" t="s">
        <v>4315</v>
      </c>
      <c r="B2034" t="s">
        <v>12</v>
      </c>
      <c r="C2034" t="s">
        <v>47</v>
      </c>
      <c r="D2034" t="s">
        <v>3762</v>
      </c>
      <c r="E2034">
        <v>0</v>
      </c>
      <c r="F2034" t="s">
        <v>47</v>
      </c>
      <c r="G2034">
        <v>0</v>
      </c>
      <c r="H2034" t="s">
        <v>47</v>
      </c>
      <c r="I2034">
        <v>0</v>
      </c>
      <c r="J2034" t="s">
        <v>47</v>
      </c>
      <c r="K2034">
        <v>1</v>
      </c>
      <c r="L2034" t="s">
        <v>48</v>
      </c>
      <c r="M2034">
        <v>0</v>
      </c>
      <c r="N2034" t="s">
        <v>47</v>
      </c>
      <c r="O2034">
        <v>0</v>
      </c>
      <c r="P2034" t="s">
        <v>47</v>
      </c>
      <c r="Q2034">
        <v>0</v>
      </c>
      <c r="R2034" t="s">
        <v>47</v>
      </c>
      <c r="S2034">
        <v>0</v>
      </c>
      <c r="T2034" t="s">
        <v>47</v>
      </c>
    </row>
    <row r="2035" spans="1:20" x14ac:dyDescent="0.35">
      <c r="A2035" s="1" t="s">
        <v>4316</v>
      </c>
      <c r="B2035" t="s">
        <v>12</v>
      </c>
      <c r="C2035" t="s">
        <v>47</v>
      </c>
      <c r="D2035" t="s">
        <v>3763</v>
      </c>
      <c r="E2035">
        <v>0</v>
      </c>
      <c r="F2035" t="s">
        <v>47</v>
      </c>
      <c r="G2035">
        <v>0</v>
      </c>
      <c r="H2035" t="s">
        <v>47</v>
      </c>
      <c r="I2035">
        <v>0</v>
      </c>
      <c r="J2035" t="s">
        <v>47</v>
      </c>
      <c r="K2035">
        <v>1</v>
      </c>
      <c r="L2035" t="s">
        <v>48</v>
      </c>
      <c r="M2035">
        <v>0</v>
      </c>
      <c r="N2035" t="s">
        <v>47</v>
      </c>
      <c r="O2035">
        <v>0</v>
      </c>
      <c r="P2035" t="s">
        <v>47</v>
      </c>
      <c r="Q2035">
        <v>0</v>
      </c>
      <c r="R2035" t="s">
        <v>47</v>
      </c>
      <c r="S2035">
        <v>0</v>
      </c>
      <c r="T2035" t="s">
        <v>47</v>
      </c>
    </row>
    <row r="2036" spans="1:20" x14ac:dyDescent="0.35">
      <c r="A2036" s="1" t="s">
        <v>4317</v>
      </c>
      <c r="B2036" t="s">
        <v>12</v>
      </c>
      <c r="C2036" t="s">
        <v>47</v>
      </c>
      <c r="D2036" t="s">
        <v>3764</v>
      </c>
      <c r="E2036">
        <v>0</v>
      </c>
      <c r="F2036" t="s">
        <v>47</v>
      </c>
      <c r="G2036">
        <v>0</v>
      </c>
      <c r="H2036" t="s">
        <v>47</v>
      </c>
      <c r="I2036">
        <v>0</v>
      </c>
      <c r="J2036" t="s">
        <v>47</v>
      </c>
      <c r="K2036">
        <v>1</v>
      </c>
      <c r="L2036" t="s">
        <v>48</v>
      </c>
      <c r="M2036">
        <v>0</v>
      </c>
      <c r="N2036" t="s">
        <v>47</v>
      </c>
      <c r="O2036">
        <v>0</v>
      </c>
      <c r="P2036" t="s">
        <v>47</v>
      </c>
      <c r="Q2036">
        <v>0</v>
      </c>
      <c r="R2036" t="s">
        <v>47</v>
      </c>
      <c r="S2036">
        <v>0</v>
      </c>
      <c r="T2036" t="s">
        <v>47</v>
      </c>
    </row>
    <row r="2037" spans="1:20" x14ac:dyDescent="0.35">
      <c r="A2037" s="1" t="s">
        <v>4318</v>
      </c>
      <c r="B2037" t="s">
        <v>12</v>
      </c>
      <c r="C2037" t="s">
        <v>47</v>
      </c>
      <c r="D2037" t="s">
        <v>3765</v>
      </c>
      <c r="E2037">
        <v>0</v>
      </c>
      <c r="F2037" t="s">
        <v>47</v>
      </c>
      <c r="G2037">
        <v>0</v>
      </c>
      <c r="H2037" t="s">
        <v>47</v>
      </c>
      <c r="I2037">
        <v>0</v>
      </c>
      <c r="J2037" t="s">
        <v>47</v>
      </c>
      <c r="K2037">
        <v>1</v>
      </c>
      <c r="L2037" t="s">
        <v>48</v>
      </c>
      <c r="M2037">
        <v>0</v>
      </c>
      <c r="N2037" t="s">
        <v>47</v>
      </c>
      <c r="O2037">
        <v>0</v>
      </c>
      <c r="P2037" t="s">
        <v>47</v>
      </c>
      <c r="Q2037">
        <v>0</v>
      </c>
      <c r="R2037" t="s">
        <v>47</v>
      </c>
      <c r="S2037">
        <v>0</v>
      </c>
      <c r="T2037" t="s">
        <v>47</v>
      </c>
    </row>
    <row r="2038" spans="1:20" x14ac:dyDescent="0.35">
      <c r="A2038" s="1" t="s">
        <v>4319</v>
      </c>
      <c r="B2038" t="s">
        <v>12</v>
      </c>
      <c r="C2038" t="s">
        <v>47</v>
      </c>
      <c r="D2038" t="s">
        <v>3766</v>
      </c>
      <c r="E2038">
        <v>0</v>
      </c>
      <c r="F2038" t="s">
        <v>47</v>
      </c>
      <c r="G2038">
        <v>0</v>
      </c>
      <c r="H2038" t="s">
        <v>47</v>
      </c>
      <c r="I2038">
        <v>0</v>
      </c>
      <c r="J2038" t="s">
        <v>47</v>
      </c>
      <c r="K2038">
        <v>1</v>
      </c>
      <c r="L2038" t="s">
        <v>48</v>
      </c>
      <c r="M2038">
        <v>0</v>
      </c>
      <c r="N2038" t="s">
        <v>47</v>
      </c>
      <c r="O2038">
        <v>0</v>
      </c>
      <c r="P2038" t="s">
        <v>47</v>
      </c>
      <c r="Q2038">
        <v>0</v>
      </c>
      <c r="R2038" t="s">
        <v>47</v>
      </c>
      <c r="S2038">
        <v>0</v>
      </c>
      <c r="T2038" t="s">
        <v>47</v>
      </c>
    </row>
    <row r="2039" spans="1:20" x14ac:dyDescent="0.35">
      <c r="A2039" s="1" t="s">
        <v>4320</v>
      </c>
      <c r="B2039" t="s">
        <v>12</v>
      </c>
      <c r="C2039" t="s">
        <v>47</v>
      </c>
      <c r="D2039" t="s">
        <v>3767</v>
      </c>
      <c r="E2039">
        <v>0</v>
      </c>
      <c r="F2039" t="s">
        <v>47</v>
      </c>
      <c r="G2039">
        <v>0</v>
      </c>
      <c r="H2039" t="s">
        <v>47</v>
      </c>
      <c r="I2039">
        <v>0</v>
      </c>
      <c r="J2039" t="s">
        <v>47</v>
      </c>
      <c r="K2039">
        <v>1</v>
      </c>
      <c r="L2039" t="s">
        <v>48</v>
      </c>
      <c r="M2039">
        <v>0</v>
      </c>
      <c r="N2039" t="s">
        <v>47</v>
      </c>
      <c r="O2039">
        <v>0</v>
      </c>
      <c r="P2039" t="s">
        <v>47</v>
      </c>
      <c r="Q2039">
        <v>0</v>
      </c>
      <c r="R2039" t="s">
        <v>47</v>
      </c>
      <c r="S2039">
        <v>0</v>
      </c>
      <c r="T2039" t="s">
        <v>47</v>
      </c>
    </row>
    <row r="2040" spans="1:20" x14ac:dyDescent="0.35">
      <c r="A2040" s="1" t="s">
        <v>4321</v>
      </c>
      <c r="B2040" t="s">
        <v>12</v>
      </c>
      <c r="C2040" t="s">
        <v>47</v>
      </c>
      <c r="D2040" t="s">
        <v>3768</v>
      </c>
      <c r="E2040">
        <v>0</v>
      </c>
      <c r="F2040" t="s">
        <v>47</v>
      </c>
      <c r="G2040">
        <v>0</v>
      </c>
      <c r="H2040" t="s">
        <v>47</v>
      </c>
      <c r="I2040">
        <v>0</v>
      </c>
      <c r="J2040" t="s">
        <v>47</v>
      </c>
      <c r="K2040">
        <v>1</v>
      </c>
      <c r="L2040" t="s">
        <v>48</v>
      </c>
      <c r="M2040">
        <v>0</v>
      </c>
      <c r="N2040" t="s">
        <v>47</v>
      </c>
      <c r="O2040">
        <v>0</v>
      </c>
      <c r="P2040" t="s">
        <v>47</v>
      </c>
      <c r="Q2040">
        <v>0</v>
      </c>
      <c r="R2040" t="s">
        <v>47</v>
      </c>
      <c r="S2040">
        <v>0</v>
      </c>
      <c r="T2040" t="s">
        <v>47</v>
      </c>
    </row>
    <row r="2041" spans="1:20" x14ac:dyDescent="0.35">
      <c r="A2041" s="1" t="s">
        <v>4322</v>
      </c>
      <c r="B2041" t="s">
        <v>12</v>
      </c>
      <c r="C2041" t="s">
        <v>47</v>
      </c>
      <c r="D2041" t="s">
        <v>3769</v>
      </c>
      <c r="E2041">
        <v>0</v>
      </c>
      <c r="F2041" t="s">
        <v>47</v>
      </c>
      <c r="G2041">
        <v>0</v>
      </c>
      <c r="H2041" t="s">
        <v>47</v>
      </c>
      <c r="I2041">
        <v>0</v>
      </c>
      <c r="J2041" t="s">
        <v>47</v>
      </c>
      <c r="K2041">
        <v>1</v>
      </c>
      <c r="L2041" t="s">
        <v>48</v>
      </c>
      <c r="M2041">
        <v>0</v>
      </c>
      <c r="N2041" t="s">
        <v>47</v>
      </c>
      <c r="O2041">
        <v>0</v>
      </c>
      <c r="P2041" t="s">
        <v>47</v>
      </c>
      <c r="Q2041">
        <v>0</v>
      </c>
      <c r="R2041" t="s">
        <v>47</v>
      </c>
      <c r="S2041">
        <v>0</v>
      </c>
      <c r="T2041" t="s">
        <v>47</v>
      </c>
    </row>
    <row r="2042" spans="1:20" x14ac:dyDescent="0.35">
      <c r="A2042" s="1" t="s">
        <v>4323</v>
      </c>
      <c r="B2042" t="s">
        <v>12</v>
      </c>
      <c r="C2042" t="s">
        <v>47</v>
      </c>
      <c r="D2042" t="s">
        <v>3770</v>
      </c>
      <c r="E2042">
        <v>0</v>
      </c>
      <c r="F2042" t="s">
        <v>47</v>
      </c>
      <c r="G2042">
        <v>0</v>
      </c>
      <c r="H2042" t="s">
        <v>47</v>
      </c>
      <c r="I2042">
        <v>0</v>
      </c>
      <c r="J2042" t="s">
        <v>47</v>
      </c>
      <c r="K2042">
        <v>1</v>
      </c>
      <c r="L2042" t="s">
        <v>48</v>
      </c>
      <c r="M2042">
        <v>0</v>
      </c>
      <c r="N2042" t="s">
        <v>47</v>
      </c>
      <c r="O2042">
        <v>0</v>
      </c>
      <c r="P2042" t="s">
        <v>47</v>
      </c>
      <c r="Q2042">
        <v>0</v>
      </c>
      <c r="R2042" t="s">
        <v>47</v>
      </c>
      <c r="S2042">
        <v>0</v>
      </c>
      <c r="T2042" t="s">
        <v>47</v>
      </c>
    </row>
    <row r="2043" spans="1:20" x14ac:dyDescent="0.35">
      <c r="A2043" s="1" t="s">
        <v>4324</v>
      </c>
      <c r="B2043" t="s">
        <v>12</v>
      </c>
      <c r="C2043" t="s">
        <v>47</v>
      </c>
      <c r="D2043" t="s">
        <v>3771</v>
      </c>
      <c r="E2043">
        <v>0</v>
      </c>
      <c r="F2043" t="s">
        <v>47</v>
      </c>
      <c r="G2043">
        <v>0</v>
      </c>
      <c r="H2043" t="s">
        <v>47</v>
      </c>
      <c r="I2043">
        <v>0</v>
      </c>
      <c r="J2043" t="s">
        <v>47</v>
      </c>
      <c r="K2043">
        <v>1</v>
      </c>
      <c r="L2043" t="s">
        <v>48</v>
      </c>
      <c r="M2043">
        <v>0</v>
      </c>
      <c r="N2043" t="s">
        <v>47</v>
      </c>
      <c r="O2043">
        <v>0</v>
      </c>
      <c r="P2043" t="s">
        <v>47</v>
      </c>
      <c r="Q2043">
        <v>0</v>
      </c>
      <c r="R2043" t="s">
        <v>47</v>
      </c>
      <c r="S2043">
        <v>0</v>
      </c>
      <c r="T2043" t="s">
        <v>47</v>
      </c>
    </row>
    <row r="2044" spans="1:20" x14ac:dyDescent="0.35">
      <c r="A2044" s="1" t="s">
        <v>4325</v>
      </c>
      <c r="B2044" t="s">
        <v>12</v>
      </c>
      <c r="C2044" t="s">
        <v>47</v>
      </c>
      <c r="D2044" t="s">
        <v>3772</v>
      </c>
      <c r="E2044">
        <v>0</v>
      </c>
      <c r="F2044" t="s">
        <v>47</v>
      </c>
      <c r="G2044">
        <v>0</v>
      </c>
      <c r="H2044" t="s">
        <v>47</v>
      </c>
      <c r="I2044">
        <v>0</v>
      </c>
      <c r="J2044" t="s">
        <v>47</v>
      </c>
      <c r="K2044">
        <v>1</v>
      </c>
      <c r="L2044" t="s">
        <v>48</v>
      </c>
      <c r="M2044">
        <v>0</v>
      </c>
      <c r="N2044" t="s">
        <v>47</v>
      </c>
      <c r="O2044">
        <v>0</v>
      </c>
      <c r="P2044" t="s">
        <v>47</v>
      </c>
      <c r="Q2044">
        <v>0</v>
      </c>
      <c r="R2044" t="s">
        <v>47</v>
      </c>
      <c r="S2044">
        <v>0</v>
      </c>
      <c r="T2044" t="s">
        <v>47</v>
      </c>
    </row>
    <row r="2045" spans="1:20" x14ac:dyDescent="0.35">
      <c r="A2045" s="1" t="s">
        <v>4326</v>
      </c>
      <c r="B2045" t="s">
        <v>12</v>
      </c>
      <c r="C2045" t="s">
        <v>47</v>
      </c>
      <c r="D2045" t="s">
        <v>3773</v>
      </c>
      <c r="E2045">
        <v>0</v>
      </c>
      <c r="F2045" t="s">
        <v>47</v>
      </c>
      <c r="G2045">
        <v>0</v>
      </c>
      <c r="H2045" t="s">
        <v>47</v>
      </c>
      <c r="I2045">
        <v>0</v>
      </c>
      <c r="J2045" t="s">
        <v>47</v>
      </c>
      <c r="K2045">
        <v>1</v>
      </c>
      <c r="L2045" t="s">
        <v>48</v>
      </c>
      <c r="M2045">
        <v>0</v>
      </c>
      <c r="N2045" t="s">
        <v>47</v>
      </c>
      <c r="O2045">
        <v>0</v>
      </c>
      <c r="P2045" t="s">
        <v>47</v>
      </c>
      <c r="Q2045">
        <v>0</v>
      </c>
      <c r="R2045" t="s">
        <v>47</v>
      </c>
      <c r="S2045">
        <v>0</v>
      </c>
      <c r="T2045" t="s">
        <v>47</v>
      </c>
    </row>
    <row r="2046" spans="1:20" x14ac:dyDescent="0.35">
      <c r="A2046" s="1" t="s">
        <v>4327</v>
      </c>
      <c r="B2046" t="s">
        <v>12</v>
      </c>
      <c r="C2046" t="s">
        <v>47</v>
      </c>
      <c r="D2046" t="s">
        <v>3774</v>
      </c>
      <c r="E2046">
        <v>0</v>
      </c>
      <c r="F2046" t="s">
        <v>47</v>
      </c>
      <c r="G2046">
        <v>0</v>
      </c>
      <c r="H2046" t="s">
        <v>47</v>
      </c>
      <c r="I2046">
        <v>0</v>
      </c>
      <c r="J2046" t="s">
        <v>47</v>
      </c>
      <c r="K2046">
        <v>0</v>
      </c>
      <c r="L2046" t="s">
        <v>47</v>
      </c>
      <c r="M2046">
        <v>0</v>
      </c>
      <c r="N2046" t="s">
        <v>47</v>
      </c>
      <c r="O2046">
        <v>0</v>
      </c>
      <c r="P2046" t="s">
        <v>47</v>
      </c>
      <c r="Q2046">
        <v>0</v>
      </c>
      <c r="R2046" t="s">
        <v>47</v>
      </c>
      <c r="S2046">
        <v>1</v>
      </c>
      <c r="T2046" t="s">
        <v>48</v>
      </c>
    </row>
    <row r="2047" spans="1:20" x14ac:dyDescent="0.35">
      <c r="A2047" s="1" t="s">
        <v>4328</v>
      </c>
      <c r="B2047" t="s">
        <v>12</v>
      </c>
      <c r="C2047" t="s">
        <v>47</v>
      </c>
      <c r="D2047" t="s">
        <v>3775</v>
      </c>
      <c r="E2047">
        <v>0</v>
      </c>
      <c r="F2047" t="s">
        <v>47</v>
      </c>
      <c r="G2047">
        <v>0</v>
      </c>
      <c r="H2047" t="s">
        <v>47</v>
      </c>
      <c r="I2047">
        <v>0</v>
      </c>
      <c r="J2047" t="s">
        <v>47</v>
      </c>
      <c r="K2047">
        <v>0</v>
      </c>
      <c r="L2047" t="s">
        <v>47</v>
      </c>
      <c r="M2047">
        <v>0</v>
      </c>
      <c r="N2047" t="s">
        <v>47</v>
      </c>
      <c r="O2047">
        <v>0</v>
      </c>
      <c r="P2047" t="s">
        <v>47</v>
      </c>
      <c r="Q2047">
        <v>0</v>
      </c>
      <c r="R2047" t="s">
        <v>47</v>
      </c>
      <c r="S2047">
        <v>1</v>
      </c>
      <c r="T2047" t="s">
        <v>48</v>
      </c>
    </row>
    <row r="2048" spans="1:20" x14ac:dyDescent="0.35">
      <c r="A2048" s="1" t="s">
        <v>4329</v>
      </c>
      <c r="B2048" t="s">
        <v>12</v>
      </c>
      <c r="C2048" t="s">
        <v>47</v>
      </c>
      <c r="D2048" t="s">
        <v>3776</v>
      </c>
      <c r="E2048">
        <v>0</v>
      </c>
      <c r="F2048" t="s">
        <v>47</v>
      </c>
      <c r="G2048">
        <v>0</v>
      </c>
      <c r="H2048" t="s">
        <v>47</v>
      </c>
      <c r="I2048">
        <v>0</v>
      </c>
      <c r="J2048" t="s">
        <v>47</v>
      </c>
      <c r="K2048">
        <v>0</v>
      </c>
      <c r="L2048" t="s">
        <v>47</v>
      </c>
      <c r="M2048">
        <v>0</v>
      </c>
      <c r="N2048" t="s">
        <v>47</v>
      </c>
      <c r="O2048">
        <v>0</v>
      </c>
      <c r="P2048" t="s">
        <v>47</v>
      </c>
      <c r="Q2048">
        <v>0</v>
      </c>
      <c r="R2048" t="s">
        <v>47</v>
      </c>
      <c r="S2048">
        <v>1</v>
      </c>
      <c r="T2048" t="s">
        <v>48</v>
      </c>
    </row>
    <row r="2049" spans="1:20" x14ac:dyDescent="0.35">
      <c r="A2049" s="1" t="s">
        <v>4330</v>
      </c>
      <c r="B2049" t="s">
        <v>12</v>
      </c>
      <c r="C2049" t="s">
        <v>47</v>
      </c>
      <c r="D2049" t="s">
        <v>3777</v>
      </c>
      <c r="E2049">
        <v>0</v>
      </c>
      <c r="F2049" t="s">
        <v>47</v>
      </c>
      <c r="G2049">
        <v>0</v>
      </c>
      <c r="H2049" t="s">
        <v>47</v>
      </c>
      <c r="I2049">
        <v>0</v>
      </c>
      <c r="J2049" t="s">
        <v>47</v>
      </c>
      <c r="K2049">
        <v>0</v>
      </c>
      <c r="L2049" t="s">
        <v>47</v>
      </c>
      <c r="M2049">
        <v>0</v>
      </c>
      <c r="N2049" t="s">
        <v>47</v>
      </c>
      <c r="O2049">
        <v>0</v>
      </c>
      <c r="P2049" t="s">
        <v>47</v>
      </c>
      <c r="Q2049">
        <v>0</v>
      </c>
      <c r="R2049" t="s">
        <v>47</v>
      </c>
      <c r="S2049">
        <v>1</v>
      </c>
      <c r="T2049" t="s">
        <v>48</v>
      </c>
    </row>
    <row r="2050" spans="1:20" x14ac:dyDescent="0.35">
      <c r="A2050" s="1" t="s">
        <v>4331</v>
      </c>
      <c r="B2050" t="s">
        <v>12</v>
      </c>
      <c r="C2050" t="s">
        <v>47</v>
      </c>
      <c r="D2050" t="s">
        <v>3778</v>
      </c>
      <c r="E2050">
        <v>0</v>
      </c>
      <c r="F2050" t="s">
        <v>47</v>
      </c>
      <c r="G2050">
        <v>0</v>
      </c>
      <c r="H2050" t="s">
        <v>47</v>
      </c>
      <c r="I2050">
        <v>0</v>
      </c>
      <c r="J2050" t="s">
        <v>47</v>
      </c>
      <c r="K2050">
        <v>0</v>
      </c>
      <c r="L2050" t="s">
        <v>47</v>
      </c>
      <c r="M2050">
        <v>0</v>
      </c>
      <c r="N2050" t="s">
        <v>47</v>
      </c>
      <c r="O2050">
        <v>0</v>
      </c>
      <c r="P2050" t="s">
        <v>47</v>
      </c>
      <c r="Q2050">
        <v>1</v>
      </c>
      <c r="R2050" t="s">
        <v>48</v>
      </c>
      <c r="S2050">
        <v>1</v>
      </c>
      <c r="T2050" t="s">
        <v>48</v>
      </c>
    </row>
    <row r="2051" spans="1:20" x14ac:dyDescent="0.35">
      <c r="A2051" s="1" t="s">
        <v>4332</v>
      </c>
      <c r="B2051" t="s">
        <v>12</v>
      </c>
      <c r="C2051" t="s">
        <v>47</v>
      </c>
      <c r="D2051" t="s">
        <v>3779</v>
      </c>
      <c r="E2051">
        <v>0</v>
      </c>
      <c r="F2051" t="s">
        <v>47</v>
      </c>
      <c r="G2051">
        <v>0</v>
      </c>
      <c r="H2051" t="s">
        <v>47</v>
      </c>
      <c r="I2051">
        <v>0</v>
      </c>
      <c r="J2051" t="s">
        <v>47</v>
      </c>
      <c r="K2051">
        <v>0</v>
      </c>
      <c r="L2051" t="s">
        <v>47</v>
      </c>
      <c r="M2051">
        <v>0</v>
      </c>
      <c r="N2051" t="s">
        <v>47</v>
      </c>
      <c r="O2051">
        <v>0</v>
      </c>
      <c r="P2051" t="s">
        <v>47</v>
      </c>
      <c r="Q2051">
        <v>0</v>
      </c>
      <c r="R2051" t="s">
        <v>47</v>
      </c>
      <c r="S2051">
        <v>1</v>
      </c>
      <c r="T2051" t="s">
        <v>48</v>
      </c>
    </row>
    <row r="2052" spans="1:20" x14ac:dyDescent="0.35">
      <c r="A2052" s="1" t="s">
        <v>4333</v>
      </c>
      <c r="B2052" t="s">
        <v>12</v>
      </c>
      <c r="C2052" t="s">
        <v>47</v>
      </c>
      <c r="D2052" t="s">
        <v>3780</v>
      </c>
      <c r="E2052">
        <v>0</v>
      </c>
      <c r="F2052" t="s">
        <v>47</v>
      </c>
      <c r="G2052">
        <v>0</v>
      </c>
      <c r="H2052" t="s">
        <v>47</v>
      </c>
      <c r="I2052">
        <v>0</v>
      </c>
      <c r="J2052" t="s">
        <v>47</v>
      </c>
      <c r="K2052">
        <v>0</v>
      </c>
      <c r="L2052" t="s">
        <v>47</v>
      </c>
      <c r="M2052">
        <v>0</v>
      </c>
      <c r="N2052" t="s">
        <v>47</v>
      </c>
      <c r="O2052">
        <v>0</v>
      </c>
      <c r="P2052" t="s">
        <v>47</v>
      </c>
      <c r="Q2052">
        <v>0</v>
      </c>
      <c r="R2052" t="s">
        <v>47</v>
      </c>
      <c r="S2052">
        <v>1</v>
      </c>
      <c r="T2052" t="s">
        <v>48</v>
      </c>
    </row>
    <row r="2053" spans="1:20" x14ac:dyDescent="0.35">
      <c r="A2053" s="1" t="s">
        <v>4334</v>
      </c>
      <c r="B2053" t="s">
        <v>12</v>
      </c>
      <c r="C2053" t="s">
        <v>47</v>
      </c>
      <c r="D2053" t="s">
        <v>3781</v>
      </c>
      <c r="E2053">
        <v>0</v>
      </c>
      <c r="F2053" t="s">
        <v>47</v>
      </c>
      <c r="G2053">
        <v>0</v>
      </c>
      <c r="H2053" t="s">
        <v>47</v>
      </c>
      <c r="I2053">
        <v>0</v>
      </c>
      <c r="J2053" t="s">
        <v>47</v>
      </c>
      <c r="K2053">
        <v>0</v>
      </c>
      <c r="L2053" t="s">
        <v>47</v>
      </c>
      <c r="M2053">
        <v>0</v>
      </c>
      <c r="N2053" t="s">
        <v>47</v>
      </c>
      <c r="O2053">
        <v>0</v>
      </c>
      <c r="P2053" t="s">
        <v>47</v>
      </c>
      <c r="Q2053">
        <v>0</v>
      </c>
      <c r="R2053" t="s">
        <v>47</v>
      </c>
      <c r="S2053">
        <v>1</v>
      </c>
      <c r="T2053" t="s">
        <v>48</v>
      </c>
    </row>
    <row r="2054" spans="1:20" x14ac:dyDescent="0.35">
      <c r="A2054" s="1" t="s">
        <v>4335</v>
      </c>
      <c r="B2054" t="s">
        <v>12</v>
      </c>
      <c r="C2054" t="s">
        <v>47</v>
      </c>
      <c r="D2054" t="s">
        <v>3782</v>
      </c>
      <c r="E2054">
        <v>0</v>
      </c>
      <c r="F2054" t="s">
        <v>47</v>
      </c>
      <c r="G2054">
        <v>0</v>
      </c>
      <c r="H2054" t="s">
        <v>47</v>
      </c>
      <c r="I2054">
        <v>0</v>
      </c>
      <c r="J2054" t="s">
        <v>47</v>
      </c>
      <c r="K2054">
        <v>0</v>
      </c>
      <c r="L2054" t="s">
        <v>47</v>
      </c>
      <c r="M2054">
        <v>0</v>
      </c>
      <c r="N2054" t="s">
        <v>47</v>
      </c>
      <c r="O2054">
        <v>0</v>
      </c>
      <c r="P2054" t="s">
        <v>47</v>
      </c>
      <c r="Q2054">
        <v>0</v>
      </c>
      <c r="R2054" t="s">
        <v>47</v>
      </c>
      <c r="S2054">
        <v>1</v>
      </c>
      <c r="T2054" t="s">
        <v>48</v>
      </c>
    </row>
    <row r="2055" spans="1:20" x14ac:dyDescent="0.35">
      <c r="A2055" s="1" t="s">
        <v>4336</v>
      </c>
      <c r="B2055" t="s">
        <v>12</v>
      </c>
      <c r="C2055" t="s">
        <v>47</v>
      </c>
      <c r="D2055" t="s">
        <v>3783</v>
      </c>
      <c r="E2055">
        <v>0</v>
      </c>
      <c r="F2055" t="s">
        <v>47</v>
      </c>
      <c r="G2055">
        <v>0</v>
      </c>
      <c r="H2055" t="s">
        <v>47</v>
      </c>
      <c r="I2055">
        <v>0</v>
      </c>
      <c r="J2055" t="s">
        <v>47</v>
      </c>
      <c r="K2055">
        <v>0</v>
      </c>
      <c r="L2055" t="s">
        <v>47</v>
      </c>
      <c r="M2055">
        <v>0</v>
      </c>
      <c r="N2055" t="s">
        <v>47</v>
      </c>
      <c r="O2055">
        <v>0</v>
      </c>
      <c r="P2055" t="s">
        <v>47</v>
      </c>
      <c r="Q2055">
        <v>0</v>
      </c>
      <c r="R2055" t="s">
        <v>47</v>
      </c>
      <c r="S2055">
        <v>1</v>
      </c>
      <c r="T2055" t="s">
        <v>48</v>
      </c>
    </row>
    <row r="2056" spans="1:20" x14ac:dyDescent="0.35">
      <c r="A2056" s="1" t="s">
        <v>4337</v>
      </c>
      <c r="B2056" t="s">
        <v>12</v>
      </c>
      <c r="C2056" t="s">
        <v>47</v>
      </c>
      <c r="D2056" t="s">
        <v>3784</v>
      </c>
      <c r="E2056">
        <v>0</v>
      </c>
      <c r="F2056" t="s">
        <v>47</v>
      </c>
      <c r="G2056">
        <v>0</v>
      </c>
      <c r="H2056" t="s">
        <v>47</v>
      </c>
      <c r="I2056">
        <v>0</v>
      </c>
      <c r="J2056" t="s">
        <v>47</v>
      </c>
      <c r="K2056">
        <v>0</v>
      </c>
      <c r="L2056" t="s">
        <v>47</v>
      </c>
      <c r="M2056">
        <v>0</v>
      </c>
      <c r="N2056" t="s">
        <v>47</v>
      </c>
      <c r="O2056">
        <v>0</v>
      </c>
      <c r="P2056" t="s">
        <v>47</v>
      </c>
      <c r="Q2056">
        <v>0</v>
      </c>
      <c r="R2056" t="s">
        <v>47</v>
      </c>
      <c r="S2056">
        <v>1</v>
      </c>
      <c r="T2056" t="s">
        <v>48</v>
      </c>
    </row>
    <row r="2057" spans="1:20" x14ac:dyDescent="0.35">
      <c r="A2057" s="1" t="s">
        <v>4338</v>
      </c>
      <c r="B2057" t="s">
        <v>12</v>
      </c>
      <c r="C2057" t="s">
        <v>47</v>
      </c>
      <c r="D2057" t="s">
        <v>3785</v>
      </c>
      <c r="E2057">
        <v>0</v>
      </c>
      <c r="F2057" t="s">
        <v>47</v>
      </c>
      <c r="G2057">
        <v>0</v>
      </c>
      <c r="H2057" t="s">
        <v>47</v>
      </c>
      <c r="I2057">
        <v>0</v>
      </c>
      <c r="J2057" t="s">
        <v>47</v>
      </c>
      <c r="K2057">
        <v>0</v>
      </c>
      <c r="L2057" t="s">
        <v>47</v>
      </c>
      <c r="M2057">
        <v>0</v>
      </c>
      <c r="N2057" t="s">
        <v>47</v>
      </c>
      <c r="O2057">
        <v>0</v>
      </c>
      <c r="P2057" t="s">
        <v>47</v>
      </c>
      <c r="Q2057">
        <v>0</v>
      </c>
      <c r="R2057" t="s">
        <v>47</v>
      </c>
      <c r="S2057">
        <v>1</v>
      </c>
      <c r="T2057" t="s">
        <v>48</v>
      </c>
    </row>
    <row r="2058" spans="1:20" x14ac:dyDescent="0.35">
      <c r="A2058" s="1" t="s">
        <v>4339</v>
      </c>
      <c r="B2058" t="s">
        <v>12</v>
      </c>
      <c r="C2058" t="s">
        <v>47</v>
      </c>
      <c r="D2058" t="s">
        <v>3786</v>
      </c>
      <c r="E2058">
        <v>0</v>
      </c>
      <c r="F2058" t="s">
        <v>47</v>
      </c>
      <c r="G2058">
        <v>0</v>
      </c>
      <c r="H2058" t="s">
        <v>47</v>
      </c>
      <c r="I2058">
        <v>0</v>
      </c>
      <c r="J2058" t="s">
        <v>47</v>
      </c>
      <c r="K2058">
        <v>0</v>
      </c>
      <c r="L2058" t="s">
        <v>47</v>
      </c>
      <c r="M2058">
        <v>0</v>
      </c>
      <c r="N2058" t="s">
        <v>47</v>
      </c>
      <c r="O2058">
        <v>0</v>
      </c>
      <c r="P2058" t="s">
        <v>47</v>
      </c>
      <c r="Q2058">
        <v>0</v>
      </c>
      <c r="R2058" t="s">
        <v>47</v>
      </c>
      <c r="S2058">
        <v>1</v>
      </c>
      <c r="T2058" t="s">
        <v>48</v>
      </c>
    </row>
    <row r="2059" spans="1:20" x14ac:dyDescent="0.35">
      <c r="A2059" s="1" t="s">
        <v>4340</v>
      </c>
      <c r="B2059" t="s">
        <v>12</v>
      </c>
      <c r="C2059" t="s">
        <v>47</v>
      </c>
      <c r="D2059" t="s">
        <v>3787</v>
      </c>
      <c r="E2059">
        <v>0</v>
      </c>
      <c r="F2059" t="s">
        <v>47</v>
      </c>
      <c r="G2059">
        <v>0</v>
      </c>
      <c r="H2059" t="s">
        <v>47</v>
      </c>
      <c r="I2059">
        <v>0</v>
      </c>
      <c r="J2059" t="s">
        <v>47</v>
      </c>
      <c r="K2059">
        <v>0</v>
      </c>
      <c r="L2059" t="s">
        <v>47</v>
      </c>
      <c r="M2059">
        <v>0</v>
      </c>
      <c r="N2059" t="s">
        <v>47</v>
      </c>
      <c r="O2059">
        <v>0</v>
      </c>
      <c r="P2059" t="s">
        <v>47</v>
      </c>
      <c r="Q2059">
        <v>0</v>
      </c>
      <c r="R2059" t="s">
        <v>47</v>
      </c>
      <c r="S2059">
        <v>1</v>
      </c>
      <c r="T2059" t="s">
        <v>48</v>
      </c>
    </row>
    <row r="2060" spans="1:20" x14ac:dyDescent="0.35">
      <c r="A2060" s="1" t="s">
        <v>4341</v>
      </c>
      <c r="B2060" t="s">
        <v>12</v>
      </c>
      <c r="C2060" t="s">
        <v>47</v>
      </c>
      <c r="D2060" t="s">
        <v>3788</v>
      </c>
      <c r="E2060">
        <v>0</v>
      </c>
      <c r="F2060" t="s">
        <v>47</v>
      </c>
      <c r="G2060">
        <v>0</v>
      </c>
      <c r="H2060" t="s">
        <v>47</v>
      </c>
      <c r="I2060">
        <v>0</v>
      </c>
      <c r="J2060" t="s">
        <v>47</v>
      </c>
      <c r="K2060">
        <v>0</v>
      </c>
      <c r="L2060" t="s">
        <v>47</v>
      </c>
      <c r="M2060">
        <v>0</v>
      </c>
      <c r="N2060" t="s">
        <v>47</v>
      </c>
      <c r="O2060">
        <v>0</v>
      </c>
      <c r="P2060" t="s">
        <v>47</v>
      </c>
      <c r="Q2060">
        <v>0</v>
      </c>
      <c r="R2060" t="s">
        <v>47</v>
      </c>
      <c r="S2060">
        <v>1</v>
      </c>
      <c r="T2060" t="s">
        <v>48</v>
      </c>
    </row>
    <row r="2061" spans="1:20" x14ac:dyDescent="0.35">
      <c r="A2061" s="1" t="s">
        <v>4342</v>
      </c>
      <c r="B2061" t="s">
        <v>12</v>
      </c>
      <c r="C2061" t="s">
        <v>47</v>
      </c>
      <c r="D2061" t="s">
        <v>3789</v>
      </c>
      <c r="E2061">
        <v>0</v>
      </c>
      <c r="F2061" t="s">
        <v>47</v>
      </c>
      <c r="G2061">
        <v>0</v>
      </c>
      <c r="H2061" t="s">
        <v>47</v>
      </c>
      <c r="I2061">
        <v>0</v>
      </c>
      <c r="J2061" t="s">
        <v>47</v>
      </c>
      <c r="K2061">
        <v>0</v>
      </c>
      <c r="L2061" t="s">
        <v>47</v>
      </c>
      <c r="M2061">
        <v>0</v>
      </c>
      <c r="N2061" t="s">
        <v>47</v>
      </c>
      <c r="O2061">
        <v>0</v>
      </c>
      <c r="P2061" t="s">
        <v>47</v>
      </c>
      <c r="Q2061">
        <v>0</v>
      </c>
      <c r="R2061" t="s">
        <v>47</v>
      </c>
      <c r="S2061">
        <v>1</v>
      </c>
      <c r="T2061" t="s">
        <v>48</v>
      </c>
    </row>
    <row r="2062" spans="1:20" x14ac:dyDescent="0.35">
      <c r="A2062" s="1" t="s">
        <v>4343</v>
      </c>
      <c r="B2062" t="s">
        <v>12</v>
      </c>
      <c r="C2062" t="s">
        <v>47</v>
      </c>
      <c r="D2062" t="s">
        <v>3790</v>
      </c>
      <c r="E2062">
        <v>0</v>
      </c>
      <c r="F2062" t="s">
        <v>47</v>
      </c>
      <c r="G2062">
        <v>0</v>
      </c>
      <c r="H2062" t="s">
        <v>47</v>
      </c>
      <c r="I2062">
        <v>0</v>
      </c>
      <c r="J2062" t="s">
        <v>47</v>
      </c>
      <c r="K2062">
        <v>0</v>
      </c>
      <c r="L2062" t="s">
        <v>47</v>
      </c>
      <c r="M2062">
        <v>0</v>
      </c>
      <c r="N2062" t="s">
        <v>47</v>
      </c>
      <c r="O2062">
        <v>0</v>
      </c>
      <c r="P2062" t="s">
        <v>47</v>
      </c>
      <c r="Q2062">
        <v>0</v>
      </c>
      <c r="R2062" t="s">
        <v>47</v>
      </c>
      <c r="S2062">
        <v>1</v>
      </c>
      <c r="T2062" t="s">
        <v>48</v>
      </c>
    </row>
    <row r="2063" spans="1:20" x14ac:dyDescent="0.35">
      <c r="A2063" s="1" t="s">
        <v>4344</v>
      </c>
      <c r="B2063" t="s">
        <v>12</v>
      </c>
      <c r="C2063" t="s">
        <v>47</v>
      </c>
      <c r="D2063" t="s">
        <v>3791</v>
      </c>
      <c r="E2063">
        <v>0</v>
      </c>
      <c r="F2063" t="s">
        <v>47</v>
      </c>
      <c r="G2063">
        <v>0</v>
      </c>
      <c r="H2063" t="s">
        <v>47</v>
      </c>
      <c r="I2063">
        <v>0</v>
      </c>
      <c r="J2063" t="s">
        <v>47</v>
      </c>
      <c r="K2063">
        <v>0</v>
      </c>
      <c r="L2063" t="s">
        <v>47</v>
      </c>
      <c r="M2063">
        <v>0</v>
      </c>
      <c r="N2063" t="s">
        <v>47</v>
      </c>
      <c r="O2063">
        <v>0</v>
      </c>
      <c r="P2063" t="s">
        <v>47</v>
      </c>
      <c r="Q2063">
        <v>0</v>
      </c>
      <c r="R2063" t="s">
        <v>47</v>
      </c>
      <c r="S2063">
        <v>1</v>
      </c>
      <c r="T2063" t="s">
        <v>48</v>
      </c>
    </row>
    <row r="2064" spans="1:20" x14ac:dyDescent="0.35">
      <c r="A2064" s="1" t="s">
        <v>4345</v>
      </c>
      <c r="B2064" t="s">
        <v>12</v>
      </c>
      <c r="C2064" t="s">
        <v>47</v>
      </c>
      <c r="D2064" t="s">
        <v>3792</v>
      </c>
      <c r="E2064">
        <v>0</v>
      </c>
      <c r="F2064" t="s">
        <v>47</v>
      </c>
      <c r="G2064">
        <v>0</v>
      </c>
      <c r="H2064" t="s">
        <v>47</v>
      </c>
      <c r="I2064">
        <v>0</v>
      </c>
      <c r="J2064" t="s">
        <v>47</v>
      </c>
      <c r="K2064">
        <v>0</v>
      </c>
      <c r="L2064" t="s">
        <v>47</v>
      </c>
      <c r="M2064">
        <v>0</v>
      </c>
      <c r="N2064" t="s">
        <v>47</v>
      </c>
      <c r="O2064">
        <v>0</v>
      </c>
      <c r="P2064" t="s">
        <v>47</v>
      </c>
      <c r="Q2064">
        <v>1</v>
      </c>
      <c r="R2064" t="s">
        <v>48</v>
      </c>
      <c r="S2064">
        <v>1</v>
      </c>
      <c r="T2064" t="s">
        <v>48</v>
      </c>
    </row>
    <row r="2065" spans="1:30" x14ac:dyDescent="0.35">
      <c r="A2065" s="1" t="s">
        <v>4346</v>
      </c>
      <c r="B2065" t="s">
        <v>12</v>
      </c>
      <c r="C2065" t="s">
        <v>47</v>
      </c>
      <c r="D2065" t="s">
        <v>3793</v>
      </c>
      <c r="E2065">
        <v>0</v>
      </c>
      <c r="F2065" t="s">
        <v>47</v>
      </c>
      <c r="G2065">
        <v>0</v>
      </c>
      <c r="H2065" t="s">
        <v>47</v>
      </c>
      <c r="I2065">
        <v>0</v>
      </c>
      <c r="J2065" t="s">
        <v>47</v>
      </c>
      <c r="K2065">
        <v>0</v>
      </c>
      <c r="L2065" t="s">
        <v>47</v>
      </c>
      <c r="M2065">
        <v>0</v>
      </c>
      <c r="N2065" t="s">
        <v>47</v>
      </c>
      <c r="O2065">
        <v>0</v>
      </c>
      <c r="P2065" t="s">
        <v>47</v>
      </c>
      <c r="Q2065">
        <v>0</v>
      </c>
      <c r="R2065" t="s">
        <v>47</v>
      </c>
      <c r="S2065">
        <v>1</v>
      </c>
      <c r="T2065" t="s">
        <v>48</v>
      </c>
    </row>
    <row r="2066" spans="1:30" x14ac:dyDescent="0.35">
      <c r="A2066" s="1" t="s">
        <v>4347</v>
      </c>
      <c r="B2066" t="s">
        <v>12</v>
      </c>
      <c r="C2066" t="s">
        <v>47</v>
      </c>
      <c r="D2066" t="s">
        <v>3794</v>
      </c>
      <c r="E2066">
        <v>0</v>
      </c>
      <c r="F2066" t="s">
        <v>47</v>
      </c>
      <c r="G2066">
        <v>0</v>
      </c>
      <c r="H2066" t="s">
        <v>47</v>
      </c>
      <c r="I2066">
        <v>0</v>
      </c>
      <c r="J2066" t="s">
        <v>47</v>
      </c>
      <c r="K2066">
        <v>0</v>
      </c>
      <c r="L2066" t="s">
        <v>47</v>
      </c>
      <c r="M2066">
        <v>0</v>
      </c>
      <c r="N2066" t="s">
        <v>47</v>
      </c>
      <c r="O2066">
        <v>0</v>
      </c>
      <c r="P2066" t="s">
        <v>47</v>
      </c>
      <c r="Q2066">
        <v>0</v>
      </c>
      <c r="S2066">
        <v>0</v>
      </c>
      <c r="T2066" t="s">
        <v>47</v>
      </c>
      <c r="U2066">
        <v>0</v>
      </c>
      <c r="V2066" t="s">
        <v>47</v>
      </c>
      <c r="W2066">
        <v>0</v>
      </c>
      <c r="X2066" t="s">
        <v>47</v>
      </c>
      <c r="Y2066">
        <v>0</v>
      </c>
      <c r="Z2066" t="s">
        <v>47</v>
      </c>
      <c r="AA2066">
        <v>0</v>
      </c>
      <c r="AB2066" t="s">
        <v>47</v>
      </c>
      <c r="AC2066">
        <v>1</v>
      </c>
      <c r="AD2066" t="s">
        <v>48</v>
      </c>
    </row>
    <row r="2067" spans="1:30" x14ac:dyDescent="0.35">
      <c r="A2067" s="1" t="s">
        <v>4348</v>
      </c>
      <c r="B2067" t="s">
        <v>12</v>
      </c>
      <c r="C2067" t="s">
        <v>47</v>
      </c>
      <c r="D2067" t="s">
        <v>3795</v>
      </c>
      <c r="E2067">
        <v>0</v>
      </c>
      <c r="F2067" t="s">
        <v>47</v>
      </c>
      <c r="G2067">
        <v>0</v>
      </c>
      <c r="H2067" t="s">
        <v>47</v>
      </c>
      <c r="I2067">
        <v>0</v>
      </c>
      <c r="J2067" t="s">
        <v>47</v>
      </c>
      <c r="K2067">
        <v>0</v>
      </c>
      <c r="L2067" t="s">
        <v>47</v>
      </c>
      <c r="M2067">
        <v>0</v>
      </c>
      <c r="N2067" t="s">
        <v>47</v>
      </c>
      <c r="O2067">
        <v>0</v>
      </c>
      <c r="P2067" t="s">
        <v>47</v>
      </c>
      <c r="Q2067">
        <v>0</v>
      </c>
      <c r="R2067" t="s">
        <v>47</v>
      </c>
      <c r="S2067">
        <v>1</v>
      </c>
      <c r="T2067" t="s">
        <v>48</v>
      </c>
    </row>
    <row r="2068" spans="1:30" x14ac:dyDescent="0.35">
      <c r="A2068" s="1" t="s">
        <v>4349</v>
      </c>
      <c r="B2068" t="s">
        <v>12</v>
      </c>
      <c r="C2068" t="s">
        <v>47</v>
      </c>
      <c r="D2068" t="s">
        <v>3796</v>
      </c>
      <c r="E2068">
        <v>0</v>
      </c>
      <c r="F2068" t="s">
        <v>47</v>
      </c>
      <c r="G2068">
        <v>0</v>
      </c>
      <c r="H2068" t="s">
        <v>47</v>
      </c>
      <c r="I2068">
        <v>0</v>
      </c>
      <c r="J2068" t="s">
        <v>47</v>
      </c>
      <c r="K2068">
        <v>0</v>
      </c>
      <c r="L2068" t="s">
        <v>47</v>
      </c>
      <c r="M2068">
        <v>0</v>
      </c>
      <c r="N2068" t="s">
        <v>47</v>
      </c>
      <c r="O2068">
        <v>0</v>
      </c>
      <c r="P2068" t="s">
        <v>47</v>
      </c>
      <c r="Q2068">
        <v>0</v>
      </c>
      <c r="R2068" t="s">
        <v>47</v>
      </c>
      <c r="S2068">
        <v>1</v>
      </c>
      <c r="T2068" t="s">
        <v>48</v>
      </c>
    </row>
    <row r="2069" spans="1:30" x14ac:dyDescent="0.35">
      <c r="A2069" s="1" t="s">
        <v>4350</v>
      </c>
      <c r="B2069" t="s">
        <v>12</v>
      </c>
      <c r="C2069" t="s">
        <v>47</v>
      </c>
      <c r="D2069" t="s">
        <v>3797</v>
      </c>
      <c r="E2069">
        <v>0</v>
      </c>
      <c r="F2069" t="s">
        <v>47</v>
      </c>
      <c r="G2069">
        <v>0</v>
      </c>
      <c r="H2069" t="s">
        <v>47</v>
      </c>
      <c r="I2069">
        <v>0</v>
      </c>
      <c r="J2069" t="s">
        <v>47</v>
      </c>
      <c r="K2069">
        <v>0</v>
      </c>
      <c r="L2069" t="s">
        <v>47</v>
      </c>
      <c r="M2069">
        <v>0</v>
      </c>
      <c r="N2069" t="s">
        <v>47</v>
      </c>
      <c r="O2069">
        <v>0</v>
      </c>
      <c r="P2069" t="s">
        <v>47</v>
      </c>
      <c r="Q2069">
        <v>0</v>
      </c>
      <c r="R2069" t="s">
        <v>47</v>
      </c>
      <c r="S2069">
        <v>1</v>
      </c>
      <c r="T2069" t="s">
        <v>48</v>
      </c>
    </row>
    <row r="2070" spans="1:30" x14ac:dyDescent="0.35">
      <c r="A2070" s="1" t="s">
        <v>4351</v>
      </c>
      <c r="B2070" t="s">
        <v>12</v>
      </c>
      <c r="C2070" t="s">
        <v>47</v>
      </c>
      <c r="D2070" t="s">
        <v>3798</v>
      </c>
      <c r="E2070">
        <v>0</v>
      </c>
      <c r="F2070" t="s">
        <v>47</v>
      </c>
      <c r="G2070">
        <v>0</v>
      </c>
      <c r="H2070" t="s">
        <v>47</v>
      </c>
      <c r="I2070">
        <v>0</v>
      </c>
      <c r="J2070" t="s">
        <v>47</v>
      </c>
      <c r="K2070">
        <v>0</v>
      </c>
      <c r="L2070" t="s">
        <v>47</v>
      </c>
      <c r="M2070">
        <v>0</v>
      </c>
      <c r="N2070" t="s">
        <v>47</v>
      </c>
      <c r="O2070">
        <v>0</v>
      </c>
      <c r="P2070" t="s">
        <v>47</v>
      </c>
      <c r="Q2070">
        <v>0</v>
      </c>
      <c r="R2070" t="s">
        <v>47</v>
      </c>
      <c r="S2070">
        <v>1</v>
      </c>
      <c r="T2070" t="s">
        <v>48</v>
      </c>
    </row>
    <row r="2071" spans="1:30" x14ac:dyDescent="0.35">
      <c r="A2071" s="1" t="s">
        <v>4352</v>
      </c>
      <c r="B2071" t="s">
        <v>12</v>
      </c>
      <c r="C2071" t="s">
        <v>47</v>
      </c>
      <c r="D2071" t="s">
        <v>3799</v>
      </c>
      <c r="E2071">
        <v>0</v>
      </c>
      <c r="F2071" t="s">
        <v>47</v>
      </c>
      <c r="G2071">
        <v>0</v>
      </c>
      <c r="H2071" t="s">
        <v>47</v>
      </c>
      <c r="I2071">
        <v>0</v>
      </c>
      <c r="J2071" t="s">
        <v>47</v>
      </c>
      <c r="K2071">
        <v>0</v>
      </c>
      <c r="L2071" t="s">
        <v>47</v>
      </c>
      <c r="M2071">
        <v>0</v>
      </c>
      <c r="N2071" t="s">
        <v>47</v>
      </c>
      <c r="O2071">
        <v>0</v>
      </c>
      <c r="P2071" t="s">
        <v>47</v>
      </c>
      <c r="Q2071">
        <v>0</v>
      </c>
      <c r="R2071" t="s">
        <v>47</v>
      </c>
      <c r="S2071">
        <v>1</v>
      </c>
      <c r="T2071" t="s">
        <v>48</v>
      </c>
    </row>
    <row r="2072" spans="1:30" x14ac:dyDescent="0.35">
      <c r="A2072" s="1" t="s">
        <v>4353</v>
      </c>
      <c r="B2072" t="s">
        <v>12</v>
      </c>
      <c r="C2072" t="s">
        <v>47</v>
      </c>
      <c r="D2072" t="s">
        <v>3800</v>
      </c>
      <c r="E2072">
        <v>0</v>
      </c>
      <c r="F2072" t="s">
        <v>47</v>
      </c>
      <c r="G2072">
        <v>0</v>
      </c>
      <c r="H2072" t="s">
        <v>47</v>
      </c>
      <c r="I2072">
        <v>0</v>
      </c>
      <c r="J2072" t="s">
        <v>47</v>
      </c>
      <c r="K2072">
        <v>0</v>
      </c>
      <c r="L2072" t="s">
        <v>47</v>
      </c>
      <c r="M2072">
        <v>0</v>
      </c>
      <c r="N2072" t="s">
        <v>47</v>
      </c>
      <c r="O2072">
        <v>0</v>
      </c>
      <c r="P2072" t="s">
        <v>47</v>
      </c>
      <c r="Q2072">
        <v>0</v>
      </c>
      <c r="R2072" t="s">
        <v>47</v>
      </c>
      <c r="S2072">
        <v>1</v>
      </c>
      <c r="T2072" t="s">
        <v>48</v>
      </c>
    </row>
    <row r="2073" spans="1:30" x14ac:dyDescent="0.35">
      <c r="A2073" s="1" t="s">
        <v>4354</v>
      </c>
      <c r="B2073" t="s">
        <v>12</v>
      </c>
      <c r="C2073" t="s">
        <v>47</v>
      </c>
      <c r="D2073" t="s">
        <v>3801</v>
      </c>
      <c r="E2073">
        <v>0</v>
      </c>
      <c r="F2073" t="s">
        <v>47</v>
      </c>
      <c r="G2073">
        <v>0</v>
      </c>
      <c r="H2073" t="s">
        <v>47</v>
      </c>
      <c r="I2073">
        <v>0</v>
      </c>
      <c r="J2073" t="s">
        <v>47</v>
      </c>
      <c r="K2073">
        <v>0</v>
      </c>
      <c r="L2073" t="s">
        <v>47</v>
      </c>
      <c r="M2073">
        <v>0</v>
      </c>
      <c r="N2073" t="s">
        <v>47</v>
      </c>
      <c r="O2073">
        <v>0</v>
      </c>
      <c r="P2073" t="s">
        <v>47</v>
      </c>
      <c r="Q2073">
        <v>0</v>
      </c>
      <c r="R2073" t="s">
        <v>47</v>
      </c>
      <c r="S2073">
        <v>1</v>
      </c>
      <c r="T2073" t="s">
        <v>48</v>
      </c>
    </row>
    <row r="2074" spans="1:30" x14ac:dyDescent="0.35">
      <c r="A2074" s="1" t="s">
        <v>4355</v>
      </c>
      <c r="B2074" t="s">
        <v>12</v>
      </c>
      <c r="C2074" t="s">
        <v>47</v>
      </c>
      <c r="D2074" t="s">
        <v>3802</v>
      </c>
      <c r="E2074">
        <v>0</v>
      </c>
      <c r="F2074" t="s">
        <v>47</v>
      </c>
      <c r="G2074">
        <v>0</v>
      </c>
      <c r="H2074" t="s">
        <v>47</v>
      </c>
      <c r="I2074">
        <v>0</v>
      </c>
      <c r="J2074" t="s">
        <v>47</v>
      </c>
      <c r="K2074">
        <v>0</v>
      </c>
      <c r="L2074" t="s">
        <v>47</v>
      </c>
      <c r="M2074">
        <v>0</v>
      </c>
      <c r="N2074" t="s">
        <v>47</v>
      </c>
      <c r="O2074">
        <v>0</v>
      </c>
      <c r="P2074" t="s">
        <v>47</v>
      </c>
      <c r="Q2074">
        <v>0</v>
      </c>
      <c r="R2074" t="s">
        <v>47</v>
      </c>
      <c r="S2074">
        <v>1</v>
      </c>
      <c r="T2074" t="s">
        <v>48</v>
      </c>
    </row>
    <row r="2075" spans="1:30" x14ac:dyDescent="0.35">
      <c r="A2075" s="1" t="s">
        <v>4356</v>
      </c>
      <c r="B2075" t="s">
        <v>12</v>
      </c>
      <c r="C2075" t="s">
        <v>47</v>
      </c>
      <c r="D2075" t="s">
        <v>3803</v>
      </c>
      <c r="E2075">
        <v>0</v>
      </c>
      <c r="F2075" t="s">
        <v>47</v>
      </c>
      <c r="G2075">
        <v>0</v>
      </c>
      <c r="H2075" t="s">
        <v>47</v>
      </c>
      <c r="I2075">
        <v>0</v>
      </c>
      <c r="J2075" t="s">
        <v>47</v>
      </c>
      <c r="K2075">
        <v>0</v>
      </c>
      <c r="L2075" t="s">
        <v>47</v>
      </c>
      <c r="M2075">
        <v>0</v>
      </c>
      <c r="N2075" t="s">
        <v>47</v>
      </c>
      <c r="O2075">
        <v>0</v>
      </c>
      <c r="P2075" t="s">
        <v>47</v>
      </c>
      <c r="Q2075">
        <v>0</v>
      </c>
      <c r="R2075" t="s">
        <v>47</v>
      </c>
      <c r="S2075">
        <v>1</v>
      </c>
      <c r="T2075" t="s">
        <v>48</v>
      </c>
    </row>
    <row r="2076" spans="1:30" x14ac:dyDescent="0.35">
      <c r="A2076" s="1" t="s">
        <v>4357</v>
      </c>
      <c r="B2076" t="s">
        <v>14</v>
      </c>
      <c r="C2076" t="s">
        <v>47</v>
      </c>
      <c r="D2076" t="s">
        <v>3804</v>
      </c>
      <c r="E2076">
        <v>0</v>
      </c>
      <c r="F2076" t="s">
        <v>47</v>
      </c>
      <c r="G2076">
        <v>0</v>
      </c>
      <c r="H2076" t="s">
        <v>47</v>
      </c>
      <c r="I2076">
        <v>0</v>
      </c>
      <c r="J2076" t="s">
        <v>47</v>
      </c>
      <c r="K2076">
        <v>0</v>
      </c>
      <c r="L2076" t="s">
        <v>47</v>
      </c>
      <c r="M2076">
        <v>0</v>
      </c>
      <c r="N2076" t="s">
        <v>47</v>
      </c>
      <c r="O2076">
        <v>0</v>
      </c>
      <c r="P2076" t="s">
        <v>47</v>
      </c>
      <c r="Q2076">
        <v>0</v>
      </c>
      <c r="R2076" t="s">
        <v>47</v>
      </c>
      <c r="S2076">
        <v>1</v>
      </c>
      <c r="T2076" t="s">
        <v>48</v>
      </c>
    </row>
    <row r="2077" spans="1:30" x14ac:dyDescent="0.35">
      <c r="A2077" s="1" t="s">
        <v>4358</v>
      </c>
      <c r="B2077" t="s">
        <v>14</v>
      </c>
      <c r="C2077" t="s">
        <v>47</v>
      </c>
      <c r="D2077" t="s">
        <v>3805</v>
      </c>
      <c r="E2077">
        <v>0</v>
      </c>
      <c r="F2077" t="s">
        <v>47</v>
      </c>
      <c r="G2077">
        <v>0</v>
      </c>
      <c r="H2077" t="s">
        <v>47</v>
      </c>
      <c r="I2077">
        <v>0</v>
      </c>
      <c r="J2077" t="s">
        <v>47</v>
      </c>
      <c r="K2077">
        <v>0</v>
      </c>
      <c r="L2077" t="s">
        <v>47</v>
      </c>
      <c r="M2077">
        <v>0</v>
      </c>
      <c r="N2077" t="s">
        <v>47</v>
      </c>
      <c r="O2077">
        <v>0</v>
      </c>
      <c r="P2077" t="s">
        <v>47</v>
      </c>
      <c r="Q2077">
        <v>0</v>
      </c>
      <c r="R2077" t="s">
        <v>47</v>
      </c>
      <c r="S2077">
        <v>1</v>
      </c>
      <c r="T2077" t="s">
        <v>48</v>
      </c>
    </row>
    <row r="2078" spans="1:30" x14ac:dyDescent="0.35">
      <c r="A2078" s="1" t="s">
        <v>4359</v>
      </c>
      <c r="B2078" t="s">
        <v>14</v>
      </c>
      <c r="C2078" t="s">
        <v>47</v>
      </c>
      <c r="D2078" t="s">
        <v>3806</v>
      </c>
      <c r="E2078">
        <v>0</v>
      </c>
      <c r="F2078" t="s">
        <v>47</v>
      </c>
      <c r="G2078">
        <v>0</v>
      </c>
      <c r="H2078" t="s">
        <v>47</v>
      </c>
      <c r="I2078">
        <v>0</v>
      </c>
      <c r="J2078" t="s">
        <v>47</v>
      </c>
      <c r="K2078">
        <v>0</v>
      </c>
      <c r="L2078" t="s">
        <v>47</v>
      </c>
      <c r="M2078">
        <v>0</v>
      </c>
      <c r="N2078" t="s">
        <v>47</v>
      </c>
      <c r="O2078">
        <v>0</v>
      </c>
      <c r="P2078" t="s">
        <v>47</v>
      </c>
      <c r="Q2078">
        <v>0</v>
      </c>
      <c r="R2078" t="s">
        <v>47</v>
      </c>
      <c r="S2078">
        <v>1</v>
      </c>
      <c r="T2078" t="s">
        <v>48</v>
      </c>
    </row>
    <row r="2079" spans="1:30" x14ac:dyDescent="0.35">
      <c r="A2079" s="1" t="s">
        <v>4360</v>
      </c>
      <c r="B2079" t="s">
        <v>14</v>
      </c>
      <c r="C2079" t="s">
        <v>47</v>
      </c>
      <c r="D2079" t="s">
        <v>3807</v>
      </c>
      <c r="E2079">
        <v>0</v>
      </c>
      <c r="F2079" t="s">
        <v>47</v>
      </c>
      <c r="G2079">
        <v>0</v>
      </c>
      <c r="H2079" t="s">
        <v>47</v>
      </c>
      <c r="I2079">
        <v>0</v>
      </c>
      <c r="J2079" t="s">
        <v>47</v>
      </c>
      <c r="K2079">
        <v>0</v>
      </c>
      <c r="L2079" t="s">
        <v>47</v>
      </c>
      <c r="M2079">
        <v>0</v>
      </c>
      <c r="N2079" t="s">
        <v>47</v>
      </c>
      <c r="O2079">
        <v>0</v>
      </c>
      <c r="P2079" t="s">
        <v>47</v>
      </c>
      <c r="Q2079">
        <v>0</v>
      </c>
      <c r="R2079" t="s">
        <v>47</v>
      </c>
      <c r="S2079">
        <v>1</v>
      </c>
      <c r="T2079" t="s">
        <v>48</v>
      </c>
    </row>
    <row r="2080" spans="1:30" x14ac:dyDescent="0.35">
      <c r="A2080" s="1" t="s">
        <v>4361</v>
      </c>
      <c r="B2080" t="s">
        <v>14</v>
      </c>
      <c r="C2080" t="s">
        <v>47</v>
      </c>
      <c r="D2080" t="s">
        <v>3808</v>
      </c>
      <c r="E2080">
        <v>0</v>
      </c>
      <c r="F2080" t="s">
        <v>47</v>
      </c>
      <c r="G2080">
        <v>0</v>
      </c>
      <c r="H2080" t="s">
        <v>47</v>
      </c>
      <c r="I2080">
        <v>0</v>
      </c>
      <c r="J2080" t="s">
        <v>47</v>
      </c>
      <c r="K2080">
        <v>0</v>
      </c>
      <c r="L2080" t="s">
        <v>47</v>
      </c>
      <c r="M2080">
        <v>0</v>
      </c>
      <c r="N2080" t="s">
        <v>47</v>
      </c>
      <c r="O2080">
        <v>0</v>
      </c>
      <c r="P2080" t="s">
        <v>47</v>
      </c>
      <c r="Q2080">
        <v>0</v>
      </c>
      <c r="R2080" t="s">
        <v>47</v>
      </c>
      <c r="S2080">
        <v>1</v>
      </c>
      <c r="T2080" t="s">
        <v>48</v>
      </c>
    </row>
    <row r="2081" spans="1:20" x14ac:dyDescent="0.35">
      <c r="A2081" s="1" t="s">
        <v>4362</v>
      </c>
      <c r="B2081" t="s">
        <v>14</v>
      </c>
      <c r="C2081" t="s">
        <v>47</v>
      </c>
      <c r="D2081" t="s">
        <v>3809</v>
      </c>
      <c r="E2081">
        <v>0</v>
      </c>
      <c r="F2081" t="s">
        <v>47</v>
      </c>
      <c r="G2081">
        <v>0</v>
      </c>
      <c r="H2081" t="s">
        <v>47</v>
      </c>
      <c r="I2081">
        <v>0</v>
      </c>
      <c r="J2081" t="s">
        <v>47</v>
      </c>
      <c r="K2081">
        <v>0</v>
      </c>
      <c r="L2081" t="s">
        <v>47</v>
      </c>
      <c r="M2081">
        <v>0</v>
      </c>
      <c r="N2081" t="s">
        <v>47</v>
      </c>
      <c r="O2081">
        <v>0</v>
      </c>
      <c r="P2081" t="s">
        <v>47</v>
      </c>
      <c r="Q2081">
        <v>0</v>
      </c>
      <c r="R2081" t="s">
        <v>47</v>
      </c>
      <c r="S2081">
        <v>1</v>
      </c>
      <c r="T2081" t="s">
        <v>48</v>
      </c>
    </row>
    <row r="2082" spans="1:20" x14ac:dyDescent="0.35">
      <c r="A2082" s="1" t="s">
        <v>4363</v>
      </c>
      <c r="B2082" t="s">
        <v>14</v>
      </c>
      <c r="C2082" t="s">
        <v>47</v>
      </c>
      <c r="D2082" t="s">
        <v>3810</v>
      </c>
      <c r="E2082">
        <v>0</v>
      </c>
      <c r="F2082" t="s">
        <v>47</v>
      </c>
      <c r="G2082">
        <v>0</v>
      </c>
      <c r="H2082" t="s">
        <v>47</v>
      </c>
      <c r="I2082">
        <v>0</v>
      </c>
      <c r="J2082" t="s">
        <v>47</v>
      </c>
      <c r="K2082">
        <v>0</v>
      </c>
      <c r="L2082" t="s">
        <v>47</v>
      </c>
      <c r="M2082">
        <v>0</v>
      </c>
      <c r="N2082" t="s">
        <v>47</v>
      </c>
      <c r="O2082">
        <v>0</v>
      </c>
      <c r="P2082" t="s">
        <v>47</v>
      </c>
      <c r="Q2082">
        <v>0</v>
      </c>
      <c r="R2082" t="s">
        <v>47</v>
      </c>
      <c r="S2082">
        <v>1</v>
      </c>
      <c r="T2082" t="s">
        <v>48</v>
      </c>
    </row>
    <row r="2083" spans="1:20" x14ac:dyDescent="0.35">
      <c r="A2083" s="1" t="s">
        <v>4364</v>
      </c>
      <c r="B2083" t="s">
        <v>14</v>
      </c>
      <c r="C2083" t="s">
        <v>47</v>
      </c>
      <c r="D2083" t="s">
        <v>3811</v>
      </c>
      <c r="E2083">
        <v>0</v>
      </c>
      <c r="F2083" t="s">
        <v>47</v>
      </c>
      <c r="G2083">
        <v>0</v>
      </c>
      <c r="H2083" t="s">
        <v>47</v>
      </c>
      <c r="I2083">
        <v>0</v>
      </c>
      <c r="J2083" t="s">
        <v>47</v>
      </c>
      <c r="K2083">
        <v>0</v>
      </c>
      <c r="L2083" t="s">
        <v>47</v>
      </c>
      <c r="M2083">
        <v>0</v>
      </c>
      <c r="N2083" t="s">
        <v>47</v>
      </c>
      <c r="O2083">
        <v>0</v>
      </c>
      <c r="P2083" t="s">
        <v>47</v>
      </c>
      <c r="Q2083">
        <v>0</v>
      </c>
      <c r="R2083" t="s">
        <v>47</v>
      </c>
      <c r="S2083">
        <v>1</v>
      </c>
      <c r="T2083" t="s">
        <v>48</v>
      </c>
    </row>
    <row r="2084" spans="1:20" x14ac:dyDescent="0.35">
      <c r="A2084" s="1" t="s">
        <v>4365</v>
      </c>
      <c r="B2084" t="s">
        <v>14</v>
      </c>
      <c r="C2084" t="s">
        <v>47</v>
      </c>
      <c r="D2084" t="s">
        <v>3812</v>
      </c>
      <c r="E2084">
        <v>0</v>
      </c>
      <c r="F2084" t="s">
        <v>47</v>
      </c>
      <c r="G2084">
        <v>0</v>
      </c>
      <c r="H2084" t="s">
        <v>47</v>
      </c>
      <c r="I2084">
        <v>0</v>
      </c>
      <c r="J2084" t="s">
        <v>47</v>
      </c>
      <c r="K2084">
        <v>0</v>
      </c>
      <c r="L2084" t="s">
        <v>47</v>
      </c>
      <c r="M2084">
        <v>0</v>
      </c>
      <c r="N2084" t="s">
        <v>47</v>
      </c>
      <c r="O2084">
        <v>0</v>
      </c>
      <c r="P2084" t="s">
        <v>47</v>
      </c>
      <c r="Q2084">
        <v>0</v>
      </c>
      <c r="R2084" t="s">
        <v>47</v>
      </c>
      <c r="S2084">
        <v>1</v>
      </c>
      <c r="T2084" t="s">
        <v>48</v>
      </c>
    </row>
    <row r="2085" spans="1:20" x14ac:dyDescent="0.35">
      <c r="A2085" s="1" t="s">
        <v>4366</v>
      </c>
      <c r="B2085" t="s">
        <v>14</v>
      </c>
      <c r="C2085" t="s">
        <v>47</v>
      </c>
      <c r="D2085" t="s">
        <v>3813</v>
      </c>
      <c r="E2085">
        <v>0</v>
      </c>
      <c r="F2085" t="s">
        <v>47</v>
      </c>
      <c r="G2085">
        <v>0</v>
      </c>
      <c r="H2085" t="s">
        <v>47</v>
      </c>
      <c r="I2085">
        <v>0</v>
      </c>
      <c r="J2085" t="s">
        <v>47</v>
      </c>
      <c r="K2085">
        <v>0</v>
      </c>
      <c r="L2085" t="s">
        <v>47</v>
      </c>
      <c r="M2085">
        <v>0</v>
      </c>
      <c r="N2085" t="s">
        <v>47</v>
      </c>
      <c r="O2085">
        <v>0</v>
      </c>
      <c r="P2085" t="s">
        <v>47</v>
      </c>
      <c r="Q2085">
        <v>0</v>
      </c>
      <c r="R2085" t="s">
        <v>47</v>
      </c>
      <c r="S2085">
        <v>1</v>
      </c>
      <c r="T2085" t="s">
        <v>48</v>
      </c>
    </row>
    <row r="2086" spans="1:20" x14ac:dyDescent="0.35">
      <c r="A2086" s="1" t="s">
        <v>4367</v>
      </c>
      <c r="B2086" t="s">
        <v>14</v>
      </c>
      <c r="C2086" t="s">
        <v>47</v>
      </c>
      <c r="D2086" t="s">
        <v>3814</v>
      </c>
      <c r="E2086">
        <v>0</v>
      </c>
      <c r="F2086" t="s">
        <v>47</v>
      </c>
      <c r="G2086">
        <v>0</v>
      </c>
      <c r="H2086" t="s">
        <v>47</v>
      </c>
      <c r="I2086">
        <v>0</v>
      </c>
      <c r="J2086" t="s">
        <v>47</v>
      </c>
      <c r="K2086">
        <v>0</v>
      </c>
      <c r="L2086" t="s">
        <v>47</v>
      </c>
      <c r="M2086">
        <v>0</v>
      </c>
      <c r="N2086" t="s">
        <v>47</v>
      </c>
      <c r="O2086">
        <v>0</v>
      </c>
      <c r="P2086" t="s">
        <v>47</v>
      </c>
      <c r="Q2086">
        <v>0</v>
      </c>
      <c r="R2086" t="s">
        <v>47</v>
      </c>
      <c r="S2086">
        <v>1</v>
      </c>
      <c r="T2086" t="s">
        <v>48</v>
      </c>
    </row>
    <row r="2087" spans="1:20" x14ac:dyDescent="0.35">
      <c r="A2087" s="1" t="s">
        <v>4368</v>
      </c>
      <c r="B2087" t="s">
        <v>14</v>
      </c>
      <c r="C2087" t="s">
        <v>47</v>
      </c>
      <c r="D2087" t="s">
        <v>3815</v>
      </c>
      <c r="E2087">
        <v>0</v>
      </c>
      <c r="F2087" t="s">
        <v>47</v>
      </c>
      <c r="G2087">
        <v>0</v>
      </c>
      <c r="H2087" t="s">
        <v>47</v>
      </c>
      <c r="I2087">
        <v>0</v>
      </c>
      <c r="J2087" t="s">
        <v>47</v>
      </c>
      <c r="K2087">
        <v>0</v>
      </c>
      <c r="L2087" t="s">
        <v>47</v>
      </c>
      <c r="M2087">
        <v>0</v>
      </c>
      <c r="N2087" t="s">
        <v>47</v>
      </c>
      <c r="O2087">
        <v>0</v>
      </c>
      <c r="P2087" t="s">
        <v>47</v>
      </c>
      <c r="Q2087">
        <v>0</v>
      </c>
      <c r="R2087" t="s">
        <v>47</v>
      </c>
      <c r="S2087">
        <v>1</v>
      </c>
      <c r="T2087" t="s">
        <v>48</v>
      </c>
    </row>
    <row r="2088" spans="1:20" x14ac:dyDescent="0.35">
      <c r="A2088" s="1" t="s">
        <v>4369</v>
      </c>
      <c r="B2088" t="s">
        <v>14</v>
      </c>
      <c r="C2088" t="s">
        <v>47</v>
      </c>
      <c r="D2088" t="s">
        <v>3816</v>
      </c>
      <c r="E2088">
        <v>0</v>
      </c>
      <c r="F2088" t="s">
        <v>47</v>
      </c>
      <c r="G2088">
        <v>0</v>
      </c>
      <c r="H2088" t="s">
        <v>47</v>
      </c>
      <c r="I2088">
        <v>0</v>
      </c>
      <c r="J2088" t="s">
        <v>47</v>
      </c>
      <c r="K2088">
        <v>0</v>
      </c>
      <c r="L2088" t="s">
        <v>47</v>
      </c>
      <c r="M2088">
        <v>0</v>
      </c>
      <c r="N2088" t="s">
        <v>47</v>
      </c>
      <c r="O2088">
        <v>0</v>
      </c>
      <c r="P2088" t="s">
        <v>47</v>
      </c>
      <c r="Q2088">
        <v>0</v>
      </c>
      <c r="R2088" t="s">
        <v>47</v>
      </c>
      <c r="S2088">
        <v>1</v>
      </c>
      <c r="T2088" t="s">
        <v>48</v>
      </c>
    </row>
    <row r="2089" spans="1:20" x14ac:dyDescent="0.35">
      <c r="A2089" s="1" t="s">
        <v>4370</v>
      </c>
      <c r="B2089" t="s">
        <v>14</v>
      </c>
      <c r="C2089" t="s">
        <v>47</v>
      </c>
      <c r="D2089" t="s">
        <v>3817</v>
      </c>
      <c r="E2089">
        <v>0</v>
      </c>
      <c r="F2089" t="s">
        <v>47</v>
      </c>
      <c r="G2089">
        <v>0</v>
      </c>
      <c r="H2089" t="s">
        <v>47</v>
      </c>
      <c r="I2089">
        <v>0</v>
      </c>
      <c r="J2089" t="s">
        <v>47</v>
      </c>
      <c r="K2089">
        <v>0</v>
      </c>
      <c r="L2089" t="s">
        <v>47</v>
      </c>
      <c r="M2089">
        <v>0</v>
      </c>
      <c r="N2089" t="s">
        <v>47</v>
      </c>
      <c r="O2089">
        <v>0</v>
      </c>
      <c r="P2089" t="s">
        <v>47</v>
      </c>
      <c r="Q2089">
        <v>0</v>
      </c>
      <c r="R2089" t="s">
        <v>47</v>
      </c>
      <c r="S2089">
        <v>1</v>
      </c>
      <c r="T2089" t="s">
        <v>48</v>
      </c>
    </row>
    <row r="2090" spans="1:20" x14ac:dyDescent="0.35">
      <c r="A2090" s="1" t="s">
        <v>4371</v>
      </c>
      <c r="B2090" t="s">
        <v>14</v>
      </c>
      <c r="C2090" t="s">
        <v>47</v>
      </c>
      <c r="D2090" t="s">
        <v>3818</v>
      </c>
      <c r="E2090">
        <v>0</v>
      </c>
      <c r="F2090" t="s">
        <v>47</v>
      </c>
      <c r="G2090">
        <v>0</v>
      </c>
      <c r="H2090" t="s">
        <v>47</v>
      </c>
      <c r="I2090">
        <v>0</v>
      </c>
      <c r="J2090" t="s">
        <v>47</v>
      </c>
      <c r="K2090">
        <v>0</v>
      </c>
      <c r="L2090" t="s">
        <v>47</v>
      </c>
      <c r="M2090">
        <v>0</v>
      </c>
      <c r="N2090" t="s">
        <v>47</v>
      </c>
      <c r="O2090">
        <v>0</v>
      </c>
      <c r="P2090" t="s">
        <v>47</v>
      </c>
      <c r="Q2090">
        <v>0</v>
      </c>
      <c r="R2090" t="s">
        <v>47</v>
      </c>
      <c r="S2090">
        <v>1</v>
      </c>
      <c r="T2090" t="s">
        <v>48</v>
      </c>
    </row>
    <row r="2091" spans="1:20" x14ac:dyDescent="0.35">
      <c r="A2091" s="1" t="s">
        <v>4372</v>
      </c>
      <c r="B2091" t="s">
        <v>14</v>
      </c>
      <c r="C2091" t="s">
        <v>47</v>
      </c>
      <c r="D2091" t="s">
        <v>3819</v>
      </c>
      <c r="E2091">
        <v>0</v>
      </c>
      <c r="F2091" t="s">
        <v>47</v>
      </c>
      <c r="G2091">
        <v>0</v>
      </c>
      <c r="H2091" t="s">
        <v>47</v>
      </c>
      <c r="I2091">
        <v>0</v>
      </c>
      <c r="J2091" t="s">
        <v>47</v>
      </c>
      <c r="K2091">
        <v>0</v>
      </c>
      <c r="L2091" t="s">
        <v>47</v>
      </c>
      <c r="M2091">
        <v>0</v>
      </c>
      <c r="N2091" t="s">
        <v>47</v>
      </c>
      <c r="O2091">
        <v>0</v>
      </c>
      <c r="P2091" t="s">
        <v>47</v>
      </c>
      <c r="Q2091">
        <v>0</v>
      </c>
      <c r="R2091" t="s">
        <v>47</v>
      </c>
      <c r="S2091">
        <v>1</v>
      </c>
      <c r="T2091" t="s">
        <v>48</v>
      </c>
    </row>
    <row r="2092" spans="1:20" x14ac:dyDescent="0.35">
      <c r="A2092" s="1" t="s">
        <v>4373</v>
      </c>
      <c r="B2092" t="s">
        <v>14</v>
      </c>
      <c r="C2092" t="s">
        <v>47</v>
      </c>
      <c r="D2092" t="s">
        <v>3820</v>
      </c>
      <c r="E2092">
        <v>0</v>
      </c>
      <c r="F2092" t="s">
        <v>47</v>
      </c>
      <c r="G2092">
        <v>0</v>
      </c>
      <c r="H2092" t="s">
        <v>47</v>
      </c>
      <c r="I2092">
        <v>0</v>
      </c>
      <c r="J2092" t="s">
        <v>47</v>
      </c>
      <c r="K2092">
        <v>0</v>
      </c>
      <c r="L2092" t="s">
        <v>47</v>
      </c>
      <c r="M2092">
        <v>0</v>
      </c>
      <c r="N2092" t="s">
        <v>47</v>
      </c>
      <c r="O2092">
        <v>0</v>
      </c>
      <c r="P2092" t="s">
        <v>47</v>
      </c>
      <c r="Q2092">
        <v>0</v>
      </c>
      <c r="R2092" t="s">
        <v>47</v>
      </c>
      <c r="S2092">
        <v>1</v>
      </c>
      <c r="T2092" t="s">
        <v>48</v>
      </c>
    </row>
    <row r="2093" spans="1:20" x14ac:dyDescent="0.35">
      <c r="A2093" s="1" t="s">
        <v>4374</v>
      </c>
      <c r="B2093" t="s">
        <v>14</v>
      </c>
      <c r="C2093" t="s">
        <v>47</v>
      </c>
      <c r="D2093" t="s">
        <v>3821</v>
      </c>
      <c r="E2093">
        <v>0</v>
      </c>
      <c r="F2093" t="s">
        <v>47</v>
      </c>
      <c r="G2093">
        <v>0</v>
      </c>
      <c r="H2093" t="s">
        <v>47</v>
      </c>
      <c r="I2093">
        <v>0</v>
      </c>
      <c r="J2093" t="s">
        <v>47</v>
      </c>
      <c r="K2093">
        <v>0</v>
      </c>
      <c r="L2093" t="s">
        <v>47</v>
      </c>
      <c r="M2093">
        <v>0</v>
      </c>
      <c r="N2093" t="s">
        <v>47</v>
      </c>
      <c r="O2093">
        <v>0</v>
      </c>
      <c r="P2093" t="s">
        <v>47</v>
      </c>
      <c r="Q2093">
        <v>0</v>
      </c>
      <c r="R2093" t="s">
        <v>47</v>
      </c>
      <c r="S2093">
        <v>1</v>
      </c>
      <c r="T2093" t="s">
        <v>48</v>
      </c>
    </row>
    <row r="2094" spans="1:20" x14ac:dyDescent="0.35">
      <c r="A2094" s="1" t="s">
        <v>4375</v>
      </c>
      <c r="B2094" t="s">
        <v>14</v>
      </c>
      <c r="C2094" t="s">
        <v>47</v>
      </c>
      <c r="D2094" t="s">
        <v>3822</v>
      </c>
      <c r="E2094">
        <v>0</v>
      </c>
      <c r="F2094" t="s">
        <v>47</v>
      </c>
      <c r="G2094">
        <v>0</v>
      </c>
      <c r="H2094" t="s">
        <v>47</v>
      </c>
      <c r="I2094">
        <v>0</v>
      </c>
      <c r="J2094" t="s">
        <v>47</v>
      </c>
      <c r="K2094">
        <v>0</v>
      </c>
      <c r="L2094" t="s">
        <v>47</v>
      </c>
      <c r="M2094">
        <v>0</v>
      </c>
      <c r="N2094" t="s">
        <v>47</v>
      </c>
      <c r="O2094">
        <v>0</v>
      </c>
      <c r="P2094" t="s">
        <v>47</v>
      </c>
      <c r="Q2094">
        <v>0</v>
      </c>
      <c r="R2094" t="s">
        <v>47</v>
      </c>
      <c r="S2094">
        <v>1</v>
      </c>
      <c r="T2094" t="s">
        <v>48</v>
      </c>
    </row>
    <row r="2095" spans="1:20" x14ac:dyDescent="0.35">
      <c r="A2095" s="1" t="s">
        <v>4376</v>
      </c>
      <c r="B2095" t="s">
        <v>14</v>
      </c>
      <c r="C2095" t="s">
        <v>47</v>
      </c>
      <c r="D2095" t="s">
        <v>3823</v>
      </c>
      <c r="E2095">
        <v>0</v>
      </c>
      <c r="F2095" t="s">
        <v>47</v>
      </c>
      <c r="G2095">
        <v>0</v>
      </c>
      <c r="H2095" t="s">
        <v>47</v>
      </c>
      <c r="I2095">
        <v>0</v>
      </c>
      <c r="J2095" t="s">
        <v>47</v>
      </c>
      <c r="K2095">
        <v>0</v>
      </c>
      <c r="L2095" t="s">
        <v>47</v>
      </c>
      <c r="M2095">
        <v>0</v>
      </c>
      <c r="N2095" t="s">
        <v>47</v>
      </c>
      <c r="O2095">
        <v>0</v>
      </c>
      <c r="P2095" t="s">
        <v>47</v>
      </c>
      <c r="Q2095">
        <v>0</v>
      </c>
      <c r="R2095" t="s">
        <v>47</v>
      </c>
      <c r="S2095">
        <v>1</v>
      </c>
      <c r="T2095" t="s">
        <v>48</v>
      </c>
    </row>
    <row r="2096" spans="1:20" x14ac:dyDescent="0.35">
      <c r="A2096" s="1" t="s">
        <v>4377</v>
      </c>
      <c r="B2096" t="s">
        <v>14</v>
      </c>
      <c r="C2096" t="s">
        <v>47</v>
      </c>
      <c r="D2096" t="s">
        <v>3824</v>
      </c>
      <c r="E2096">
        <v>0</v>
      </c>
      <c r="F2096" t="s">
        <v>47</v>
      </c>
      <c r="G2096">
        <v>0</v>
      </c>
      <c r="H2096" t="s">
        <v>47</v>
      </c>
      <c r="I2096">
        <v>0</v>
      </c>
      <c r="J2096" t="s">
        <v>47</v>
      </c>
      <c r="K2096">
        <v>0</v>
      </c>
      <c r="L2096" t="s">
        <v>47</v>
      </c>
      <c r="M2096">
        <v>0</v>
      </c>
      <c r="N2096" t="s">
        <v>47</v>
      </c>
      <c r="O2096">
        <v>0</v>
      </c>
      <c r="P2096" t="s">
        <v>47</v>
      </c>
      <c r="Q2096">
        <v>0</v>
      </c>
      <c r="R2096" t="s">
        <v>47</v>
      </c>
      <c r="S2096">
        <v>1</v>
      </c>
      <c r="T2096" t="s">
        <v>48</v>
      </c>
    </row>
    <row r="2097" spans="1:20" x14ac:dyDescent="0.35">
      <c r="A2097" s="1" t="s">
        <v>4378</v>
      </c>
      <c r="B2097" t="s">
        <v>14</v>
      </c>
      <c r="C2097" t="s">
        <v>47</v>
      </c>
      <c r="D2097" t="s">
        <v>3825</v>
      </c>
      <c r="E2097">
        <v>0</v>
      </c>
      <c r="F2097" t="s">
        <v>47</v>
      </c>
      <c r="G2097">
        <v>0</v>
      </c>
      <c r="H2097" t="s">
        <v>47</v>
      </c>
      <c r="I2097">
        <v>0</v>
      </c>
      <c r="J2097" t="s">
        <v>47</v>
      </c>
      <c r="K2097">
        <v>0</v>
      </c>
      <c r="L2097" t="s">
        <v>47</v>
      </c>
      <c r="M2097">
        <v>0</v>
      </c>
      <c r="N2097" t="s">
        <v>47</v>
      </c>
      <c r="O2097">
        <v>0</v>
      </c>
      <c r="P2097" t="s">
        <v>47</v>
      </c>
      <c r="Q2097">
        <v>0</v>
      </c>
      <c r="R2097" t="s">
        <v>47</v>
      </c>
      <c r="S2097">
        <v>1</v>
      </c>
      <c r="T2097" t="s">
        <v>48</v>
      </c>
    </row>
    <row r="2098" spans="1:20" x14ac:dyDescent="0.35">
      <c r="A2098" s="1" t="s">
        <v>4379</v>
      </c>
      <c r="B2098" t="s">
        <v>14</v>
      </c>
      <c r="C2098" t="s">
        <v>47</v>
      </c>
      <c r="D2098" t="s">
        <v>3826</v>
      </c>
      <c r="E2098">
        <v>0</v>
      </c>
      <c r="F2098" t="s">
        <v>47</v>
      </c>
      <c r="G2098">
        <v>0</v>
      </c>
      <c r="H2098" t="s">
        <v>47</v>
      </c>
      <c r="I2098">
        <v>0</v>
      </c>
      <c r="J2098" t="s">
        <v>47</v>
      </c>
      <c r="K2098">
        <v>0</v>
      </c>
      <c r="L2098" t="s">
        <v>47</v>
      </c>
      <c r="M2098">
        <v>0</v>
      </c>
      <c r="N2098" t="s">
        <v>47</v>
      </c>
      <c r="O2098">
        <v>0</v>
      </c>
      <c r="P2098" t="s">
        <v>47</v>
      </c>
      <c r="Q2098">
        <v>0</v>
      </c>
      <c r="R2098" t="s">
        <v>47</v>
      </c>
      <c r="S2098">
        <v>1</v>
      </c>
      <c r="T2098" t="s">
        <v>48</v>
      </c>
    </row>
    <row r="2099" spans="1:20" x14ac:dyDescent="0.35">
      <c r="A2099" s="1" t="s">
        <v>4380</v>
      </c>
      <c r="B2099" t="s">
        <v>14</v>
      </c>
      <c r="C2099" t="s">
        <v>47</v>
      </c>
      <c r="D2099" t="s">
        <v>3827</v>
      </c>
      <c r="E2099">
        <v>0</v>
      </c>
      <c r="F2099" t="s">
        <v>47</v>
      </c>
      <c r="G2099">
        <v>0</v>
      </c>
      <c r="H2099" t="s">
        <v>47</v>
      </c>
      <c r="I2099">
        <v>0</v>
      </c>
      <c r="J2099" t="s">
        <v>47</v>
      </c>
      <c r="K2099">
        <v>0</v>
      </c>
      <c r="L2099" t="s">
        <v>47</v>
      </c>
      <c r="M2099">
        <v>0</v>
      </c>
      <c r="N2099" t="s">
        <v>47</v>
      </c>
      <c r="O2099">
        <v>0</v>
      </c>
      <c r="P2099" t="s">
        <v>47</v>
      </c>
      <c r="Q2099">
        <v>0</v>
      </c>
      <c r="R2099" t="s">
        <v>47</v>
      </c>
      <c r="S2099">
        <v>1</v>
      </c>
      <c r="T2099" t="s">
        <v>48</v>
      </c>
    </row>
    <row r="2100" spans="1:20" x14ac:dyDescent="0.35">
      <c r="A2100" s="1" t="s">
        <v>4381</v>
      </c>
      <c r="B2100" t="s">
        <v>14</v>
      </c>
      <c r="C2100" t="s">
        <v>47</v>
      </c>
      <c r="D2100" t="s">
        <v>3828</v>
      </c>
      <c r="E2100">
        <v>0</v>
      </c>
      <c r="F2100" t="s">
        <v>47</v>
      </c>
      <c r="G2100">
        <v>0</v>
      </c>
      <c r="H2100" t="s">
        <v>47</v>
      </c>
      <c r="I2100">
        <v>0</v>
      </c>
      <c r="J2100" t="s">
        <v>47</v>
      </c>
      <c r="K2100">
        <v>0</v>
      </c>
      <c r="L2100" t="s">
        <v>47</v>
      </c>
      <c r="M2100">
        <v>0</v>
      </c>
      <c r="N2100" t="s">
        <v>47</v>
      </c>
      <c r="O2100">
        <v>0</v>
      </c>
      <c r="P2100" t="s">
        <v>47</v>
      </c>
      <c r="Q2100">
        <v>0</v>
      </c>
      <c r="R2100" t="s">
        <v>47</v>
      </c>
      <c r="S2100">
        <v>1</v>
      </c>
      <c r="T2100" t="s">
        <v>48</v>
      </c>
    </row>
    <row r="2101" spans="1:20" x14ac:dyDescent="0.35">
      <c r="A2101" s="1" t="s">
        <v>4382</v>
      </c>
      <c r="B2101" t="s">
        <v>14</v>
      </c>
      <c r="C2101" t="s">
        <v>47</v>
      </c>
      <c r="D2101" t="s">
        <v>3829</v>
      </c>
      <c r="E2101">
        <v>0</v>
      </c>
      <c r="F2101" t="s">
        <v>47</v>
      </c>
      <c r="G2101">
        <v>0</v>
      </c>
      <c r="H2101" t="s">
        <v>47</v>
      </c>
      <c r="I2101">
        <v>0</v>
      </c>
      <c r="J2101" t="s">
        <v>47</v>
      </c>
      <c r="K2101">
        <v>0</v>
      </c>
      <c r="L2101" t="s">
        <v>47</v>
      </c>
      <c r="M2101">
        <v>0</v>
      </c>
      <c r="N2101" t="s">
        <v>47</v>
      </c>
      <c r="O2101">
        <v>0</v>
      </c>
      <c r="P2101" t="s">
        <v>47</v>
      </c>
      <c r="Q2101">
        <v>0</v>
      </c>
      <c r="R2101" t="s">
        <v>47</v>
      </c>
      <c r="S2101">
        <v>1</v>
      </c>
      <c r="T2101" t="s">
        <v>48</v>
      </c>
    </row>
    <row r="2102" spans="1:20" x14ac:dyDescent="0.35">
      <c r="A2102" s="1" t="s">
        <v>4383</v>
      </c>
      <c r="B2102" t="s">
        <v>14</v>
      </c>
      <c r="C2102" t="s">
        <v>47</v>
      </c>
      <c r="D2102" t="s">
        <v>3830</v>
      </c>
      <c r="E2102">
        <v>0</v>
      </c>
      <c r="F2102" t="s">
        <v>47</v>
      </c>
      <c r="G2102">
        <v>0</v>
      </c>
      <c r="H2102" t="s">
        <v>47</v>
      </c>
      <c r="I2102">
        <v>0</v>
      </c>
      <c r="J2102" t="s">
        <v>47</v>
      </c>
      <c r="K2102">
        <v>0</v>
      </c>
      <c r="L2102" t="s">
        <v>47</v>
      </c>
      <c r="M2102">
        <v>0</v>
      </c>
      <c r="N2102" t="s">
        <v>47</v>
      </c>
      <c r="O2102">
        <v>0</v>
      </c>
      <c r="P2102" t="s">
        <v>47</v>
      </c>
      <c r="Q2102">
        <v>0</v>
      </c>
      <c r="R2102" t="s">
        <v>47</v>
      </c>
      <c r="S2102">
        <v>1</v>
      </c>
      <c r="T2102" t="s">
        <v>48</v>
      </c>
    </row>
    <row r="2103" spans="1:20" x14ac:dyDescent="0.35">
      <c r="A2103" s="1" t="s">
        <v>4384</v>
      </c>
      <c r="B2103" t="s">
        <v>14</v>
      </c>
      <c r="C2103" t="s">
        <v>47</v>
      </c>
      <c r="D2103" t="s">
        <v>3831</v>
      </c>
      <c r="E2103">
        <v>0</v>
      </c>
      <c r="F2103" t="s">
        <v>47</v>
      </c>
      <c r="G2103">
        <v>0</v>
      </c>
      <c r="H2103" t="s">
        <v>47</v>
      </c>
      <c r="I2103">
        <v>0</v>
      </c>
      <c r="J2103" t="s">
        <v>47</v>
      </c>
      <c r="K2103">
        <v>0</v>
      </c>
      <c r="L2103" t="s">
        <v>47</v>
      </c>
      <c r="M2103">
        <v>0</v>
      </c>
      <c r="N2103" t="s">
        <v>47</v>
      </c>
      <c r="O2103">
        <v>0</v>
      </c>
      <c r="P2103" t="s">
        <v>47</v>
      </c>
      <c r="Q2103">
        <v>0</v>
      </c>
      <c r="R2103" t="s">
        <v>47</v>
      </c>
      <c r="S2103">
        <v>1</v>
      </c>
      <c r="T2103" t="s">
        <v>48</v>
      </c>
    </row>
    <row r="2104" spans="1:20" x14ac:dyDescent="0.35">
      <c r="A2104" s="1" t="s">
        <v>4385</v>
      </c>
      <c r="B2104" t="s">
        <v>14</v>
      </c>
      <c r="C2104" t="s">
        <v>47</v>
      </c>
      <c r="D2104" t="s">
        <v>3832</v>
      </c>
      <c r="E2104">
        <v>0</v>
      </c>
      <c r="F2104" t="s">
        <v>47</v>
      </c>
      <c r="G2104">
        <v>0</v>
      </c>
      <c r="H2104" t="s">
        <v>47</v>
      </c>
      <c r="I2104">
        <v>0</v>
      </c>
      <c r="J2104" t="s">
        <v>47</v>
      </c>
      <c r="K2104">
        <v>0</v>
      </c>
      <c r="L2104" t="s">
        <v>47</v>
      </c>
      <c r="M2104">
        <v>0</v>
      </c>
      <c r="N2104" t="s">
        <v>47</v>
      </c>
      <c r="O2104">
        <v>0</v>
      </c>
      <c r="P2104" t="s">
        <v>47</v>
      </c>
      <c r="Q2104">
        <v>0</v>
      </c>
      <c r="R2104" t="s">
        <v>47</v>
      </c>
      <c r="S2104">
        <v>1</v>
      </c>
      <c r="T2104" t="s">
        <v>48</v>
      </c>
    </row>
    <row r="2105" spans="1:20" x14ac:dyDescent="0.35">
      <c r="A2105" s="1" t="s">
        <v>4386</v>
      </c>
      <c r="B2105" t="s">
        <v>14</v>
      </c>
      <c r="C2105" t="s">
        <v>47</v>
      </c>
      <c r="D2105" t="s">
        <v>3833</v>
      </c>
      <c r="E2105">
        <v>1</v>
      </c>
      <c r="F2105" t="s">
        <v>45</v>
      </c>
      <c r="G2105">
        <v>0</v>
      </c>
      <c r="H2105" t="s">
        <v>47</v>
      </c>
      <c r="I2105">
        <v>0</v>
      </c>
      <c r="J2105" t="s">
        <v>47</v>
      </c>
      <c r="K2105">
        <v>0</v>
      </c>
      <c r="L2105" t="s">
        <v>47</v>
      </c>
      <c r="M2105">
        <v>0</v>
      </c>
      <c r="N2105" t="s">
        <v>47</v>
      </c>
      <c r="O2105">
        <v>0</v>
      </c>
      <c r="P2105" t="s">
        <v>47</v>
      </c>
      <c r="Q2105">
        <v>0</v>
      </c>
      <c r="R2105" t="s">
        <v>47</v>
      </c>
      <c r="S2105">
        <v>1</v>
      </c>
      <c r="T2105" t="s">
        <v>48</v>
      </c>
    </row>
    <row r="2106" spans="1:20" x14ac:dyDescent="0.35">
      <c r="A2106" s="1" t="s">
        <v>4387</v>
      </c>
      <c r="B2106" t="s">
        <v>14</v>
      </c>
      <c r="C2106" t="s">
        <v>47</v>
      </c>
      <c r="D2106" t="s">
        <v>3834</v>
      </c>
      <c r="E2106">
        <v>0</v>
      </c>
      <c r="F2106" t="s">
        <v>47</v>
      </c>
      <c r="G2106">
        <v>0</v>
      </c>
      <c r="H2106" t="s">
        <v>47</v>
      </c>
      <c r="I2106">
        <v>0</v>
      </c>
      <c r="J2106" t="s">
        <v>47</v>
      </c>
      <c r="K2106">
        <v>1</v>
      </c>
      <c r="L2106" t="s">
        <v>48</v>
      </c>
      <c r="M2106">
        <v>0</v>
      </c>
      <c r="N2106" t="s">
        <v>47</v>
      </c>
      <c r="O2106">
        <v>0</v>
      </c>
      <c r="P2106" t="s">
        <v>47</v>
      </c>
      <c r="Q2106">
        <v>0</v>
      </c>
      <c r="R2106" t="s">
        <v>47</v>
      </c>
      <c r="S2106">
        <v>0</v>
      </c>
      <c r="T2106" t="s">
        <v>47</v>
      </c>
    </row>
    <row r="2107" spans="1:20" x14ac:dyDescent="0.35">
      <c r="A2107" s="1" t="s">
        <v>4388</v>
      </c>
      <c r="B2107" t="s">
        <v>14</v>
      </c>
      <c r="C2107" t="s">
        <v>47</v>
      </c>
      <c r="D2107" t="s">
        <v>3835</v>
      </c>
      <c r="E2107">
        <v>0</v>
      </c>
      <c r="F2107" t="s">
        <v>47</v>
      </c>
      <c r="G2107">
        <v>0</v>
      </c>
      <c r="H2107" t="s">
        <v>47</v>
      </c>
      <c r="I2107">
        <v>0</v>
      </c>
      <c r="J2107" t="s">
        <v>47</v>
      </c>
      <c r="K2107">
        <v>1</v>
      </c>
      <c r="L2107" t="s">
        <v>48</v>
      </c>
      <c r="M2107">
        <v>0</v>
      </c>
      <c r="N2107" t="s">
        <v>47</v>
      </c>
      <c r="O2107">
        <v>0</v>
      </c>
      <c r="P2107" t="s">
        <v>47</v>
      </c>
      <c r="Q2107">
        <v>0</v>
      </c>
      <c r="R2107" t="s">
        <v>47</v>
      </c>
      <c r="S2107">
        <v>0</v>
      </c>
      <c r="T2107" t="s">
        <v>47</v>
      </c>
    </row>
    <row r="2108" spans="1:20" x14ac:dyDescent="0.35">
      <c r="A2108" s="1" t="s">
        <v>4389</v>
      </c>
      <c r="B2108" t="s">
        <v>14</v>
      </c>
      <c r="C2108" t="s">
        <v>47</v>
      </c>
      <c r="D2108" t="s">
        <v>3836</v>
      </c>
      <c r="E2108">
        <v>0</v>
      </c>
      <c r="F2108" t="s">
        <v>47</v>
      </c>
      <c r="G2108">
        <v>0</v>
      </c>
      <c r="H2108" t="s">
        <v>47</v>
      </c>
      <c r="I2108">
        <v>0</v>
      </c>
      <c r="J2108" t="s">
        <v>47</v>
      </c>
      <c r="K2108">
        <v>1</v>
      </c>
      <c r="L2108" t="s">
        <v>48</v>
      </c>
      <c r="M2108">
        <v>0</v>
      </c>
      <c r="N2108" t="s">
        <v>47</v>
      </c>
      <c r="O2108">
        <v>0</v>
      </c>
      <c r="P2108" t="s">
        <v>47</v>
      </c>
      <c r="Q2108">
        <v>0</v>
      </c>
      <c r="R2108" t="s">
        <v>47</v>
      </c>
      <c r="S2108">
        <v>0</v>
      </c>
      <c r="T2108" t="s">
        <v>47</v>
      </c>
    </row>
    <row r="2109" spans="1:20" x14ac:dyDescent="0.35">
      <c r="A2109" s="1" t="s">
        <v>4390</v>
      </c>
      <c r="B2109" t="s">
        <v>14</v>
      </c>
      <c r="C2109" t="s">
        <v>47</v>
      </c>
      <c r="D2109" t="s">
        <v>3837</v>
      </c>
      <c r="E2109">
        <v>0</v>
      </c>
      <c r="F2109" t="s">
        <v>47</v>
      </c>
      <c r="G2109">
        <v>0</v>
      </c>
      <c r="H2109" t="s">
        <v>47</v>
      </c>
      <c r="I2109">
        <v>0</v>
      </c>
      <c r="J2109" t="s">
        <v>47</v>
      </c>
      <c r="K2109">
        <v>1</v>
      </c>
      <c r="L2109" t="s">
        <v>48</v>
      </c>
      <c r="M2109">
        <v>0</v>
      </c>
      <c r="N2109" t="s">
        <v>47</v>
      </c>
      <c r="O2109">
        <v>0</v>
      </c>
      <c r="P2109" t="s">
        <v>47</v>
      </c>
      <c r="Q2109">
        <v>0</v>
      </c>
      <c r="R2109" t="s">
        <v>47</v>
      </c>
      <c r="S2109">
        <v>0</v>
      </c>
      <c r="T2109" t="s">
        <v>47</v>
      </c>
    </row>
    <row r="2110" spans="1:20" x14ac:dyDescent="0.35">
      <c r="A2110" s="1" t="s">
        <v>4391</v>
      </c>
      <c r="B2110" t="s">
        <v>14</v>
      </c>
      <c r="C2110" t="s">
        <v>47</v>
      </c>
      <c r="D2110" t="s">
        <v>3838</v>
      </c>
      <c r="E2110">
        <v>0</v>
      </c>
      <c r="F2110" t="s">
        <v>47</v>
      </c>
      <c r="G2110">
        <v>0</v>
      </c>
      <c r="H2110" t="s">
        <v>47</v>
      </c>
      <c r="I2110">
        <v>0</v>
      </c>
      <c r="J2110" t="s">
        <v>47</v>
      </c>
      <c r="K2110">
        <v>1</v>
      </c>
      <c r="L2110" t="s">
        <v>48</v>
      </c>
      <c r="M2110">
        <v>0</v>
      </c>
      <c r="N2110" t="s">
        <v>47</v>
      </c>
      <c r="O2110">
        <v>0</v>
      </c>
      <c r="P2110" t="s">
        <v>47</v>
      </c>
      <c r="Q2110">
        <v>0</v>
      </c>
      <c r="R2110" t="s">
        <v>47</v>
      </c>
      <c r="S2110">
        <v>0</v>
      </c>
      <c r="T2110" t="s">
        <v>47</v>
      </c>
    </row>
    <row r="2111" spans="1:20" x14ac:dyDescent="0.35">
      <c r="A2111" s="1" t="s">
        <v>4392</v>
      </c>
      <c r="B2111" t="s">
        <v>14</v>
      </c>
      <c r="C2111" t="s">
        <v>47</v>
      </c>
      <c r="D2111" t="s">
        <v>3839</v>
      </c>
      <c r="E2111">
        <v>0</v>
      </c>
      <c r="F2111" t="s">
        <v>47</v>
      </c>
      <c r="G2111">
        <v>0</v>
      </c>
      <c r="H2111" t="s">
        <v>47</v>
      </c>
      <c r="I2111">
        <v>0</v>
      </c>
      <c r="J2111" t="s">
        <v>47</v>
      </c>
      <c r="K2111">
        <v>1</v>
      </c>
      <c r="L2111" t="s">
        <v>48</v>
      </c>
      <c r="M2111">
        <v>0</v>
      </c>
      <c r="N2111" t="s">
        <v>47</v>
      </c>
      <c r="O2111">
        <v>0</v>
      </c>
      <c r="P2111" t="s">
        <v>47</v>
      </c>
      <c r="Q2111">
        <v>0</v>
      </c>
      <c r="R2111" t="s">
        <v>47</v>
      </c>
      <c r="S2111">
        <v>0</v>
      </c>
      <c r="T2111" t="s">
        <v>47</v>
      </c>
    </row>
    <row r="2112" spans="1:20" x14ac:dyDescent="0.35">
      <c r="A2112" s="1" t="s">
        <v>4393</v>
      </c>
      <c r="B2112" t="s">
        <v>14</v>
      </c>
      <c r="C2112" t="s">
        <v>47</v>
      </c>
      <c r="D2112" t="s">
        <v>3840</v>
      </c>
      <c r="E2112">
        <v>0</v>
      </c>
      <c r="F2112" t="s">
        <v>47</v>
      </c>
      <c r="G2112">
        <v>0</v>
      </c>
      <c r="H2112" t="s">
        <v>47</v>
      </c>
      <c r="I2112">
        <v>0</v>
      </c>
      <c r="J2112" t="s">
        <v>47</v>
      </c>
      <c r="K2112">
        <v>1</v>
      </c>
      <c r="L2112" t="s">
        <v>48</v>
      </c>
      <c r="M2112">
        <v>0</v>
      </c>
      <c r="N2112" t="s">
        <v>47</v>
      </c>
      <c r="O2112">
        <v>0</v>
      </c>
      <c r="P2112" t="s">
        <v>47</v>
      </c>
      <c r="Q2112">
        <v>1</v>
      </c>
      <c r="R2112" t="s">
        <v>45</v>
      </c>
      <c r="S2112">
        <v>0</v>
      </c>
      <c r="T2112" t="s">
        <v>47</v>
      </c>
    </row>
    <row r="2113" spans="1:20" x14ac:dyDescent="0.35">
      <c r="A2113" s="1" t="s">
        <v>4394</v>
      </c>
      <c r="B2113" t="s">
        <v>14</v>
      </c>
      <c r="C2113" t="s">
        <v>47</v>
      </c>
      <c r="D2113" t="s">
        <v>3841</v>
      </c>
      <c r="E2113">
        <v>0</v>
      </c>
      <c r="F2113" t="s">
        <v>47</v>
      </c>
      <c r="G2113">
        <v>0</v>
      </c>
      <c r="H2113" t="s">
        <v>47</v>
      </c>
      <c r="I2113">
        <v>0</v>
      </c>
      <c r="J2113" t="s">
        <v>47</v>
      </c>
      <c r="K2113">
        <v>1</v>
      </c>
      <c r="L2113" t="s">
        <v>48</v>
      </c>
      <c r="M2113">
        <v>0</v>
      </c>
      <c r="N2113" t="s">
        <v>47</v>
      </c>
      <c r="O2113">
        <v>0</v>
      </c>
      <c r="P2113" t="s">
        <v>47</v>
      </c>
      <c r="Q2113">
        <v>0</v>
      </c>
      <c r="R2113" t="s">
        <v>47</v>
      </c>
      <c r="S2113">
        <v>0</v>
      </c>
      <c r="T2113" t="s">
        <v>47</v>
      </c>
    </row>
    <row r="2114" spans="1:20" x14ac:dyDescent="0.35">
      <c r="A2114" s="1" t="s">
        <v>4395</v>
      </c>
      <c r="B2114" t="s">
        <v>14</v>
      </c>
      <c r="C2114" t="s">
        <v>47</v>
      </c>
      <c r="D2114" t="s">
        <v>3842</v>
      </c>
      <c r="E2114">
        <v>0</v>
      </c>
      <c r="F2114" t="s">
        <v>47</v>
      </c>
      <c r="G2114">
        <v>0</v>
      </c>
      <c r="H2114" t="s">
        <v>47</v>
      </c>
      <c r="I2114">
        <v>0</v>
      </c>
      <c r="J2114" t="s">
        <v>47</v>
      </c>
      <c r="K2114">
        <v>1</v>
      </c>
      <c r="L2114" t="s">
        <v>48</v>
      </c>
      <c r="M2114">
        <v>0</v>
      </c>
      <c r="N2114" t="s">
        <v>47</v>
      </c>
      <c r="O2114">
        <v>0</v>
      </c>
      <c r="P2114" t="s">
        <v>47</v>
      </c>
      <c r="Q2114">
        <v>0</v>
      </c>
      <c r="R2114" t="s">
        <v>47</v>
      </c>
      <c r="S2114">
        <v>0</v>
      </c>
      <c r="T2114" t="s">
        <v>47</v>
      </c>
    </row>
    <row r="2115" spans="1:20" x14ac:dyDescent="0.35">
      <c r="A2115" s="1" t="s">
        <v>4396</v>
      </c>
      <c r="B2115" t="s">
        <v>14</v>
      </c>
      <c r="C2115" t="s">
        <v>47</v>
      </c>
      <c r="D2115" t="s">
        <v>3843</v>
      </c>
      <c r="E2115">
        <v>0</v>
      </c>
      <c r="F2115" t="s">
        <v>47</v>
      </c>
      <c r="G2115">
        <v>0</v>
      </c>
      <c r="H2115" t="s">
        <v>47</v>
      </c>
      <c r="I2115">
        <v>0</v>
      </c>
      <c r="J2115" t="s">
        <v>47</v>
      </c>
      <c r="K2115">
        <v>1</v>
      </c>
      <c r="L2115" t="s">
        <v>48</v>
      </c>
      <c r="M2115">
        <v>0</v>
      </c>
      <c r="N2115" t="s">
        <v>47</v>
      </c>
      <c r="O2115">
        <v>0</v>
      </c>
      <c r="P2115" t="s">
        <v>47</v>
      </c>
      <c r="Q2115">
        <v>0</v>
      </c>
      <c r="R2115" t="s">
        <v>47</v>
      </c>
      <c r="S2115">
        <v>0</v>
      </c>
      <c r="T2115" t="s">
        <v>47</v>
      </c>
    </row>
    <row r="2116" spans="1:20" x14ac:dyDescent="0.35">
      <c r="A2116" s="1" t="s">
        <v>4397</v>
      </c>
      <c r="B2116" t="s">
        <v>14</v>
      </c>
      <c r="C2116" t="s">
        <v>47</v>
      </c>
      <c r="D2116" t="s">
        <v>3844</v>
      </c>
      <c r="E2116">
        <v>0</v>
      </c>
      <c r="F2116" t="s">
        <v>47</v>
      </c>
      <c r="G2116">
        <v>0</v>
      </c>
      <c r="H2116" t="s">
        <v>47</v>
      </c>
      <c r="I2116">
        <v>0</v>
      </c>
      <c r="J2116" t="s">
        <v>47</v>
      </c>
      <c r="K2116">
        <v>1</v>
      </c>
      <c r="L2116" t="s">
        <v>48</v>
      </c>
      <c r="M2116">
        <v>0</v>
      </c>
      <c r="N2116" t="s">
        <v>47</v>
      </c>
      <c r="O2116">
        <v>0</v>
      </c>
      <c r="P2116" t="s">
        <v>47</v>
      </c>
      <c r="Q2116">
        <v>0</v>
      </c>
      <c r="R2116" t="s">
        <v>47</v>
      </c>
      <c r="S2116">
        <v>0</v>
      </c>
      <c r="T2116" t="s">
        <v>47</v>
      </c>
    </row>
    <row r="2117" spans="1:20" x14ac:dyDescent="0.35">
      <c r="A2117" s="1" t="s">
        <v>4398</v>
      </c>
      <c r="B2117" t="s">
        <v>14</v>
      </c>
      <c r="C2117" t="s">
        <v>47</v>
      </c>
      <c r="D2117" t="s">
        <v>3845</v>
      </c>
      <c r="E2117">
        <v>0</v>
      </c>
      <c r="F2117" t="s">
        <v>47</v>
      </c>
      <c r="G2117">
        <v>0</v>
      </c>
      <c r="H2117" t="s">
        <v>47</v>
      </c>
      <c r="I2117">
        <v>0</v>
      </c>
      <c r="J2117" t="s">
        <v>47</v>
      </c>
      <c r="K2117">
        <v>1</v>
      </c>
      <c r="L2117" t="s">
        <v>48</v>
      </c>
      <c r="M2117">
        <v>0</v>
      </c>
      <c r="N2117" t="s">
        <v>47</v>
      </c>
      <c r="O2117">
        <v>0</v>
      </c>
      <c r="P2117" t="s">
        <v>47</v>
      </c>
      <c r="Q2117">
        <v>0</v>
      </c>
      <c r="R2117" t="s">
        <v>47</v>
      </c>
      <c r="S2117">
        <v>0</v>
      </c>
      <c r="T2117" t="s">
        <v>47</v>
      </c>
    </row>
    <row r="2118" spans="1:20" x14ac:dyDescent="0.35">
      <c r="A2118" s="1" t="s">
        <v>4399</v>
      </c>
      <c r="B2118" t="s">
        <v>14</v>
      </c>
      <c r="C2118" t="s">
        <v>47</v>
      </c>
      <c r="D2118" t="s">
        <v>3846</v>
      </c>
      <c r="E2118">
        <v>0</v>
      </c>
      <c r="F2118" t="s">
        <v>47</v>
      </c>
      <c r="G2118">
        <v>0</v>
      </c>
      <c r="H2118" t="s">
        <v>47</v>
      </c>
      <c r="I2118">
        <v>0</v>
      </c>
      <c r="J2118" t="s">
        <v>47</v>
      </c>
      <c r="K2118">
        <v>1</v>
      </c>
      <c r="L2118" t="s">
        <v>48</v>
      </c>
      <c r="M2118">
        <v>0</v>
      </c>
      <c r="N2118" t="s">
        <v>47</v>
      </c>
      <c r="O2118">
        <v>0</v>
      </c>
      <c r="P2118" t="s">
        <v>47</v>
      </c>
      <c r="Q2118">
        <v>0</v>
      </c>
      <c r="R2118" t="s">
        <v>47</v>
      </c>
      <c r="S2118">
        <v>0</v>
      </c>
      <c r="T2118" t="s">
        <v>47</v>
      </c>
    </row>
    <row r="2119" spans="1:20" x14ac:dyDescent="0.35">
      <c r="A2119" s="1" t="s">
        <v>4400</v>
      </c>
      <c r="B2119" t="s">
        <v>14</v>
      </c>
      <c r="C2119" t="s">
        <v>47</v>
      </c>
      <c r="D2119" t="s">
        <v>3847</v>
      </c>
      <c r="E2119">
        <v>0</v>
      </c>
      <c r="F2119" t="s">
        <v>47</v>
      </c>
      <c r="G2119">
        <v>0</v>
      </c>
      <c r="H2119" t="s">
        <v>47</v>
      </c>
      <c r="I2119">
        <v>0</v>
      </c>
      <c r="J2119" t="s">
        <v>47</v>
      </c>
      <c r="K2119">
        <v>1</v>
      </c>
      <c r="L2119" t="s">
        <v>48</v>
      </c>
      <c r="M2119">
        <v>0</v>
      </c>
      <c r="N2119" t="s">
        <v>47</v>
      </c>
      <c r="O2119">
        <v>0</v>
      </c>
      <c r="P2119" t="s">
        <v>47</v>
      </c>
      <c r="Q2119">
        <v>0</v>
      </c>
      <c r="R2119" t="s">
        <v>47</v>
      </c>
      <c r="S2119">
        <v>0</v>
      </c>
      <c r="T2119" t="s">
        <v>47</v>
      </c>
    </row>
    <row r="2120" spans="1:20" x14ac:dyDescent="0.35">
      <c r="A2120" s="1" t="s">
        <v>4401</v>
      </c>
      <c r="B2120" t="s">
        <v>14</v>
      </c>
      <c r="C2120" t="s">
        <v>47</v>
      </c>
      <c r="D2120" t="s">
        <v>3848</v>
      </c>
      <c r="E2120">
        <v>0</v>
      </c>
      <c r="F2120" t="s">
        <v>47</v>
      </c>
      <c r="G2120">
        <v>0</v>
      </c>
      <c r="H2120" t="s">
        <v>47</v>
      </c>
      <c r="I2120">
        <v>0</v>
      </c>
      <c r="J2120" t="s">
        <v>47</v>
      </c>
      <c r="K2120">
        <v>1</v>
      </c>
      <c r="L2120" t="s">
        <v>48</v>
      </c>
      <c r="M2120">
        <v>0</v>
      </c>
      <c r="N2120" t="s">
        <v>47</v>
      </c>
      <c r="O2120">
        <v>0</v>
      </c>
      <c r="P2120" t="s">
        <v>47</v>
      </c>
      <c r="Q2120">
        <v>0</v>
      </c>
      <c r="R2120" t="s">
        <v>47</v>
      </c>
      <c r="S2120">
        <v>0</v>
      </c>
      <c r="T2120" t="s">
        <v>47</v>
      </c>
    </row>
    <row r="2121" spans="1:20" x14ac:dyDescent="0.35">
      <c r="A2121" s="1" t="s">
        <v>4402</v>
      </c>
      <c r="B2121" t="s">
        <v>14</v>
      </c>
      <c r="C2121" t="s">
        <v>47</v>
      </c>
      <c r="D2121" t="s">
        <v>3849</v>
      </c>
      <c r="E2121">
        <v>0</v>
      </c>
      <c r="F2121" t="s">
        <v>47</v>
      </c>
      <c r="G2121">
        <v>0</v>
      </c>
      <c r="H2121" t="s">
        <v>47</v>
      </c>
      <c r="I2121">
        <v>0</v>
      </c>
      <c r="J2121" t="s">
        <v>47</v>
      </c>
      <c r="K2121">
        <v>1</v>
      </c>
      <c r="L2121" t="s">
        <v>48</v>
      </c>
      <c r="M2121">
        <v>0</v>
      </c>
      <c r="N2121" t="s">
        <v>47</v>
      </c>
      <c r="O2121">
        <v>0</v>
      </c>
      <c r="P2121" t="s">
        <v>47</v>
      </c>
      <c r="Q2121">
        <v>0</v>
      </c>
      <c r="R2121" t="s">
        <v>47</v>
      </c>
      <c r="S2121">
        <v>0</v>
      </c>
      <c r="T2121" t="s">
        <v>47</v>
      </c>
    </row>
    <row r="2122" spans="1:20" x14ac:dyDescent="0.35">
      <c r="A2122" s="1" t="s">
        <v>4403</v>
      </c>
      <c r="B2122" t="s">
        <v>14</v>
      </c>
      <c r="C2122" t="s">
        <v>47</v>
      </c>
      <c r="D2122" t="s">
        <v>3850</v>
      </c>
      <c r="E2122">
        <v>0</v>
      </c>
      <c r="F2122" t="s">
        <v>47</v>
      </c>
      <c r="G2122">
        <v>0</v>
      </c>
      <c r="H2122" t="s">
        <v>47</v>
      </c>
      <c r="I2122">
        <v>0</v>
      </c>
      <c r="J2122" t="s">
        <v>47</v>
      </c>
      <c r="K2122">
        <v>1</v>
      </c>
      <c r="L2122" t="s">
        <v>48</v>
      </c>
      <c r="M2122">
        <v>0</v>
      </c>
      <c r="N2122" t="s">
        <v>47</v>
      </c>
      <c r="O2122">
        <v>0</v>
      </c>
      <c r="P2122" t="s">
        <v>47</v>
      </c>
      <c r="Q2122">
        <v>0</v>
      </c>
      <c r="R2122" t="s">
        <v>47</v>
      </c>
      <c r="S2122">
        <v>0</v>
      </c>
      <c r="T2122" t="s">
        <v>47</v>
      </c>
    </row>
    <row r="2123" spans="1:20" x14ac:dyDescent="0.35">
      <c r="A2123" s="1" t="s">
        <v>4404</v>
      </c>
      <c r="B2123" t="s">
        <v>14</v>
      </c>
      <c r="C2123" t="s">
        <v>47</v>
      </c>
      <c r="D2123" t="s">
        <v>3851</v>
      </c>
      <c r="E2123">
        <v>0</v>
      </c>
      <c r="F2123" t="s">
        <v>47</v>
      </c>
      <c r="G2123">
        <v>0</v>
      </c>
      <c r="H2123" t="s">
        <v>47</v>
      </c>
      <c r="I2123">
        <v>0</v>
      </c>
      <c r="J2123" t="s">
        <v>47</v>
      </c>
      <c r="K2123">
        <v>1</v>
      </c>
      <c r="L2123" t="s">
        <v>48</v>
      </c>
      <c r="M2123">
        <v>0</v>
      </c>
      <c r="N2123" t="s">
        <v>47</v>
      </c>
      <c r="O2123">
        <v>0</v>
      </c>
      <c r="P2123" t="s">
        <v>47</v>
      </c>
      <c r="Q2123">
        <v>0</v>
      </c>
      <c r="R2123" t="s">
        <v>47</v>
      </c>
      <c r="S2123">
        <v>0</v>
      </c>
      <c r="T2123" t="s">
        <v>47</v>
      </c>
    </row>
    <row r="2124" spans="1:20" x14ac:dyDescent="0.35">
      <c r="A2124" s="1" t="s">
        <v>4405</v>
      </c>
      <c r="B2124" t="s">
        <v>14</v>
      </c>
      <c r="C2124" t="s">
        <v>47</v>
      </c>
      <c r="D2124" t="s">
        <v>3852</v>
      </c>
      <c r="E2124">
        <v>0</v>
      </c>
      <c r="F2124" t="s">
        <v>47</v>
      </c>
      <c r="G2124">
        <v>0</v>
      </c>
      <c r="H2124" t="s">
        <v>47</v>
      </c>
      <c r="I2124">
        <v>0</v>
      </c>
      <c r="J2124" t="s">
        <v>47</v>
      </c>
      <c r="K2124">
        <v>1</v>
      </c>
      <c r="L2124" t="s">
        <v>48</v>
      </c>
      <c r="M2124">
        <v>0</v>
      </c>
      <c r="N2124" t="s">
        <v>47</v>
      </c>
      <c r="O2124">
        <v>0</v>
      </c>
      <c r="P2124" t="s">
        <v>47</v>
      </c>
      <c r="Q2124">
        <v>0</v>
      </c>
      <c r="R2124" t="s">
        <v>47</v>
      </c>
      <c r="S2124">
        <v>0</v>
      </c>
      <c r="T2124" t="s">
        <v>47</v>
      </c>
    </row>
    <row r="2125" spans="1:20" x14ac:dyDescent="0.35">
      <c r="A2125" s="1" t="s">
        <v>4406</v>
      </c>
      <c r="B2125" t="s">
        <v>14</v>
      </c>
      <c r="C2125" t="s">
        <v>47</v>
      </c>
      <c r="D2125" t="s">
        <v>3853</v>
      </c>
      <c r="E2125">
        <v>0</v>
      </c>
      <c r="F2125" t="s">
        <v>47</v>
      </c>
      <c r="G2125">
        <v>0</v>
      </c>
      <c r="H2125" t="s">
        <v>47</v>
      </c>
      <c r="I2125">
        <v>0</v>
      </c>
      <c r="J2125" t="s">
        <v>47</v>
      </c>
      <c r="K2125">
        <v>1</v>
      </c>
      <c r="L2125" t="s">
        <v>48</v>
      </c>
      <c r="M2125">
        <v>0</v>
      </c>
      <c r="N2125" t="s">
        <v>47</v>
      </c>
      <c r="O2125">
        <v>0</v>
      </c>
      <c r="P2125" t="s">
        <v>47</v>
      </c>
      <c r="Q2125">
        <v>0</v>
      </c>
      <c r="R2125" t="s">
        <v>47</v>
      </c>
      <c r="S2125">
        <v>0</v>
      </c>
      <c r="T2125" t="s">
        <v>47</v>
      </c>
    </row>
    <row r="2126" spans="1:20" x14ac:dyDescent="0.35">
      <c r="A2126" s="1" t="s">
        <v>4407</v>
      </c>
      <c r="B2126" t="s">
        <v>14</v>
      </c>
      <c r="C2126" t="s">
        <v>47</v>
      </c>
      <c r="D2126" t="s">
        <v>3854</v>
      </c>
      <c r="E2126">
        <v>1</v>
      </c>
      <c r="F2126" t="s">
        <v>45</v>
      </c>
      <c r="G2126">
        <v>0</v>
      </c>
      <c r="H2126" t="s">
        <v>47</v>
      </c>
      <c r="I2126">
        <v>0</v>
      </c>
      <c r="J2126" t="s">
        <v>47</v>
      </c>
      <c r="K2126">
        <v>1</v>
      </c>
      <c r="L2126" t="s">
        <v>48</v>
      </c>
      <c r="M2126">
        <v>0</v>
      </c>
      <c r="N2126" t="s">
        <v>47</v>
      </c>
      <c r="O2126">
        <v>0</v>
      </c>
      <c r="P2126" t="s">
        <v>47</v>
      </c>
      <c r="Q2126">
        <v>0</v>
      </c>
      <c r="R2126" t="s">
        <v>47</v>
      </c>
      <c r="S2126">
        <v>0</v>
      </c>
      <c r="T2126" t="s">
        <v>47</v>
      </c>
    </row>
    <row r="2127" spans="1:20" x14ac:dyDescent="0.35">
      <c r="A2127" s="1" t="s">
        <v>4408</v>
      </c>
      <c r="B2127" t="s">
        <v>14</v>
      </c>
      <c r="C2127" t="s">
        <v>47</v>
      </c>
      <c r="D2127" t="s">
        <v>3855</v>
      </c>
      <c r="E2127">
        <v>0</v>
      </c>
      <c r="F2127" t="s">
        <v>47</v>
      </c>
      <c r="G2127">
        <v>0</v>
      </c>
      <c r="H2127" t="s">
        <v>47</v>
      </c>
      <c r="I2127">
        <v>0</v>
      </c>
      <c r="J2127" t="s">
        <v>47</v>
      </c>
      <c r="K2127">
        <v>1</v>
      </c>
      <c r="L2127" t="s">
        <v>48</v>
      </c>
      <c r="M2127">
        <v>0</v>
      </c>
      <c r="N2127" t="s">
        <v>47</v>
      </c>
      <c r="O2127">
        <v>0</v>
      </c>
      <c r="P2127" t="s">
        <v>47</v>
      </c>
      <c r="Q2127">
        <v>0</v>
      </c>
      <c r="R2127" t="s">
        <v>47</v>
      </c>
      <c r="S2127">
        <v>0</v>
      </c>
      <c r="T2127" t="s">
        <v>47</v>
      </c>
    </row>
    <row r="2128" spans="1:20" x14ac:dyDescent="0.35">
      <c r="A2128" s="1" t="s">
        <v>4409</v>
      </c>
      <c r="B2128" t="s">
        <v>14</v>
      </c>
      <c r="C2128" t="s">
        <v>47</v>
      </c>
      <c r="D2128" t="s">
        <v>3856</v>
      </c>
      <c r="E2128">
        <v>0</v>
      </c>
      <c r="F2128" t="s">
        <v>47</v>
      </c>
      <c r="G2128">
        <v>0</v>
      </c>
      <c r="H2128" t="s">
        <v>47</v>
      </c>
      <c r="I2128">
        <v>0</v>
      </c>
      <c r="J2128" t="s">
        <v>47</v>
      </c>
      <c r="K2128">
        <v>1</v>
      </c>
      <c r="L2128" t="s">
        <v>48</v>
      </c>
      <c r="M2128">
        <v>0</v>
      </c>
      <c r="N2128" t="s">
        <v>47</v>
      </c>
      <c r="O2128">
        <v>0</v>
      </c>
      <c r="P2128" t="s">
        <v>47</v>
      </c>
      <c r="Q2128">
        <v>0</v>
      </c>
      <c r="R2128" t="s">
        <v>47</v>
      </c>
      <c r="S2128">
        <v>0</v>
      </c>
      <c r="T2128" t="s">
        <v>47</v>
      </c>
    </row>
    <row r="2129" spans="1:20" x14ac:dyDescent="0.35">
      <c r="A2129" s="1" t="s">
        <v>4410</v>
      </c>
      <c r="B2129" t="s">
        <v>14</v>
      </c>
      <c r="C2129" t="s">
        <v>47</v>
      </c>
      <c r="D2129" t="s">
        <v>3857</v>
      </c>
      <c r="E2129">
        <v>0</v>
      </c>
      <c r="F2129" t="s">
        <v>47</v>
      </c>
      <c r="G2129">
        <v>0</v>
      </c>
      <c r="H2129" t="s">
        <v>47</v>
      </c>
      <c r="I2129">
        <v>0</v>
      </c>
      <c r="J2129" t="s">
        <v>47</v>
      </c>
      <c r="K2129">
        <v>1</v>
      </c>
      <c r="L2129" t="s">
        <v>48</v>
      </c>
      <c r="M2129">
        <v>0</v>
      </c>
      <c r="N2129" t="s">
        <v>47</v>
      </c>
      <c r="O2129">
        <v>0</v>
      </c>
      <c r="P2129" t="s">
        <v>47</v>
      </c>
      <c r="Q2129">
        <v>0</v>
      </c>
      <c r="R2129" t="s">
        <v>47</v>
      </c>
      <c r="S2129">
        <v>0</v>
      </c>
      <c r="T2129" t="s">
        <v>47</v>
      </c>
    </row>
    <row r="2130" spans="1:20" x14ac:dyDescent="0.35">
      <c r="A2130" s="1" t="s">
        <v>4411</v>
      </c>
      <c r="B2130" t="s">
        <v>14</v>
      </c>
      <c r="C2130" t="s">
        <v>47</v>
      </c>
      <c r="D2130" t="s">
        <v>3858</v>
      </c>
      <c r="E2130">
        <v>0</v>
      </c>
      <c r="F2130" t="s">
        <v>47</v>
      </c>
      <c r="G2130">
        <v>0</v>
      </c>
      <c r="H2130" t="s">
        <v>47</v>
      </c>
      <c r="I2130">
        <v>0</v>
      </c>
      <c r="J2130" t="s">
        <v>47</v>
      </c>
      <c r="K2130">
        <v>1</v>
      </c>
      <c r="L2130" t="s">
        <v>48</v>
      </c>
      <c r="M2130">
        <v>0</v>
      </c>
      <c r="N2130" t="s">
        <v>47</v>
      </c>
      <c r="O2130">
        <v>0</v>
      </c>
      <c r="P2130" t="s">
        <v>47</v>
      </c>
      <c r="Q2130">
        <v>0</v>
      </c>
      <c r="R2130" t="s">
        <v>47</v>
      </c>
      <c r="S2130">
        <v>0</v>
      </c>
      <c r="T2130" t="s">
        <v>47</v>
      </c>
    </row>
    <row r="2131" spans="1:20" x14ac:dyDescent="0.35">
      <c r="A2131" s="1" t="s">
        <v>4412</v>
      </c>
      <c r="B2131" t="s">
        <v>14</v>
      </c>
      <c r="C2131" t="s">
        <v>47</v>
      </c>
      <c r="D2131" t="s">
        <v>3859</v>
      </c>
      <c r="E2131">
        <v>0</v>
      </c>
      <c r="F2131" t="s">
        <v>47</v>
      </c>
      <c r="G2131">
        <v>1</v>
      </c>
      <c r="H2131" t="s">
        <v>55</v>
      </c>
      <c r="I2131">
        <v>0</v>
      </c>
      <c r="J2131" t="s">
        <v>47</v>
      </c>
      <c r="K2131">
        <v>1</v>
      </c>
      <c r="L2131" t="s">
        <v>48</v>
      </c>
      <c r="M2131">
        <v>0</v>
      </c>
      <c r="N2131" t="s">
        <v>47</v>
      </c>
      <c r="O2131">
        <v>0</v>
      </c>
      <c r="P2131" t="s">
        <v>47</v>
      </c>
      <c r="Q2131">
        <v>0</v>
      </c>
      <c r="R2131" t="s">
        <v>47</v>
      </c>
      <c r="S2131">
        <v>0</v>
      </c>
      <c r="T2131" t="s">
        <v>47</v>
      </c>
    </row>
    <row r="2132" spans="1:20" x14ac:dyDescent="0.35">
      <c r="A2132" s="1" t="s">
        <v>4413</v>
      </c>
      <c r="B2132" t="s">
        <v>14</v>
      </c>
      <c r="C2132" t="s">
        <v>47</v>
      </c>
      <c r="D2132" t="s">
        <v>3860</v>
      </c>
      <c r="E2132">
        <v>0</v>
      </c>
      <c r="F2132" t="s">
        <v>47</v>
      </c>
      <c r="G2132">
        <v>0</v>
      </c>
      <c r="H2132" t="s">
        <v>47</v>
      </c>
      <c r="I2132">
        <v>0</v>
      </c>
      <c r="J2132" t="s">
        <v>47</v>
      </c>
      <c r="K2132">
        <v>1</v>
      </c>
      <c r="L2132" t="s">
        <v>48</v>
      </c>
      <c r="M2132">
        <v>0</v>
      </c>
      <c r="N2132" t="s">
        <v>47</v>
      </c>
      <c r="O2132">
        <v>0</v>
      </c>
      <c r="P2132" t="s">
        <v>47</v>
      </c>
      <c r="Q2132">
        <v>0</v>
      </c>
      <c r="R2132" t="s">
        <v>47</v>
      </c>
      <c r="S2132">
        <v>0</v>
      </c>
      <c r="T2132" t="s">
        <v>47</v>
      </c>
    </row>
    <row r="2133" spans="1:20" x14ac:dyDescent="0.35">
      <c r="A2133" s="1" t="s">
        <v>4414</v>
      </c>
      <c r="B2133" t="s">
        <v>14</v>
      </c>
      <c r="C2133" t="s">
        <v>47</v>
      </c>
      <c r="D2133" t="s">
        <v>3861</v>
      </c>
      <c r="E2133">
        <v>0</v>
      </c>
      <c r="F2133" t="s">
        <v>47</v>
      </c>
      <c r="G2133">
        <v>0</v>
      </c>
      <c r="H2133" t="s">
        <v>47</v>
      </c>
      <c r="I2133">
        <v>0</v>
      </c>
      <c r="J2133" t="s">
        <v>47</v>
      </c>
      <c r="K2133">
        <v>1</v>
      </c>
      <c r="L2133" t="s">
        <v>48</v>
      </c>
      <c r="M2133">
        <v>0</v>
      </c>
      <c r="N2133" t="s">
        <v>47</v>
      </c>
      <c r="O2133">
        <v>0</v>
      </c>
      <c r="P2133" t="s">
        <v>47</v>
      </c>
      <c r="Q2133">
        <v>0</v>
      </c>
      <c r="R2133" t="s">
        <v>47</v>
      </c>
      <c r="S2133">
        <v>0</v>
      </c>
      <c r="T2133" t="s">
        <v>47</v>
      </c>
    </row>
    <row r="2134" spans="1:20" x14ac:dyDescent="0.35">
      <c r="A2134" s="1" t="s">
        <v>4415</v>
      </c>
      <c r="B2134" t="s">
        <v>14</v>
      </c>
      <c r="C2134" t="s">
        <v>47</v>
      </c>
      <c r="D2134" t="s">
        <v>3862</v>
      </c>
      <c r="E2134">
        <v>0</v>
      </c>
      <c r="F2134" t="s">
        <v>47</v>
      </c>
      <c r="G2134">
        <v>0</v>
      </c>
      <c r="H2134" t="s">
        <v>47</v>
      </c>
      <c r="I2134">
        <v>0</v>
      </c>
      <c r="J2134" t="s">
        <v>47</v>
      </c>
      <c r="K2134">
        <v>1</v>
      </c>
      <c r="L2134" t="s">
        <v>48</v>
      </c>
      <c r="M2134">
        <v>0</v>
      </c>
      <c r="N2134" t="s">
        <v>47</v>
      </c>
      <c r="O2134">
        <v>0</v>
      </c>
      <c r="P2134" t="s">
        <v>47</v>
      </c>
      <c r="Q2134">
        <v>0</v>
      </c>
      <c r="R2134" t="s">
        <v>47</v>
      </c>
      <c r="S2134">
        <v>0</v>
      </c>
      <c r="T2134" t="s">
        <v>47</v>
      </c>
    </row>
    <row r="2135" spans="1:20" x14ac:dyDescent="0.35">
      <c r="A2135" s="1" t="s">
        <v>4416</v>
      </c>
      <c r="B2135" t="s">
        <v>14</v>
      </c>
      <c r="C2135" t="s">
        <v>47</v>
      </c>
      <c r="D2135" t="s">
        <v>3863</v>
      </c>
      <c r="E2135">
        <v>0</v>
      </c>
      <c r="F2135" t="s">
        <v>47</v>
      </c>
      <c r="G2135">
        <v>0</v>
      </c>
      <c r="H2135" t="s">
        <v>47</v>
      </c>
      <c r="I2135">
        <v>0</v>
      </c>
      <c r="J2135" t="s">
        <v>47</v>
      </c>
      <c r="K2135">
        <v>1</v>
      </c>
      <c r="L2135" t="s">
        <v>48</v>
      </c>
      <c r="M2135">
        <v>0</v>
      </c>
      <c r="N2135" t="s">
        <v>47</v>
      </c>
      <c r="O2135">
        <v>0</v>
      </c>
      <c r="P2135" t="s">
        <v>47</v>
      </c>
      <c r="Q2135">
        <v>0</v>
      </c>
      <c r="R2135" t="s">
        <v>47</v>
      </c>
      <c r="S2135">
        <v>0</v>
      </c>
      <c r="T2135" t="s">
        <v>47</v>
      </c>
    </row>
    <row r="2136" spans="1:20" x14ac:dyDescent="0.35">
      <c r="A2136" s="1" t="s">
        <v>4417</v>
      </c>
      <c r="B2136" t="s">
        <v>12</v>
      </c>
      <c r="C2136" t="s">
        <v>47</v>
      </c>
      <c r="D2136" t="s">
        <v>3864</v>
      </c>
      <c r="E2136">
        <v>0</v>
      </c>
      <c r="F2136" t="s">
        <v>47</v>
      </c>
      <c r="G2136">
        <v>0</v>
      </c>
      <c r="H2136" t="s">
        <v>47</v>
      </c>
      <c r="I2136">
        <v>1</v>
      </c>
      <c r="J2136" t="s">
        <v>48</v>
      </c>
      <c r="K2136">
        <v>0</v>
      </c>
      <c r="L2136" t="s">
        <v>47</v>
      </c>
      <c r="M2136">
        <v>0</v>
      </c>
      <c r="N2136" t="s">
        <v>47</v>
      </c>
      <c r="O2136">
        <v>0</v>
      </c>
      <c r="P2136" t="s">
        <v>47</v>
      </c>
      <c r="Q2136">
        <v>0</v>
      </c>
      <c r="R2136" t="s">
        <v>47</v>
      </c>
      <c r="S2136">
        <v>0</v>
      </c>
      <c r="T2136" t="s">
        <v>47</v>
      </c>
    </row>
    <row r="2137" spans="1:20" x14ac:dyDescent="0.35">
      <c r="A2137" s="1" t="s">
        <v>4418</v>
      </c>
      <c r="B2137" t="s">
        <v>14</v>
      </c>
      <c r="C2137" t="s">
        <v>47</v>
      </c>
      <c r="D2137" t="s">
        <v>3865</v>
      </c>
      <c r="E2137">
        <v>0</v>
      </c>
      <c r="F2137" t="s">
        <v>47</v>
      </c>
      <c r="G2137">
        <v>0</v>
      </c>
      <c r="H2137" t="s">
        <v>47</v>
      </c>
      <c r="I2137">
        <v>1</v>
      </c>
      <c r="J2137" t="s">
        <v>48</v>
      </c>
      <c r="K2137">
        <v>0</v>
      </c>
      <c r="L2137" t="s">
        <v>47</v>
      </c>
      <c r="M2137">
        <v>0</v>
      </c>
      <c r="N2137" t="s">
        <v>47</v>
      </c>
      <c r="O2137">
        <v>0</v>
      </c>
      <c r="P2137" t="s">
        <v>47</v>
      </c>
      <c r="Q2137">
        <v>0</v>
      </c>
      <c r="R2137" t="s">
        <v>47</v>
      </c>
      <c r="S2137">
        <v>0</v>
      </c>
      <c r="T2137" t="s">
        <v>47</v>
      </c>
    </row>
    <row r="2138" spans="1:20" x14ac:dyDescent="0.35">
      <c r="A2138" s="1" t="s">
        <v>4419</v>
      </c>
      <c r="B2138" t="s">
        <v>14</v>
      </c>
      <c r="C2138" t="s">
        <v>47</v>
      </c>
      <c r="D2138" t="s">
        <v>3866</v>
      </c>
      <c r="E2138">
        <v>0</v>
      </c>
      <c r="F2138" t="s">
        <v>47</v>
      </c>
      <c r="G2138">
        <v>0</v>
      </c>
      <c r="H2138" t="s">
        <v>47</v>
      </c>
      <c r="I2138">
        <v>1</v>
      </c>
      <c r="J2138" t="s">
        <v>48</v>
      </c>
      <c r="K2138">
        <v>0</v>
      </c>
      <c r="L2138" t="s">
        <v>47</v>
      </c>
      <c r="M2138">
        <v>0</v>
      </c>
      <c r="N2138" t="s">
        <v>47</v>
      </c>
      <c r="O2138">
        <v>0</v>
      </c>
      <c r="P2138" t="s">
        <v>47</v>
      </c>
      <c r="Q2138">
        <v>0</v>
      </c>
      <c r="R2138" t="s">
        <v>47</v>
      </c>
      <c r="S2138">
        <v>0</v>
      </c>
      <c r="T2138" t="s">
        <v>47</v>
      </c>
    </row>
    <row r="2139" spans="1:20" x14ac:dyDescent="0.35">
      <c r="A2139" s="1" t="s">
        <v>4420</v>
      </c>
      <c r="B2139" t="s">
        <v>14</v>
      </c>
      <c r="C2139" t="s">
        <v>47</v>
      </c>
      <c r="D2139" t="s">
        <v>3867</v>
      </c>
      <c r="E2139">
        <v>0</v>
      </c>
      <c r="F2139" t="s">
        <v>47</v>
      </c>
      <c r="G2139">
        <v>0</v>
      </c>
      <c r="H2139" t="s">
        <v>47</v>
      </c>
      <c r="I2139">
        <v>1</v>
      </c>
      <c r="J2139" t="s">
        <v>48</v>
      </c>
      <c r="K2139">
        <v>0</v>
      </c>
      <c r="L2139" t="s">
        <v>47</v>
      </c>
      <c r="M2139">
        <v>0</v>
      </c>
      <c r="N2139" t="s">
        <v>47</v>
      </c>
      <c r="O2139">
        <v>0</v>
      </c>
      <c r="P2139" t="s">
        <v>47</v>
      </c>
      <c r="Q2139">
        <v>0</v>
      </c>
      <c r="R2139" t="s">
        <v>47</v>
      </c>
      <c r="S2139">
        <v>0</v>
      </c>
      <c r="T2139" t="s">
        <v>47</v>
      </c>
    </row>
    <row r="2140" spans="1:20" x14ac:dyDescent="0.35">
      <c r="A2140" s="1" t="s">
        <v>4421</v>
      </c>
      <c r="B2140" t="s">
        <v>14</v>
      </c>
      <c r="C2140" t="s">
        <v>47</v>
      </c>
      <c r="D2140" t="s">
        <v>3868</v>
      </c>
      <c r="E2140">
        <v>0</v>
      </c>
      <c r="F2140" t="s">
        <v>47</v>
      </c>
      <c r="G2140">
        <v>0</v>
      </c>
      <c r="H2140" t="s">
        <v>47</v>
      </c>
      <c r="I2140">
        <v>1</v>
      </c>
      <c r="J2140" t="s">
        <v>48</v>
      </c>
      <c r="K2140">
        <v>0</v>
      </c>
      <c r="L2140" t="s">
        <v>47</v>
      </c>
      <c r="M2140">
        <v>0</v>
      </c>
      <c r="N2140" t="s">
        <v>47</v>
      </c>
      <c r="O2140">
        <v>0</v>
      </c>
      <c r="P2140" t="s">
        <v>47</v>
      </c>
      <c r="Q2140">
        <v>0</v>
      </c>
      <c r="R2140" t="s">
        <v>47</v>
      </c>
      <c r="S2140">
        <v>0</v>
      </c>
      <c r="T2140" t="s">
        <v>47</v>
      </c>
    </row>
    <row r="2141" spans="1:20" x14ac:dyDescent="0.35">
      <c r="A2141" s="1" t="s">
        <v>4422</v>
      </c>
      <c r="B2141" t="s">
        <v>14</v>
      </c>
      <c r="C2141" t="s">
        <v>47</v>
      </c>
      <c r="D2141" t="s">
        <v>3869</v>
      </c>
      <c r="E2141">
        <v>0</v>
      </c>
      <c r="F2141" t="s">
        <v>47</v>
      </c>
      <c r="G2141">
        <v>0</v>
      </c>
      <c r="H2141" t="s">
        <v>47</v>
      </c>
      <c r="I2141">
        <v>1</v>
      </c>
      <c r="J2141" t="s">
        <v>48</v>
      </c>
      <c r="K2141">
        <v>0</v>
      </c>
      <c r="L2141" t="s">
        <v>47</v>
      </c>
      <c r="M2141">
        <v>0</v>
      </c>
      <c r="N2141" t="s">
        <v>47</v>
      </c>
      <c r="O2141">
        <v>0</v>
      </c>
      <c r="P2141" t="s">
        <v>47</v>
      </c>
      <c r="Q2141">
        <v>0</v>
      </c>
      <c r="R2141" t="s">
        <v>47</v>
      </c>
      <c r="S2141">
        <v>0</v>
      </c>
      <c r="T2141" t="s">
        <v>47</v>
      </c>
    </row>
    <row r="2142" spans="1:20" x14ac:dyDescent="0.35">
      <c r="A2142" s="1" t="s">
        <v>4423</v>
      </c>
      <c r="B2142" t="s">
        <v>14</v>
      </c>
      <c r="C2142" t="s">
        <v>47</v>
      </c>
      <c r="D2142" t="s">
        <v>3870</v>
      </c>
      <c r="E2142">
        <v>0</v>
      </c>
      <c r="F2142" t="s">
        <v>47</v>
      </c>
      <c r="G2142">
        <v>0</v>
      </c>
      <c r="H2142" t="s">
        <v>47</v>
      </c>
      <c r="I2142">
        <v>1</v>
      </c>
      <c r="J2142" t="s">
        <v>48</v>
      </c>
      <c r="K2142">
        <v>0</v>
      </c>
      <c r="L2142" t="s">
        <v>47</v>
      </c>
      <c r="M2142">
        <v>0</v>
      </c>
      <c r="N2142" t="s">
        <v>47</v>
      </c>
      <c r="O2142">
        <v>0</v>
      </c>
      <c r="P2142" t="s">
        <v>47</v>
      </c>
      <c r="Q2142">
        <v>0</v>
      </c>
      <c r="R2142" t="s">
        <v>47</v>
      </c>
      <c r="S2142">
        <v>0</v>
      </c>
      <c r="T2142" t="s">
        <v>47</v>
      </c>
    </row>
    <row r="2143" spans="1:20" x14ac:dyDescent="0.35">
      <c r="A2143" s="1" t="s">
        <v>4424</v>
      </c>
      <c r="B2143" t="s">
        <v>14</v>
      </c>
      <c r="C2143" t="s">
        <v>47</v>
      </c>
      <c r="D2143" t="s">
        <v>3871</v>
      </c>
      <c r="E2143">
        <v>0</v>
      </c>
      <c r="F2143" t="s">
        <v>47</v>
      </c>
      <c r="G2143">
        <v>0</v>
      </c>
      <c r="H2143" t="s">
        <v>47</v>
      </c>
      <c r="I2143">
        <v>1</v>
      </c>
      <c r="J2143" t="s">
        <v>48</v>
      </c>
      <c r="K2143">
        <v>0</v>
      </c>
      <c r="L2143" t="s">
        <v>47</v>
      </c>
      <c r="M2143">
        <v>0</v>
      </c>
      <c r="N2143" t="s">
        <v>47</v>
      </c>
      <c r="O2143">
        <v>0</v>
      </c>
      <c r="P2143" t="s">
        <v>47</v>
      </c>
      <c r="Q2143">
        <v>0</v>
      </c>
      <c r="R2143" t="s">
        <v>47</v>
      </c>
      <c r="S2143">
        <v>0</v>
      </c>
      <c r="T2143" t="s">
        <v>47</v>
      </c>
    </row>
    <row r="2144" spans="1:20" x14ac:dyDescent="0.35">
      <c r="A2144" s="1" t="s">
        <v>4425</v>
      </c>
      <c r="B2144" t="s">
        <v>14</v>
      </c>
      <c r="C2144" t="s">
        <v>47</v>
      </c>
      <c r="D2144" t="s">
        <v>3872</v>
      </c>
      <c r="E2144">
        <v>0</v>
      </c>
      <c r="F2144" t="s">
        <v>47</v>
      </c>
      <c r="G2144">
        <v>0</v>
      </c>
      <c r="H2144" t="s">
        <v>47</v>
      </c>
      <c r="I2144">
        <v>1</v>
      </c>
      <c r="J2144" t="s">
        <v>48</v>
      </c>
      <c r="K2144">
        <v>0</v>
      </c>
      <c r="L2144" t="s">
        <v>47</v>
      </c>
      <c r="M2144">
        <v>0</v>
      </c>
      <c r="N2144" t="s">
        <v>47</v>
      </c>
      <c r="O2144">
        <v>0</v>
      </c>
      <c r="P2144" t="s">
        <v>47</v>
      </c>
      <c r="Q2144">
        <v>0</v>
      </c>
      <c r="R2144" t="s">
        <v>47</v>
      </c>
      <c r="S2144">
        <v>0</v>
      </c>
      <c r="T2144" t="s">
        <v>47</v>
      </c>
    </row>
    <row r="2145" spans="1:20" x14ac:dyDescent="0.35">
      <c r="A2145" s="1" t="s">
        <v>4426</v>
      </c>
      <c r="B2145" t="s">
        <v>14</v>
      </c>
      <c r="C2145" t="s">
        <v>47</v>
      </c>
      <c r="D2145" t="s">
        <v>3873</v>
      </c>
      <c r="E2145">
        <v>0</v>
      </c>
      <c r="F2145" t="s">
        <v>47</v>
      </c>
      <c r="G2145">
        <v>0</v>
      </c>
      <c r="H2145" t="s">
        <v>47</v>
      </c>
      <c r="I2145">
        <v>1</v>
      </c>
      <c r="J2145" t="s">
        <v>48</v>
      </c>
      <c r="K2145">
        <v>0</v>
      </c>
      <c r="L2145" t="s">
        <v>47</v>
      </c>
      <c r="M2145">
        <v>0</v>
      </c>
      <c r="N2145" t="s">
        <v>47</v>
      </c>
      <c r="O2145">
        <v>0</v>
      </c>
      <c r="P2145" t="s">
        <v>47</v>
      </c>
      <c r="Q2145">
        <v>0</v>
      </c>
      <c r="R2145" t="s">
        <v>47</v>
      </c>
      <c r="S2145">
        <v>0</v>
      </c>
      <c r="T2145" t="s">
        <v>47</v>
      </c>
    </row>
    <row r="2146" spans="1:20" x14ac:dyDescent="0.35">
      <c r="A2146" s="1" t="s">
        <v>4427</v>
      </c>
      <c r="B2146" t="s">
        <v>14</v>
      </c>
      <c r="C2146" t="s">
        <v>47</v>
      </c>
      <c r="D2146" t="s">
        <v>3874</v>
      </c>
      <c r="E2146">
        <v>0</v>
      </c>
      <c r="F2146" t="s">
        <v>47</v>
      </c>
      <c r="G2146">
        <v>0</v>
      </c>
      <c r="H2146" t="s">
        <v>47</v>
      </c>
      <c r="I2146">
        <v>1</v>
      </c>
      <c r="J2146" t="s">
        <v>48</v>
      </c>
      <c r="K2146">
        <v>0</v>
      </c>
      <c r="L2146" t="s">
        <v>47</v>
      </c>
      <c r="M2146">
        <v>0</v>
      </c>
      <c r="N2146" t="s">
        <v>47</v>
      </c>
      <c r="O2146">
        <v>0</v>
      </c>
      <c r="P2146" t="s">
        <v>47</v>
      </c>
      <c r="Q2146">
        <v>0</v>
      </c>
      <c r="R2146" t="s">
        <v>47</v>
      </c>
      <c r="S2146">
        <v>0</v>
      </c>
      <c r="T2146" t="s">
        <v>47</v>
      </c>
    </row>
    <row r="2147" spans="1:20" x14ac:dyDescent="0.35">
      <c r="A2147" s="1" t="s">
        <v>4428</v>
      </c>
      <c r="B2147" t="s">
        <v>14</v>
      </c>
      <c r="C2147" t="s">
        <v>47</v>
      </c>
      <c r="D2147" t="s">
        <v>3875</v>
      </c>
      <c r="E2147">
        <v>0</v>
      </c>
      <c r="F2147" t="s">
        <v>47</v>
      </c>
      <c r="G2147">
        <v>0</v>
      </c>
      <c r="H2147" t="s">
        <v>47</v>
      </c>
      <c r="I2147">
        <v>1</v>
      </c>
      <c r="J2147" t="s">
        <v>48</v>
      </c>
      <c r="K2147">
        <v>0</v>
      </c>
      <c r="L2147" t="s">
        <v>47</v>
      </c>
      <c r="M2147">
        <v>0</v>
      </c>
      <c r="N2147" t="s">
        <v>47</v>
      </c>
      <c r="O2147">
        <v>0</v>
      </c>
      <c r="P2147" t="s">
        <v>47</v>
      </c>
      <c r="Q2147">
        <v>0</v>
      </c>
      <c r="R2147" t="s">
        <v>47</v>
      </c>
      <c r="S2147">
        <v>0</v>
      </c>
      <c r="T2147" t="s">
        <v>47</v>
      </c>
    </row>
    <row r="2148" spans="1:20" x14ac:dyDescent="0.35">
      <c r="A2148" s="1" t="s">
        <v>4429</v>
      </c>
      <c r="B2148" t="s">
        <v>14</v>
      </c>
      <c r="C2148" t="s">
        <v>47</v>
      </c>
      <c r="D2148" t="s">
        <v>3876</v>
      </c>
      <c r="E2148">
        <v>0</v>
      </c>
      <c r="F2148" t="s">
        <v>47</v>
      </c>
      <c r="G2148">
        <v>0</v>
      </c>
      <c r="H2148" t="s">
        <v>47</v>
      </c>
      <c r="I2148">
        <v>1</v>
      </c>
      <c r="J2148" t="s">
        <v>48</v>
      </c>
      <c r="K2148">
        <v>0</v>
      </c>
      <c r="L2148" t="s">
        <v>47</v>
      </c>
      <c r="M2148">
        <v>0</v>
      </c>
      <c r="N2148" t="s">
        <v>47</v>
      </c>
      <c r="O2148">
        <v>0</v>
      </c>
      <c r="P2148" t="s">
        <v>47</v>
      </c>
      <c r="Q2148">
        <v>0</v>
      </c>
      <c r="R2148" t="s">
        <v>47</v>
      </c>
      <c r="S2148">
        <v>0</v>
      </c>
      <c r="T2148" t="s">
        <v>47</v>
      </c>
    </row>
    <row r="2149" spans="1:20" x14ac:dyDescent="0.35">
      <c r="A2149" s="1" t="s">
        <v>4430</v>
      </c>
      <c r="B2149" t="s">
        <v>14</v>
      </c>
      <c r="C2149" t="s">
        <v>47</v>
      </c>
      <c r="D2149" t="s">
        <v>3877</v>
      </c>
      <c r="E2149">
        <v>0</v>
      </c>
      <c r="F2149" t="s">
        <v>47</v>
      </c>
      <c r="G2149">
        <v>0</v>
      </c>
      <c r="H2149" t="s">
        <v>47</v>
      </c>
      <c r="I2149">
        <v>1</v>
      </c>
      <c r="J2149" t="s">
        <v>48</v>
      </c>
      <c r="K2149">
        <v>0</v>
      </c>
      <c r="L2149" t="s">
        <v>47</v>
      </c>
      <c r="M2149">
        <v>0</v>
      </c>
      <c r="N2149" t="s">
        <v>47</v>
      </c>
      <c r="O2149">
        <v>0</v>
      </c>
      <c r="P2149" t="s">
        <v>47</v>
      </c>
      <c r="Q2149">
        <v>0</v>
      </c>
      <c r="R2149" t="s">
        <v>47</v>
      </c>
      <c r="S2149">
        <v>0</v>
      </c>
      <c r="T2149" t="s">
        <v>47</v>
      </c>
    </row>
    <row r="2150" spans="1:20" x14ac:dyDescent="0.35">
      <c r="A2150" s="1" t="s">
        <v>4431</v>
      </c>
      <c r="B2150" t="s">
        <v>14</v>
      </c>
      <c r="C2150" t="s">
        <v>47</v>
      </c>
      <c r="D2150" t="s">
        <v>3878</v>
      </c>
      <c r="E2150">
        <v>0</v>
      </c>
      <c r="F2150" t="s">
        <v>47</v>
      </c>
      <c r="G2150">
        <v>0</v>
      </c>
      <c r="H2150" t="s">
        <v>47</v>
      </c>
      <c r="I2150">
        <v>1</v>
      </c>
      <c r="J2150" t="s">
        <v>48</v>
      </c>
      <c r="K2150">
        <v>0</v>
      </c>
      <c r="L2150" t="s">
        <v>47</v>
      </c>
      <c r="M2150">
        <v>0</v>
      </c>
      <c r="N2150" t="s">
        <v>47</v>
      </c>
      <c r="O2150">
        <v>0</v>
      </c>
      <c r="P2150" t="s">
        <v>47</v>
      </c>
      <c r="Q2150">
        <v>0</v>
      </c>
      <c r="R2150" t="s">
        <v>47</v>
      </c>
      <c r="S2150">
        <v>0</v>
      </c>
      <c r="T2150" t="s">
        <v>47</v>
      </c>
    </row>
    <row r="2151" spans="1:20" x14ac:dyDescent="0.35">
      <c r="A2151" s="1" t="s">
        <v>4432</v>
      </c>
      <c r="B2151" t="s">
        <v>14</v>
      </c>
      <c r="C2151" t="s">
        <v>47</v>
      </c>
      <c r="D2151" t="s">
        <v>3879</v>
      </c>
      <c r="E2151">
        <v>0</v>
      </c>
      <c r="F2151" t="s">
        <v>47</v>
      </c>
      <c r="G2151">
        <v>0</v>
      </c>
      <c r="H2151" t="s">
        <v>47</v>
      </c>
      <c r="I2151">
        <v>1</v>
      </c>
      <c r="J2151" t="s">
        <v>48</v>
      </c>
      <c r="K2151">
        <v>0</v>
      </c>
      <c r="L2151" t="s">
        <v>47</v>
      </c>
      <c r="M2151">
        <v>0</v>
      </c>
      <c r="N2151" t="s">
        <v>47</v>
      </c>
      <c r="O2151">
        <v>0</v>
      </c>
      <c r="P2151" t="s">
        <v>47</v>
      </c>
      <c r="Q2151">
        <v>0</v>
      </c>
      <c r="R2151" t="s">
        <v>47</v>
      </c>
      <c r="S2151">
        <v>0</v>
      </c>
      <c r="T2151" t="s">
        <v>47</v>
      </c>
    </row>
    <row r="2152" spans="1:20" x14ac:dyDescent="0.35">
      <c r="A2152" s="1" t="s">
        <v>4433</v>
      </c>
      <c r="B2152" t="s">
        <v>14</v>
      </c>
      <c r="C2152" t="s">
        <v>47</v>
      </c>
      <c r="D2152" t="s">
        <v>3880</v>
      </c>
      <c r="E2152">
        <v>0</v>
      </c>
      <c r="F2152" t="s">
        <v>47</v>
      </c>
      <c r="G2152">
        <v>0</v>
      </c>
      <c r="H2152" t="s">
        <v>47</v>
      </c>
      <c r="I2152">
        <v>1</v>
      </c>
      <c r="J2152" t="s">
        <v>48</v>
      </c>
      <c r="K2152">
        <v>0</v>
      </c>
      <c r="L2152" t="s">
        <v>47</v>
      </c>
      <c r="M2152">
        <v>0</v>
      </c>
      <c r="N2152" t="s">
        <v>47</v>
      </c>
      <c r="O2152">
        <v>0</v>
      </c>
      <c r="P2152" t="s">
        <v>47</v>
      </c>
      <c r="Q2152">
        <v>0</v>
      </c>
      <c r="R2152" t="s">
        <v>47</v>
      </c>
      <c r="S2152">
        <v>0</v>
      </c>
      <c r="T2152" t="s">
        <v>47</v>
      </c>
    </row>
    <row r="2153" spans="1:20" x14ac:dyDescent="0.35">
      <c r="A2153" s="1" t="s">
        <v>4434</v>
      </c>
      <c r="B2153" t="s">
        <v>14</v>
      </c>
      <c r="C2153" t="s">
        <v>47</v>
      </c>
      <c r="D2153" t="s">
        <v>3881</v>
      </c>
      <c r="E2153">
        <v>0</v>
      </c>
      <c r="F2153" t="s">
        <v>47</v>
      </c>
      <c r="G2153">
        <v>0</v>
      </c>
      <c r="H2153" t="s">
        <v>47</v>
      </c>
      <c r="I2153">
        <v>1</v>
      </c>
      <c r="J2153" t="s">
        <v>48</v>
      </c>
      <c r="K2153">
        <v>0</v>
      </c>
      <c r="L2153" t="s">
        <v>47</v>
      </c>
      <c r="M2153">
        <v>0</v>
      </c>
      <c r="N2153" t="s">
        <v>47</v>
      </c>
      <c r="O2153">
        <v>0</v>
      </c>
      <c r="P2153" t="s">
        <v>47</v>
      </c>
      <c r="Q2153">
        <v>0</v>
      </c>
      <c r="R2153" t="s">
        <v>47</v>
      </c>
      <c r="S2153">
        <v>0</v>
      </c>
      <c r="T2153" t="s">
        <v>47</v>
      </c>
    </row>
    <row r="2154" spans="1:20" x14ac:dyDescent="0.35">
      <c r="A2154" s="1" t="s">
        <v>4435</v>
      </c>
      <c r="B2154" t="s">
        <v>14</v>
      </c>
      <c r="C2154" t="s">
        <v>47</v>
      </c>
      <c r="D2154" t="s">
        <v>3882</v>
      </c>
      <c r="E2154">
        <v>0</v>
      </c>
      <c r="F2154" t="s">
        <v>47</v>
      </c>
      <c r="G2154">
        <v>0</v>
      </c>
      <c r="H2154" t="s">
        <v>47</v>
      </c>
      <c r="I2154">
        <v>1</v>
      </c>
      <c r="J2154" t="s">
        <v>48</v>
      </c>
      <c r="K2154">
        <v>0</v>
      </c>
      <c r="L2154" t="s">
        <v>47</v>
      </c>
      <c r="M2154">
        <v>0</v>
      </c>
      <c r="N2154" t="s">
        <v>47</v>
      </c>
      <c r="O2154">
        <v>0</v>
      </c>
      <c r="P2154" t="s">
        <v>47</v>
      </c>
      <c r="Q2154">
        <v>0</v>
      </c>
      <c r="R2154" t="s">
        <v>47</v>
      </c>
      <c r="S2154">
        <v>0</v>
      </c>
      <c r="T2154" t="s">
        <v>47</v>
      </c>
    </row>
    <row r="2155" spans="1:20" x14ac:dyDescent="0.35">
      <c r="A2155" s="1" t="s">
        <v>4436</v>
      </c>
      <c r="B2155" t="s">
        <v>14</v>
      </c>
      <c r="C2155" t="s">
        <v>47</v>
      </c>
      <c r="D2155" t="s">
        <v>3883</v>
      </c>
      <c r="E2155">
        <v>0</v>
      </c>
      <c r="F2155" t="s">
        <v>47</v>
      </c>
      <c r="G2155">
        <v>0</v>
      </c>
      <c r="H2155" t="s">
        <v>47</v>
      </c>
      <c r="I2155">
        <v>1</v>
      </c>
      <c r="J2155" t="s">
        <v>48</v>
      </c>
      <c r="K2155">
        <v>0</v>
      </c>
      <c r="L2155" t="s">
        <v>47</v>
      </c>
      <c r="M2155">
        <v>0</v>
      </c>
      <c r="N2155" t="s">
        <v>47</v>
      </c>
      <c r="O2155">
        <v>0</v>
      </c>
      <c r="P2155" t="s">
        <v>47</v>
      </c>
      <c r="Q2155">
        <v>0</v>
      </c>
      <c r="R2155" t="s">
        <v>47</v>
      </c>
      <c r="S2155">
        <v>0</v>
      </c>
      <c r="T2155" t="s">
        <v>47</v>
      </c>
    </row>
    <row r="2156" spans="1:20" x14ac:dyDescent="0.35">
      <c r="A2156" s="1" t="s">
        <v>4437</v>
      </c>
      <c r="B2156" t="s">
        <v>14</v>
      </c>
      <c r="C2156" t="s">
        <v>47</v>
      </c>
      <c r="D2156" t="s">
        <v>3884</v>
      </c>
      <c r="E2156">
        <v>0</v>
      </c>
      <c r="F2156" t="s">
        <v>47</v>
      </c>
      <c r="G2156">
        <v>0</v>
      </c>
      <c r="H2156" t="s">
        <v>47</v>
      </c>
      <c r="I2156">
        <v>1</v>
      </c>
      <c r="J2156" t="s">
        <v>48</v>
      </c>
      <c r="K2156">
        <v>0</v>
      </c>
      <c r="L2156" t="s">
        <v>47</v>
      </c>
      <c r="M2156">
        <v>0</v>
      </c>
      <c r="N2156" t="s">
        <v>47</v>
      </c>
      <c r="O2156">
        <v>0</v>
      </c>
      <c r="P2156" t="s">
        <v>47</v>
      </c>
      <c r="Q2156">
        <v>0</v>
      </c>
      <c r="R2156" t="s">
        <v>47</v>
      </c>
      <c r="S2156">
        <v>0</v>
      </c>
      <c r="T2156" t="s">
        <v>47</v>
      </c>
    </row>
    <row r="2157" spans="1:20" x14ac:dyDescent="0.35">
      <c r="A2157" s="1" t="s">
        <v>4438</v>
      </c>
      <c r="B2157" t="s">
        <v>14</v>
      </c>
      <c r="C2157" t="s">
        <v>47</v>
      </c>
      <c r="D2157" t="s">
        <v>3885</v>
      </c>
      <c r="E2157">
        <v>0</v>
      </c>
      <c r="F2157" t="s">
        <v>47</v>
      </c>
      <c r="G2157">
        <v>0</v>
      </c>
      <c r="H2157" t="s">
        <v>47</v>
      </c>
      <c r="I2157">
        <v>1</v>
      </c>
      <c r="J2157" t="s">
        <v>48</v>
      </c>
      <c r="K2157">
        <v>0</v>
      </c>
      <c r="L2157" t="s">
        <v>47</v>
      </c>
      <c r="M2157">
        <v>0</v>
      </c>
      <c r="N2157" t="s">
        <v>47</v>
      </c>
      <c r="O2157">
        <v>0</v>
      </c>
      <c r="P2157" t="s">
        <v>47</v>
      </c>
      <c r="Q2157">
        <v>0</v>
      </c>
      <c r="R2157" t="s">
        <v>47</v>
      </c>
      <c r="S2157">
        <v>0</v>
      </c>
      <c r="T2157" t="s">
        <v>47</v>
      </c>
    </row>
    <row r="2158" spans="1:20" x14ac:dyDescent="0.35">
      <c r="A2158" s="1" t="s">
        <v>4439</v>
      </c>
      <c r="B2158" t="s">
        <v>14</v>
      </c>
      <c r="C2158" t="s">
        <v>47</v>
      </c>
      <c r="D2158" t="s">
        <v>3886</v>
      </c>
      <c r="E2158">
        <v>0</v>
      </c>
      <c r="F2158" t="s">
        <v>47</v>
      </c>
      <c r="G2158">
        <v>0</v>
      </c>
      <c r="H2158" t="s">
        <v>47</v>
      </c>
      <c r="I2158">
        <v>1</v>
      </c>
      <c r="J2158" t="s">
        <v>48</v>
      </c>
      <c r="K2158">
        <v>0</v>
      </c>
      <c r="L2158" t="s">
        <v>47</v>
      </c>
      <c r="M2158">
        <v>0</v>
      </c>
      <c r="N2158" t="s">
        <v>47</v>
      </c>
      <c r="O2158">
        <v>0</v>
      </c>
      <c r="P2158" t="s">
        <v>47</v>
      </c>
      <c r="Q2158">
        <v>0</v>
      </c>
      <c r="R2158" t="s">
        <v>47</v>
      </c>
      <c r="S2158">
        <v>0</v>
      </c>
      <c r="T2158" t="s">
        <v>47</v>
      </c>
    </row>
    <row r="2159" spans="1:20" x14ac:dyDescent="0.35">
      <c r="A2159" s="1" t="s">
        <v>4440</v>
      </c>
      <c r="B2159" t="s">
        <v>14</v>
      </c>
      <c r="C2159" t="s">
        <v>47</v>
      </c>
      <c r="D2159" t="s">
        <v>3887</v>
      </c>
      <c r="E2159">
        <v>0</v>
      </c>
      <c r="F2159" t="s">
        <v>47</v>
      </c>
      <c r="G2159">
        <v>0</v>
      </c>
      <c r="H2159" t="s">
        <v>47</v>
      </c>
      <c r="I2159">
        <v>1</v>
      </c>
      <c r="J2159" t="s">
        <v>48</v>
      </c>
      <c r="K2159">
        <v>0</v>
      </c>
      <c r="L2159" t="s">
        <v>47</v>
      </c>
      <c r="M2159">
        <v>0</v>
      </c>
      <c r="N2159" t="s">
        <v>47</v>
      </c>
      <c r="O2159">
        <v>0</v>
      </c>
      <c r="P2159" t="s">
        <v>47</v>
      </c>
      <c r="Q2159">
        <v>0</v>
      </c>
      <c r="R2159" t="s">
        <v>47</v>
      </c>
      <c r="S2159">
        <v>0</v>
      </c>
      <c r="T2159" t="s">
        <v>47</v>
      </c>
    </row>
    <row r="2160" spans="1:20" x14ac:dyDescent="0.35">
      <c r="A2160" s="1" t="s">
        <v>4441</v>
      </c>
      <c r="B2160" t="s">
        <v>14</v>
      </c>
      <c r="C2160" t="s">
        <v>47</v>
      </c>
      <c r="D2160" t="s">
        <v>3888</v>
      </c>
      <c r="E2160">
        <v>0</v>
      </c>
      <c r="F2160" t="s">
        <v>47</v>
      </c>
      <c r="G2160">
        <v>0</v>
      </c>
      <c r="H2160" t="s">
        <v>47</v>
      </c>
      <c r="I2160">
        <v>1</v>
      </c>
      <c r="J2160" t="s">
        <v>48</v>
      </c>
      <c r="K2160">
        <v>0</v>
      </c>
      <c r="L2160" t="s">
        <v>47</v>
      </c>
      <c r="M2160">
        <v>0</v>
      </c>
      <c r="N2160" t="s">
        <v>47</v>
      </c>
      <c r="O2160">
        <v>0</v>
      </c>
      <c r="P2160" t="s">
        <v>47</v>
      </c>
      <c r="Q2160">
        <v>0</v>
      </c>
      <c r="R2160" t="s">
        <v>47</v>
      </c>
      <c r="S2160">
        <v>0</v>
      </c>
      <c r="T2160" t="s">
        <v>47</v>
      </c>
    </row>
    <row r="2161" spans="1:20" x14ac:dyDescent="0.35">
      <c r="A2161" s="1" t="s">
        <v>4442</v>
      </c>
      <c r="B2161" t="s">
        <v>14</v>
      </c>
      <c r="C2161" t="s">
        <v>47</v>
      </c>
      <c r="D2161" t="s">
        <v>3889</v>
      </c>
      <c r="E2161">
        <v>0</v>
      </c>
      <c r="F2161" t="s">
        <v>47</v>
      </c>
      <c r="G2161">
        <v>0</v>
      </c>
      <c r="H2161" t="s">
        <v>47</v>
      </c>
      <c r="I2161">
        <v>1</v>
      </c>
      <c r="J2161" t="s">
        <v>48</v>
      </c>
      <c r="K2161">
        <v>0</v>
      </c>
      <c r="L2161" t="s">
        <v>47</v>
      </c>
      <c r="M2161">
        <v>0</v>
      </c>
      <c r="N2161" t="s">
        <v>47</v>
      </c>
      <c r="O2161">
        <v>0</v>
      </c>
      <c r="P2161" t="s">
        <v>47</v>
      </c>
      <c r="Q2161">
        <v>0</v>
      </c>
      <c r="R2161" t="s">
        <v>47</v>
      </c>
      <c r="S2161">
        <v>0</v>
      </c>
      <c r="T2161" t="s">
        <v>47</v>
      </c>
    </row>
    <row r="2162" spans="1:20" x14ac:dyDescent="0.35">
      <c r="A2162" s="1" t="s">
        <v>4443</v>
      </c>
      <c r="B2162" t="s">
        <v>14</v>
      </c>
      <c r="C2162" t="s">
        <v>47</v>
      </c>
      <c r="D2162" t="s">
        <v>3890</v>
      </c>
      <c r="E2162">
        <v>0</v>
      </c>
      <c r="F2162" t="s">
        <v>47</v>
      </c>
      <c r="G2162">
        <v>0</v>
      </c>
      <c r="H2162" t="s">
        <v>47</v>
      </c>
      <c r="I2162">
        <v>1</v>
      </c>
      <c r="J2162" t="s">
        <v>48</v>
      </c>
      <c r="K2162">
        <v>0</v>
      </c>
      <c r="L2162" t="s">
        <v>47</v>
      </c>
      <c r="M2162">
        <v>0</v>
      </c>
      <c r="N2162" t="s">
        <v>47</v>
      </c>
      <c r="O2162">
        <v>0</v>
      </c>
      <c r="P2162" t="s">
        <v>47</v>
      </c>
      <c r="Q2162">
        <v>0</v>
      </c>
      <c r="R2162" t="s">
        <v>47</v>
      </c>
      <c r="S2162">
        <v>0</v>
      </c>
      <c r="T2162" t="s">
        <v>47</v>
      </c>
    </row>
    <row r="2163" spans="1:20" x14ac:dyDescent="0.35">
      <c r="A2163" s="1" t="s">
        <v>4444</v>
      </c>
      <c r="B2163" t="s">
        <v>14</v>
      </c>
      <c r="C2163" t="s">
        <v>47</v>
      </c>
      <c r="D2163" t="s">
        <v>3891</v>
      </c>
      <c r="E2163">
        <v>0</v>
      </c>
      <c r="F2163" t="s">
        <v>47</v>
      </c>
      <c r="G2163">
        <v>0</v>
      </c>
      <c r="H2163" t="s">
        <v>47</v>
      </c>
      <c r="I2163">
        <v>1</v>
      </c>
      <c r="J2163" t="s">
        <v>48</v>
      </c>
      <c r="K2163">
        <v>0</v>
      </c>
      <c r="L2163" t="s">
        <v>47</v>
      </c>
      <c r="M2163">
        <v>0</v>
      </c>
      <c r="N2163" t="s">
        <v>47</v>
      </c>
      <c r="O2163">
        <v>0</v>
      </c>
      <c r="P2163" t="s">
        <v>47</v>
      </c>
      <c r="Q2163">
        <v>0</v>
      </c>
      <c r="R2163" t="s">
        <v>47</v>
      </c>
      <c r="S2163">
        <v>0</v>
      </c>
      <c r="T2163" t="s">
        <v>47</v>
      </c>
    </row>
    <row r="2164" spans="1:20" x14ac:dyDescent="0.35">
      <c r="A2164" s="1" t="s">
        <v>4445</v>
      </c>
      <c r="B2164" t="s">
        <v>14</v>
      </c>
      <c r="C2164" t="s">
        <v>47</v>
      </c>
      <c r="D2164" t="s">
        <v>3892</v>
      </c>
      <c r="E2164">
        <v>0</v>
      </c>
      <c r="F2164" t="s">
        <v>47</v>
      </c>
      <c r="G2164">
        <v>0</v>
      </c>
      <c r="H2164" t="s">
        <v>47</v>
      </c>
      <c r="I2164">
        <v>1</v>
      </c>
      <c r="J2164" t="s">
        <v>48</v>
      </c>
      <c r="K2164">
        <v>0</v>
      </c>
      <c r="L2164" t="s">
        <v>47</v>
      </c>
      <c r="M2164">
        <v>0</v>
      </c>
      <c r="N2164" t="s">
        <v>47</v>
      </c>
      <c r="O2164">
        <v>0</v>
      </c>
      <c r="P2164" t="s">
        <v>47</v>
      </c>
      <c r="Q2164">
        <v>0</v>
      </c>
      <c r="R2164" t="s">
        <v>47</v>
      </c>
      <c r="S2164">
        <v>0</v>
      </c>
      <c r="T2164" t="s">
        <v>47</v>
      </c>
    </row>
    <row r="2165" spans="1:20" x14ac:dyDescent="0.35">
      <c r="A2165" s="1" t="s">
        <v>4446</v>
      </c>
      <c r="B2165" t="s">
        <v>14</v>
      </c>
      <c r="C2165" t="s">
        <v>47</v>
      </c>
      <c r="D2165" t="s">
        <v>3893</v>
      </c>
      <c r="E2165">
        <v>0</v>
      </c>
      <c r="F2165" t="s">
        <v>47</v>
      </c>
      <c r="G2165">
        <v>0</v>
      </c>
      <c r="H2165" t="s">
        <v>47</v>
      </c>
      <c r="I2165">
        <v>1</v>
      </c>
      <c r="J2165" t="s">
        <v>48</v>
      </c>
      <c r="K2165">
        <v>0</v>
      </c>
      <c r="L2165" t="s">
        <v>47</v>
      </c>
      <c r="M2165">
        <v>0</v>
      </c>
      <c r="N2165" t="s">
        <v>47</v>
      </c>
      <c r="O2165">
        <v>0</v>
      </c>
      <c r="P2165" t="s">
        <v>47</v>
      </c>
      <c r="Q2165">
        <v>0</v>
      </c>
      <c r="R2165" t="s">
        <v>47</v>
      </c>
      <c r="S2165">
        <v>0</v>
      </c>
      <c r="T2165" t="s">
        <v>47</v>
      </c>
    </row>
    <row r="2166" spans="1:20" x14ac:dyDescent="0.35">
      <c r="A2166" s="1" t="s">
        <v>4447</v>
      </c>
      <c r="B2166" t="s">
        <v>14</v>
      </c>
      <c r="C2166" t="s">
        <v>47</v>
      </c>
      <c r="D2166" t="s">
        <v>3894</v>
      </c>
      <c r="E2166">
        <v>0</v>
      </c>
      <c r="F2166" t="s">
        <v>47</v>
      </c>
      <c r="G2166">
        <v>0</v>
      </c>
      <c r="H2166" t="s">
        <v>47</v>
      </c>
      <c r="I2166">
        <v>1</v>
      </c>
      <c r="J2166" t="s">
        <v>48</v>
      </c>
      <c r="K2166">
        <v>0</v>
      </c>
      <c r="L2166" t="s">
        <v>47</v>
      </c>
      <c r="M2166">
        <v>0</v>
      </c>
      <c r="N2166" t="s">
        <v>47</v>
      </c>
      <c r="O2166">
        <v>0</v>
      </c>
      <c r="P2166" t="s">
        <v>47</v>
      </c>
      <c r="Q2166">
        <v>0</v>
      </c>
      <c r="R2166" t="s">
        <v>47</v>
      </c>
      <c r="S2166">
        <v>0</v>
      </c>
      <c r="T2166" t="s">
        <v>47</v>
      </c>
    </row>
    <row r="2167" spans="1:20" x14ac:dyDescent="0.35">
      <c r="A2167" s="1" t="s">
        <v>4448</v>
      </c>
      <c r="B2167" t="s">
        <v>14</v>
      </c>
      <c r="C2167" t="s">
        <v>47</v>
      </c>
      <c r="D2167" t="s">
        <v>3895</v>
      </c>
      <c r="E2167">
        <v>1</v>
      </c>
      <c r="F2167" t="s">
        <v>55</v>
      </c>
      <c r="G2167">
        <v>0</v>
      </c>
      <c r="H2167" t="s">
        <v>47</v>
      </c>
      <c r="I2167">
        <v>0</v>
      </c>
      <c r="J2167" t="s">
        <v>47</v>
      </c>
      <c r="K2167">
        <v>0</v>
      </c>
      <c r="L2167" t="s">
        <v>47</v>
      </c>
      <c r="M2167">
        <v>0</v>
      </c>
      <c r="N2167" t="s">
        <v>47</v>
      </c>
      <c r="O2167">
        <v>0</v>
      </c>
      <c r="P2167" t="s">
        <v>47</v>
      </c>
      <c r="Q2167">
        <v>0</v>
      </c>
      <c r="R2167" t="s">
        <v>47</v>
      </c>
      <c r="S2167">
        <v>0</v>
      </c>
      <c r="T2167" t="s">
        <v>47</v>
      </c>
    </row>
    <row r="2168" spans="1:20" x14ac:dyDescent="0.35">
      <c r="A2168" s="1" t="s">
        <v>4449</v>
      </c>
      <c r="B2168" t="s">
        <v>14</v>
      </c>
      <c r="C2168" t="s">
        <v>47</v>
      </c>
      <c r="D2168" t="s">
        <v>3896</v>
      </c>
      <c r="E2168">
        <v>0</v>
      </c>
      <c r="F2168" t="s">
        <v>47</v>
      </c>
      <c r="G2168">
        <v>1</v>
      </c>
      <c r="H2168" t="s">
        <v>55</v>
      </c>
      <c r="I2168">
        <v>0</v>
      </c>
      <c r="J2168" t="s">
        <v>47</v>
      </c>
      <c r="K2168">
        <v>0</v>
      </c>
      <c r="L2168" t="s">
        <v>47</v>
      </c>
      <c r="M2168">
        <v>0</v>
      </c>
      <c r="N2168" t="s">
        <v>47</v>
      </c>
      <c r="O2168">
        <v>0</v>
      </c>
      <c r="P2168" t="s">
        <v>47</v>
      </c>
      <c r="Q2168">
        <v>0</v>
      </c>
      <c r="R2168" t="s">
        <v>47</v>
      </c>
      <c r="S2168">
        <v>0</v>
      </c>
      <c r="T2168" t="s">
        <v>47</v>
      </c>
    </row>
    <row r="2169" spans="1:20" x14ac:dyDescent="0.35">
      <c r="A2169" s="1" t="s">
        <v>4450</v>
      </c>
      <c r="B2169" t="s">
        <v>14</v>
      </c>
      <c r="C2169" t="s">
        <v>47</v>
      </c>
      <c r="D2169" t="s">
        <v>3897</v>
      </c>
      <c r="E2169">
        <v>0</v>
      </c>
      <c r="F2169" t="s">
        <v>47</v>
      </c>
      <c r="G2169">
        <v>0</v>
      </c>
      <c r="H2169" t="s">
        <v>47</v>
      </c>
      <c r="I2169">
        <v>1</v>
      </c>
      <c r="J2169" t="s">
        <v>55</v>
      </c>
      <c r="K2169">
        <v>0</v>
      </c>
      <c r="L2169" t="s">
        <v>47</v>
      </c>
      <c r="M2169">
        <v>0</v>
      </c>
      <c r="N2169" t="s">
        <v>47</v>
      </c>
      <c r="O2169">
        <v>0</v>
      </c>
      <c r="P2169" t="s">
        <v>47</v>
      </c>
      <c r="Q2169">
        <v>0</v>
      </c>
      <c r="R2169" t="s">
        <v>47</v>
      </c>
      <c r="S2169">
        <v>0</v>
      </c>
      <c r="T2169" t="s">
        <v>47</v>
      </c>
    </row>
    <row r="2170" spans="1:20" x14ac:dyDescent="0.35">
      <c r="A2170" s="1" t="s">
        <v>4451</v>
      </c>
      <c r="B2170" t="s">
        <v>14</v>
      </c>
      <c r="C2170" t="s">
        <v>47</v>
      </c>
      <c r="D2170" t="s">
        <v>3898</v>
      </c>
      <c r="E2170">
        <v>0</v>
      </c>
      <c r="F2170" t="s">
        <v>47</v>
      </c>
      <c r="G2170">
        <v>0</v>
      </c>
      <c r="H2170" t="s">
        <v>47</v>
      </c>
      <c r="I2170">
        <v>0</v>
      </c>
      <c r="J2170" t="s">
        <v>47</v>
      </c>
      <c r="K2170">
        <v>1</v>
      </c>
      <c r="L2170" t="s">
        <v>55</v>
      </c>
      <c r="M2170">
        <v>0</v>
      </c>
      <c r="N2170" t="s">
        <v>47</v>
      </c>
      <c r="O2170">
        <v>0</v>
      </c>
      <c r="P2170" t="s">
        <v>47</v>
      </c>
      <c r="Q2170">
        <v>0</v>
      </c>
      <c r="R2170" t="s">
        <v>47</v>
      </c>
      <c r="S2170">
        <v>0</v>
      </c>
      <c r="T2170" t="s">
        <v>47</v>
      </c>
    </row>
    <row r="2171" spans="1:20" x14ac:dyDescent="0.35">
      <c r="A2171" s="1" t="s">
        <v>4452</v>
      </c>
      <c r="B2171" t="s">
        <v>14</v>
      </c>
      <c r="C2171" t="s">
        <v>47</v>
      </c>
      <c r="D2171" t="s">
        <v>3899</v>
      </c>
      <c r="E2171">
        <v>1</v>
      </c>
      <c r="F2171" t="s">
        <v>55</v>
      </c>
      <c r="G2171">
        <v>0</v>
      </c>
      <c r="H2171" t="s">
        <v>47</v>
      </c>
      <c r="I2171">
        <v>0</v>
      </c>
      <c r="J2171" t="s">
        <v>47</v>
      </c>
      <c r="K2171">
        <v>0</v>
      </c>
      <c r="L2171" t="s">
        <v>47</v>
      </c>
      <c r="M2171">
        <v>1</v>
      </c>
      <c r="N2171" t="s">
        <v>55</v>
      </c>
      <c r="O2171">
        <v>0</v>
      </c>
      <c r="P2171" t="s">
        <v>47</v>
      </c>
      <c r="Q2171">
        <v>0</v>
      </c>
      <c r="R2171" t="s">
        <v>47</v>
      </c>
      <c r="S2171">
        <v>0</v>
      </c>
      <c r="T2171" t="s">
        <v>47</v>
      </c>
    </row>
    <row r="2172" spans="1:20" x14ac:dyDescent="0.35">
      <c r="A2172" s="1" t="s">
        <v>4453</v>
      </c>
      <c r="B2172" t="s">
        <v>14</v>
      </c>
      <c r="C2172" t="s">
        <v>47</v>
      </c>
      <c r="D2172" t="s">
        <v>3900</v>
      </c>
      <c r="E2172">
        <v>0</v>
      </c>
      <c r="F2172" t="s">
        <v>47</v>
      </c>
      <c r="G2172">
        <v>0</v>
      </c>
      <c r="H2172" t="s">
        <v>47</v>
      </c>
      <c r="I2172">
        <v>0</v>
      </c>
      <c r="J2172" t="s">
        <v>47</v>
      </c>
      <c r="K2172">
        <v>0</v>
      </c>
      <c r="L2172" t="s">
        <v>47</v>
      </c>
      <c r="M2172">
        <v>0</v>
      </c>
      <c r="N2172" t="s">
        <v>47</v>
      </c>
      <c r="O2172">
        <v>1</v>
      </c>
      <c r="P2172" t="s">
        <v>55</v>
      </c>
      <c r="Q2172">
        <v>0</v>
      </c>
      <c r="R2172" t="s">
        <v>47</v>
      </c>
      <c r="S2172">
        <v>0</v>
      </c>
      <c r="T2172" t="s">
        <v>47</v>
      </c>
    </row>
    <row r="2173" spans="1:20" x14ac:dyDescent="0.35">
      <c r="A2173" s="1" t="s">
        <v>4454</v>
      </c>
      <c r="B2173" t="s">
        <v>14</v>
      </c>
      <c r="C2173" t="s">
        <v>47</v>
      </c>
      <c r="D2173" t="s">
        <v>3901</v>
      </c>
      <c r="E2173">
        <v>0</v>
      </c>
      <c r="F2173" t="s">
        <v>47</v>
      </c>
      <c r="G2173">
        <v>0</v>
      </c>
      <c r="H2173" t="s">
        <v>47</v>
      </c>
      <c r="I2173">
        <v>0</v>
      </c>
      <c r="J2173" t="s">
        <v>47</v>
      </c>
      <c r="K2173">
        <v>0</v>
      </c>
      <c r="L2173" t="s">
        <v>47</v>
      </c>
      <c r="M2173">
        <v>0</v>
      </c>
      <c r="N2173" t="s">
        <v>47</v>
      </c>
      <c r="O2173">
        <v>0</v>
      </c>
      <c r="P2173" t="s">
        <v>47</v>
      </c>
      <c r="Q2173">
        <v>1</v>
      </c>
      <c r="R2173" t="s">
        <v>55</v>
      </c>
      <c r="S2173">
        <v>0</v>
      </c>
      <c r="T2173" t="s">
        <v>47</v>
      </c>
    </row>
    <row r="2174" spans="1:20" x14ac:dyDescent="0.35">
      <c r="A2174" s="1" t="s">
        <v>4455</v>
      </c>
      <c r="B2174" t="s">
        <v>14</v>
      </c>
      <c r="C2174" t="s">
        <v>47</v>
      </c>
      <c r="D2174" t="s">
        <v>3902</v>
      </c>
      <c r="E2174">
        <v>0</v>
      </c>
      <c r="F2174" t="s">
        <v>47</v>
      </c>
      <c r="G2174">
        <v>0</v>
      </c>
      <c r="H2174" t="s">
        <v>47</v>
      </c>
      <c r="I2174">
        <v>0</v>
      </c>
      <c r="J2174" t="s">
        <v>47</v>
      </c>
      <c r="K2174">
        <v>0</v>
      </c>
      <c r="L2174" t="s">
        <v>47</v>
      </c>
      <c r="M2174">
        <v>0</v>
      </c>
      <c r="N2174" t="s">
        <v>47</v>
      </c>
      <c r="O2174">
        <v>0</v>
      </c>
      <c r="P2174" t="s">
        <v>47</v>
      </c>
      <c r="Q2174">
        <v>0</v>
      </c>
      <c r="R2174" t="s">
        <v>47</v>
      </c>
      <c r="S2174">
        <v>1</v>
      </c>
      <c r="T2174" t="s">
        <v>55</v>
      </c>
    </row>
    <row r="2175" spans="1:20" x14ac:dyDescent="0.35">
      <c r="A2175" s="1" t="s">
        <v>4456</v>
      </c>
      <c r="B2175" t="s">
        <v>14</v>
      </c>
      <c r="C2175" t="s">
        <v>47</v>
      </c>
      <c r="D2175" t="s">
        <v>3903</v>
      </c>
      <c r="E2175">
        <v>1</v>
      </c>
      <c r="F2175" t="s">
        <v>55</v>
      </c>
      <c r="G2175">
        <v>1</v>
      </c>
      <c r="H2175" t="s">
        <v>55</v>
      </c>
      <c r="I2175">
        <v>0</v>
      </c>
      <c r="J2175" t="s">
        <v>47</v>
      </c>
      <c r="K2175">
        <v>0</v>
      </c>
      <c r="L2175" t="s">
        <v>47</v>
      </c>
      <c r="M2175">
        <v>0</v>
      </c>
      <c r="N2175" t="s">
        <v>47</v>
      </c>
      <c r="O2175">
        <v>0</v>
      </c>
      <c r="P2175" t="s">
        <v>47</v>
      </c>
      <c r="Q2175">
        <v>0</v>
      </c>
      <c r="R2175" t="s">
        <v>47</v>
      </c>
      <c r="S2175">
        <v>0</v>
      </c>
      <c r="T2175" t="s">
        <v>47</v>
      </c>
    </row>
    <row r="2176" spans="1:20" x14ac:dyDescent="0.35">
      <c r="A2176" s="1" t="s">
        <v>4457</v>
      </c>
      <c r="B2176" t="s">
        <v>14</v>
      </c>
      <c r="C2176" t="s">
        <v>47</v>
      </c>
      <c r="D2176" t="s">
        <v>3904</v>
      </c>
      <c r="E2176">
        <v>0</v>
      </c>
      <c r="F2176" t="s">
        <v>47</v>
      </c>
      <c r="G2176">
        <v>0</v>
      </c>
      <c r="H2176" t="s">
        <v>47</v>
      </c>
      <c r="I2176">
        <v>1</v>
      </c>
      <c r="J2176" t="s">
        <v>55</v>
      </c>
      <c r="K2176">
        <v>1</v>
      </c>
      <c r="L2176" t="s">
        <v>55</v>
      </c>
      <c r="M2176">
        <v>0</v>
      </c>
      <c r="N2176" t="s">
        <v>47</v>
      </c>
      <c r="O2176">
        <v>0</v>
      </c>
      <c r="P2176" t="s">
        <v>47</v>
      </c>
      <c r="Q2176">
        <v>0</v>
      </c>
      <c r="R2176" t="s">
        <v>47</v>
      </c>
      <c r="S2176">
        <v>0</v>
      </c>
      <c r="T2176" t="s">
        <v>47</v>
      </c>
    </row>
    <row r="2177" spans="1:20" x14ac:dyDescent="0.35">
      <c r="A2177" s="1" t="s">
        <v>4458</v>
      </c>
      <c r="B2177" t="s">
        <v>14</v>
      </c>
      <c r="C2177" t="s">
        <v>47</v>
      </c>
      <c r="D2177" t="s">
        <v>3905</v>
      </c>
      <c r="E2177">
        <v>1</v>
      </c>
      <c r="F2177" t="s">
        <v>55</v>
      </c>
      <c r="G2177">
        <v>0</v>
      </c>
      <c r="H2177" t="s">
        <v>47</v>
      </c>
      <c r="I2177">
        <v>0</v>
      </c>
      <c r="J2177" t="s">
        <v>47</v>
      </c>
      <c r="K2177">
        <v>0</v>
      </c>
      <c r="L2177" t="s">
        <v>47</v>
      </c>
      <c r="M2177">
        <v>1</v>
      </c>
      <c r="N2177" t="s">
        <v>55</v>
      </c>
      <c r="O2177">
        <v>0</v>
      </c>
      <c r="P2177" t="s">
        <v>47</v>
      </c>
      <c r="Q2177">
        <v>0</v>
      </c>
      <c r="R2177" t="s">
        <v>47</v>
      </c>
      <c r="S2177">
        <v>0</v>
      </c>
      <c r="T2177" t="s">
        <v>47</v>
      </c>
    </row>
    <row r="2178" spans="1:20" x14ac:dyDescent="0.35">
      <c r="A2178" s="1" t="s">
        <v>4459</v>
      </c>
      <c r="B2178" t="s">
        <v>14</v>
      </c>
      <c r="C2178" t="s">
        <v>47</v>
      </c>
      <c r="D2178" t="s">
        <v>3906</v>
      </c>
      <c r="E2178">
        <v>0</v>
      </c>
      <c r="F2178" t="s">
        <v>47</v>
      </c>
      <c r="G2178">
        <v>1</v>
      </c>
      <c r="H2178" t="s">
        <v>55</v>
      </c>
      <c r="I2178">
        <v>0</v>
      </c>
      <c r="J2178" t="s">
        <v>47</v>
      </c>
      <c r="K2178">
        <v>0</v>
      </c>
      <c r="L2178" t="s">
        <v>47</v>
      </c>
      <c r="M2178">
        <v>0</v>
      </c>
      <c r="N2178" t="s">
        <v>47</v>
      </c>
      <c r="O2178">
        <v>0</v>
      </c>
      <c r="P2178" t="s">
        <v>47</v>
      </c>
      <c r="Q2178">
        <v>0</v>
      </c>
      <c r="R2178" t="s">
        <v>47</v>
      </c>
      <c r="S2178">
        <v>0</v>
      </c>
      <c r="T2178" t="s">
        <v>47</v>
      </c>
    </row>
    <row r="2179" spans="1:20" x14ac:dyDescent="0.35">
      <c r="A2179" s="1" t="s">
        <v>4460</v>
      </c>
      <c r="B2179" t="s">
        <v>14</v>
      </c>
      <c r="C2179" t="s">
        <v>47</v>
      </c>
      <c r="D2179" t="s">
        <v>3907</v>
      </c>
      <c r="E2179">
        <v>0</v>
      </c>
      <c r="F2179" t="s">
        <v>47</v>
      </c>
      <c r="G2179">
        <v>0</v>
      </c>
      <c r="H2179" t="s">
        <v>47</v>
      </c>
      <c r="I2179">
        <v>1</v>
      </c>
      <c r="J2179" t="s">
        <v>55</v>
      </c>
      <c r="K2179">
        <v>0</v>
      </c>
      <c r="L2179" t="s">
        <v>47</v>
      </c>
      <c r="M2179">
        <v>0</v>
      </c>
      <c r="N2179" t="s">
        <v>47</v>
      </c>
      <c r="O2179">
        <v>1</v>
      </c>
      <c r="P2179" t="s">
        <v>55</v>
      </c>
      <c r="Q2179">
        <v>0</v>
      </c>
      <c r="R2179" t="s">
        <v>47</v>
      </c>
      <c r="S2179">
        <v>0</v>
      </c>
      <c r="T2179" t="s">
        <v>47</v>
      </c>
    </row>
    <row r="2180" spans="1:20" x14ac:dyDescent="0.35">
      <c r="A2180" s="1" t="s">
        <v>4461</v>
      </c>
      <c r="B2180" t="s">
        <v>14</v>
      </c>
      <c r="C2180" t="s">
        <v>47</v>
      </c>
      <c r="D2180" t="s">
        <v>3908</v>
      </c>
      <c r="E2180">
        <v>0</v>
      </c>
      <c r="F2180" t="s">
        <v>47</v>
      </c>
      <c r="G2180">
        <v>0</v>
      </c>
      <c r="H2180" t="s">
        <v>47</v>
      </c>
      <c r="I2180">
        <v>0</v>
      </c>
      <c r="J2180" t="s">
        <v>47</v>
      </c>
      <c r="K2180">
        <v>1</v>
      </c>
      <c r="L2180" t="s">
        <v>55</v>
      </c>
      <c r="M2180">
        <v>0</v>
      </c>
      <c r="N2180" t="s">
        <v>47</v>
      </c>
      <c r="O2180">
        <v>0</v>
      </c>
      <c r="P2180" t="s">
        <v>47</v>
      </c>
      <c r="Q2180">
        <v>1</v>
      </c>
      <c r="R2180" t="s">
        <v>55</v>
      </c>
      <c r="S2180">
        <v>0</v>
      </c>
      <c r="T2180" t="s">
        <v>47</v>
      </c>
    </row>
    <row r="2181" spans="1:20" x14ac:dyDescent="0.35">
      <c r="A2181" s="1" t="s">
        <v>4462</v>
      </c>
      <c r="B2181" t="s">
        <v>14</v>
      </c>
      <c r="C2181" t="s">
        <v>47</v>
      </c>
      <c r="D2181" t="s">
        <v>3909</v>
      </c>
      <c r="E2181">
        <v>0</v>
      </c>
      <c r="F2181" t="s">
        <v>47</v>
      </c>
      <c r="G2181">
        <v>0</v>
      </c>
      <c r="H2181" t="s">
        <v>47</v>
      </c>
      <c r="I2181">
        <v>0</v>
      </c>
      <c r="J2181" t="s">
        <v>47</v>
      </c>
      <c r="K2181">
        <v>0</v>
      </c>
      <c r="L2181" t="s">
        <v>47</v>
      </c>
      <c r="M2181">
        <v>0</v>
      </c>
      <c r="N2181" t="s">
        <v>47</v>
      </c>
      <c r="O2181">
        <v>0</v>
      </c>
      <c r="P2181" t="s">
        <v>47</v>
      </c>
      <c r="Q2181">
        <v>0</v>
      </c>
      <c r="R2181" t="s">
        <v>47</v>
      </c>
      <c r="S2181">
        <v>1</v>
      </c>
      <c r="T2181" t="s">
        <v>55</v>
      </c>
    </row>
    <row r="2182" spans="1:20" x14ac:dyDescent="0.35">
      <c r="A2182" s="1" t="s">
        <v>4463</v>
      </c>
      <c r="B2182" t="s">
        <v>14</v>
      </c>
      <c r="C2182" t="s">
        <v>47</v>
      </c>
      <c r="D2182" t="s">
        <v>3910</v>
      </c>
      <c r="E2182">
        <v>1</v>
      </c>
      <c r="F2182" t="s">
        <v>55</v>
      </c>
      <c r="G2182">
        <v>1</v>
      </c>
      <c r="H2182" t="s">
        <v>55</v>
      </c>
      <c r="I2182">
        <v>0</v>
      </c>
      <c r="J2182" t="s">
        <v>47</v>
      </c>
      <c r="K2182">
        <v>0</v>
      </c>
      <c r="L2182" t="s">
        <v>47</v>
      </c>
      <c r="M2182">
        <v>1</v>
      </c>
      <c r="N2182" t="s">
        <v>55</v>
      </c>
      <c r="O2182">
        <v>0</v>
      </c>
      <c r="P2182" t="s">
        <v>47</v>
      </c>
      <c r="Q2182">
        <v>0</v>
      </c>
      <c r="R2182" t="s">
        <v>47</v>
      </c>
      <c r="S2182">
        <v>0</v>
      </c>
      <c r="T2182" t="s">
        <v>47</v>
      </c>
    </row>
    <row r="2183" spans="1:20" x14ac:dyDescent="0.35">
      <c r="A2183" s="1" t="s">
        <v>4464</v>
      </c>
      <c r="B2183" t="s">
        <v>12</v>
      </c>
      <c r="C2183" t="s">
        <v>47</v>
      </c>
      <c r="D2183" t="s">
        <v>3911</v>
      </c>
      <c r="E2183">
        <v>1</v>
      </c>
      <c r="F2183" t="s">
        <v>55</v>
      </c>
      <c r="G2183">
        <v>0</v>
      </c>
      <c r="H2183" t="s">
        <v>47</v>
      </c>
      <c r="I2183">
        <v>0</v>
      </c>
      <c r="J2183" t="s">
        <v>47</v>
      </c>
      <c r="K2183">
        <v>0</v>
      </c>
      <c r="L2183" t="s">
        <v>47</v>
      </c>
      <c r="M2183">
        <v>0</v>
      </c>
      <c r="N2183" t="s">
        <v>47</v>
      </c>
      <c r="O2183">
        <v>0</v>
      </c>
      <c r="P2183" t="s">
        <v>47</v>
      </c>
      <c r="Q2183">
        <v>0</v>
      </c>
      <c r="R2183" t="s">
        <v>47</v>
      </c>
      <c r="S2183">
        <v>0</v>
      </c>
      <c r="T2183" t="s">
        <v>47</v>
      </c>
    </row>
    <row r="2184" spans="1:20" x14ac:dyDescent="0.35">
      <c r="A2184" s="1" t="s">
        <v>4465</v>
      </c>
      <c r="B2184" t="s">
        <v>12</v>
      </c>
      <c r="C2184" t="s">
        <v>47</v>
      </c>
      <c r="D2184" t="s">
        <v>3912</v>
      </c>
      <c r="E2184">
        <v>0</v>
      </c>
      <c r="F2184" t="s">
        <v>47</v>
      </c>
      <c r="G2184">
        <v>1</v>
      </c>
      <c r="H2184" t="s">
        <v>55</v>
      </c>
      <c r="I2184">
        <v>0</v>
      </c>
      <c r="J2184" t="s">
        <v>47</v>
      </c>
      <c r="K2184">
        <v>0</v>
      </c>
      <c r="L2184" t="s">
        <v>47</v>
      </c>
      <c r="M2184">
        <v>0</v>
      </c>
      <c r="N2184" t="s">
        <v>47</v>
      </c>
      <c r="O2184">
        <v>0</v>
      </c>
      <c r="P2184" t="s">
        <v>47</v>
      </c>
      <c r="Q2184">
        <v>0</v>
      </c>
      <c r="R2184" t="s">
        <v>47</v>
      </c>
      <c r="S2184">
        <v>0</v>
      </c>
      <c r="T2184" t="s">
        <v>47</v>
      </c>
    </row>
    <row r="2185" spans="1:20" x14ac:dyDescent="0.35">
      <c r="A2185" s="1" t="s">
        <v>4466</v>
      </c>
      <c r="B2185" t="s">
        <v>12</v>
      </c>
      <c r="C2185" t="s">
        <v>47</v>
      </c>
      <c r="D2185" t="s">
        <v>3913</v>
      </c>
      <c r="E2185">
        <v>0</v>
      </c>
      <c r="F2185" t="s">
        <v>47</v>
      </c>
      <c r="G2185">
        <v>0</v>
      </c>
      <c r="H2185" t="s">
        <v>47</v>
      </c>
      <c r="I2185">
        <v>1</v>
      </c>
      <c r="J2185" t="s">
        <v>55</v>
      </c>
      <c r="K2185">
        <v>0</v>
      </c>
      <c r="L2185" t="s">
        <v>47</v>
      </c>
      <c r="M2185">
        <v>0</v>
      </c>
      <c r="N2185" t="s">
        <v>47</v>
      </c>
      <c r="O2185">
        <v>0</v>
      </c>
      <c r="P2185" t="s">
        <v>47</v>
      </c>
      <c r="Q2185">
        <v>0</v>
      </c>
      <c r="R2185" t="s">
        <v>47</v>
      </c>
      <c r="S2185">
        <v>0</v>
      </c>
      <c r="T2185" t="s">
        <v>47</v>
      </c>
    </row>
    <row r="2186" spans="1:20" x14ac:dyDescent="0.35">
      <c r="A2186" s="1" t="s">
        <v>4467</v>
      </c>
      <c r="B2186" t="s">
        <v>12</v>
      </c>
      <c r="C2186" t="s">
        <v>47</v>
      </c>
      <c r="D2186" t="s">
        <v>3914</v>
      </c>
      <c r="E2186">
        <v>0</v>
      </c>
      <c r="F2186" t="s">
        <v>47</v>
      </c>
      <c r="G2186">
        <v>0</v>
      </c>
      <c r="H2186" t="s">
        <v>47</v>
      </c>
      <c r="I2186">
        <v>0</v>
      </c>
      <c r="J2186" t="s">
        <v>47</v>
      </c>
      <c r="K2186">
        <v>1</v>
      </c>
      <c r="L2186" t="s">
        <v>55</v>
      </c>
      <c r="M2186">
        <v>0</v>
      </c>
      <c r="N2186" t="s">
        <v>47</v>
      </c>
      <c r="O2186">
        <v>0</v>
      </c>
      <c r="P2186" t="s">
        <v>47</v>
      </c>
      <c r="Q2186">
        <v>0</v>
      </c>
      <c r="R2186" t="s">
        <v>47</v>
      </c>
      <c r="S2186">
        <v>0</v>
      </c>
      <c r="T2186" t="s">
        <v>47</v>
      </c>
    </row>
    <row r="2187" spans="1:20" x14ac:dyDescent="0.35">
      <c r="A2187" s="1" t="s">
        <v>4468</v>
      </c>
      <c r="B2187" t="s">
        <v>12</v>
      </c>
      <c r="C2187" t="s">
        <v>47</v>
      </c>
      <c r="D2187" t="s">
        <v>3915</v>
      </c>
      <c r="E2187">
        <v>0</v>
      </c>
      <c r="F2187" t="s">
        <v>47</v>
      </c>
      <c r="G2187">
        <v>0</v>
      </c>
      <c r="H2187" t="s">
        <v>47</v>
      </c>
      <c r="I2187">
        <v>0</v>
      </c>
      <c r="J2187" t="s">
        <v>47</v>
      </c>
      <c r="K2187">
        <v>0</v>
      </c>
      <c r="L2187" t="s">
        <v>47</v>
      </c>
      <c r="M2187">
        <v>1</v>
      </c>
      <c r="N2187" t="s">
        <v>55</v>
      </c>
      <c r="O2187">
        <v>0</v>
      </c>
      <c r="P2187" t="s">
        <v>47</v>
      </c>
      <c r="Q2187">
        <v>0</v>
      </c>
      <c r="R2187" t="s">
        <v>47</v>
      </c>
      <c r="S2187">
        <v>0</v>
      </c>
      <c r="T2187" t="s">
        <v>47</v>
      </c>
    </row>
    <row r="2188" spans="1:20" x14ac:dyDescent="0.35">
      <c r="A2188" s="1" t="s">
        <v>4469</v>
      </c>
      <c r="B2188" t="s">
        <v>12</v>
      </c>
      <c r="C2188" t="s">
        <v>47</v>
      </c>
      <c r="D2188" t="s">
        <v>3916</v>
      </c>
      <c r="E2188">
        <v>0</v>
      </c>
      <c r="F2188" t="s">
        <v>47</v>
      </c>
      <c r="G2188">
        <v>0</v>
      </c>
      <c r="H2188" t="s">
        <v>47</v>
      </c>
      <c r="I2188">
        <v>0</v>
      </c>
      <c r="J2188" t="s">
        <v>47</v>
      </c>
      <c r="K2188">
        <v>0</v>
      </c>
      <c r="L2188" t="s">
        <v>47</v>
      </c>
      <c r="M2188">
        <v>0</v>
      </c>
      <c r="N2188" t="s">
        <v>47</v>
      </c>
      <c r="O2188">
        <v>1</v>
      </c>
      <c r="P2188" t="s">
        <v>55</v>
      </c>
      <c r="Q2188">
        <v>0</v>
      </c>
      <c r="R2188" t="s">
        <v>47</v>
      </c>
      <c r="S2188">
        <v>0</v>
      </c>
      <c r="T2188" t="s">
        <v>47</v>
      </c>
    </row>
    <row r="2189" spans="1:20" x14ac:dyDescent="0.35">
      <c r="A2189" s="1" t="s">
        <v>4470</v>
      </c>
      <c r="B2189" t="s">
        <v>12</v>
      </c>
      <c r="C2189" t="s">
        <v>47</v>
      </c>
      <c r="D2189" t="s">
        <v>3917</v>
      </c>
      <c r="E2189">
        <v>0</v>
      </c>
      <c r="F2189" t="s">
        <v>47</v>
      </c>
      <c r="G2189">
        <v>0</v>
      </c>
      <c r="H2189" t="s">
        <v>47</v>
      </c>
      <c r="I2189">
        <v>0</v>
      </c>
      <c r="J2189" t="s">
        <v>47</v>
      </c>
      <c r="K2189">
        <v>0</v>
      </c>
      <c r="L2189" t="s">
        <v>47</v>
      </c>
      <c r="M2189">
        <v>0</v>
      </c>
      <c r="N2189" t="s">
        <v>47</v>
      </c>
      <c r="O2189">
        <v>0</v>
      </c>
      <c r="P2189" t="s">
        <v>47</v>
      </c>
      <c r="Q2189">
        <v>1</v>
      </c>
      <c r="R2189" t="s">
        <v>55</v>
      </c>
      <c r="S2189">
        <v>0</v>
      </c>
      <c r="T2189" t="s">
        <v>47</v>
      </c>
    </row>
    <row r="2190" spans="1:20" x14ac:dyDescent="0.35">
      <c r="A2190" s="1" t="s">
        <v>4471</v>
      </c>
      <c r="B2190" t="s">
        <v>12</v>
      </c>
      <c r="C2190" t="s">
        <v>47</v>
      </c>
      <c r="D2190" t="s">
        <v>3918</v>
      </c>
      <c r="E2190">
        <v>0</v>
      </c>
      <c r="F2190" t="s">
        <v>47</v>
      </c>
      <c r="G2190">
        <v>0</v>
      </c>
      <c r="H2190" t="s">
        <v>47</v>
      </c>
      <c r="I2190">
        <v>0</v>
      </c>
      <c r="J2190" t="s">
        <v>47</v>
      </c>
      <c r="K2190">
        <v>0</v>
      </c>
      <c r="L2190" t="s">
        <v>47</v>
      </c>
      <c r="M2190">
        <v>0</v>
      </c>
      <c r="N2190" t="s">
        <v>47</v>
      </c>
      <c r="O2190">
        <v>0</v>
      </c>
      <c r="P2190" t="s">
        <v>47</v>
      </c>
      <c r="Q2190">
        <v>0</v>
      </c>
      <c r="R2190" t="s">
        <v>47</v>
      </c>
      <c r="S2190">
        <v>1</v>
      </c>
      <c r="T2190" t="s">
        <v>55</v>
      </c>
    </row>
    <row r="2191" spans="1:20" x14ac:dyDescent="0.35">
      <c r="A2191" s="1" t="s">
        <v>4472</v>
      </c>
      <c r="B2191" t="s">
        <v>12</v>
      </c>
      <c r="C2191" t="s">
        <v>47</v>
      </c>
      <c r="D2191" t="s">
        <v>3919</v>
      </c>
      <c r="E2191">
        <v>1</v>
      </c>
      <c r="F2191" t="s">
        <v>55</v>
      </c>
      <c r="G2191">
        <v>1</v>
      </c>
      <c r="H2191" t="s">
        <v>55</v>
      </c>
      <c r="I2191">
        <v>0</v>
      </c>
      <c r="J2191" t="s">
        <v>47</v>
      </c>
      <c r="K2191">
        <v>0</v>
      </c>
      <c r="L2191" t="s">
        <v>47</v>
      </c>
      <c r="M2191">
        <v>0</v>
      </c>
      <c r="N2191" t="s">
        <v>47</v>
      </c>
      <c r="O2191">
        <v>0</v>
      </c>
      <c r="P2191" t="s">
        <v>47</v>
      </c>
      <c r="Q2191">
        <v>0</v>
      </c>
      <c r="R2191" t="s">
        <v>47</v>
      </c>
      <c r="S2191">
        <v>0</v>
      </c>
      <c r="T2191" t="s">
        <v>47</v>
      </c>
    </row>
    <row r="2192" spans="1:20" x14ac:dyDescent="0.35">
      <c r="A2192" s="1" t="s">
        <v>4473</v>
      </c>
      <c r="B2192" t="s">
        <v>12</v>
      </c>
      <c r="C2192" t="s">
        <v>47</v>
      </c>
      <c r="D2192" t="s">
        <v>3920</v>
      </c>
      <c r="E2192">
        <v>0</v>
      </c>
      <c r="F2192" t="s">
        <v>47</v>
      </c>
      <c r="G2192">
        <v>0</v>
      </c>
      <c r="H2192" t="s">
        <v>47</v>
      </c>
      <c r="I2192">
        <v>1</v>
      </c>
      <c r="J2192" t="s">
        <v>55</v>
      </c>
      <c r="K2192">
        <v>1</v>
      </c>
      <c r="L2192" t="s">
        <v>55</v>
      </c>
      <c r="M2192">
        <v>0</v>
      </c>
      <c r="N2192" t="s">
        <v>47</v>
      </c>
      <c r="O2192">
        <v>0</v>
      </c>
      <c r="P2192" t="s">
        <v>47</v>
      </c>
      <c r="Q2192">
        <v>0</v>
      </c>
      <c r="R2192" t="s">
        <v>47</v>
      </c>
      <c r="S2192">
        <v>0</v>
      </c>
      <c r="T2192" t="s">
        <v>47</v>
      </c>
    </row>
    <row r="2193" spans="1:20" x14ac:dyDescent="0.35">
      <c r="A2193" s="1" t="s">
        <v>4474</v>
      </c>
      <c r="B2193" t="s">
        <v>12</v>
      </c>
      <c r="C2193" t="s">
        <v>47</v>
      </c>
      <c r="D2193" t="s">
        <v>3921</v>
      </c>
      <c r="E2193">
        <v>0</v>
      </c>
      <c r="F2193" t="s">
        <v>47</v>
      </c>
      <c r="G2193">
        <v>0</v>
      </c>
      <c r="H2193" t="s">
        <v>47</v>
      </c>
      <c r="I2193">
        <v>0</v>
      </c>
      <c r="J2193" t="s">
        <v>47</v>
      </c>
      <c r="K2193">
        <v>0</v>
      </c>
      <c r="L2193" t="s">
        <v>47</v>
      </c>
      <c r="M2193">
        <v>1</v>
      </c>
      <c r="N2193" t="s">
        <v>55</v>
      </c>
      <c r="O2193">
        <v>0</v>
      </c>
      <c r="P2193" t="s">
        <v>47</v>
      </c>
      <c r="Q2193">
        <v>0</v>
      </c>
      <c r="R2193" t="s">
        <v>47</v>
      </c>
      <c r="S2193">
        <v>0</v>
      </c>
      <c r="T2193" t="s">
        <v>47</v>
      </c>
    </row>
    <row r="2194" spans="1:20" x14ac:dyDescent="0.35">
      <c r="A2194" s="1" t="s">
        <v>4475</v>
      </c>
      <c r="B2194" t="s">
        <v>12</v>
      </c>
      <c r="C2194" t="s">
        <v>47</v>
      </c>
      <c r="D2194" t="s">
        <v>3922</v>
      </c>
      <c r="E2194">
        <v>0</v>
      </c>
      <c r="F2194" t="s">
        <v>47</v>
      </c>
      <c r="G2194">
        <v>1</v>
      </c>
      <c r="H2194" t="s">
        <v>55</v>
      </c>
      <c r="I2194">
        <v>0</v>
      </c>
      <c r="J2194" t="s">
        <v>47</v>
      </c>
      <c r="K2194">
        <v>0</v>
      </c>
      <c r="L2194" t="s">
        <v>47</v>
      </c>
      <c r="M2194">
        <v>0</v>
      </c>
      <c r="N2194" t="s">
        <v>47</v>
      </c>
      <c r="O2194">
        <v>0</v>
      </c>
      <c r="P2194" t="s">
        <v>47</v>
      </c>
      <c r="Q2194">
        <v>0</v>
      </c>
      <c r="R2194" t="s">
        <v>47</v>
      </c>
      <c r="S2194">
        <v>0</v>
      </c>
      <c r="T2194" t="s">
        <v>47</v>
      </c>
    </row>
    <row r="2195" spans="1:20" x14ac:dyDescent="0.35">
      <c r="A2195" s="1" t="s">
        <v>4476</v>
      </c>
      <c r="B2195" t="s">
        <v>12</v>
      </c>
      <c r="C2195" t="s">
        <v>47</v>
      </c>
      <c r="D2195" t="s">
        <v>3923</v>
      </c>
      <c r="E2195">
        <v>0</v>
      </c>
      <c r="F2195" t="s">
        <v>47</v>
      </c>
      <c r="G2195">
        <v>0</v>
      </c>
      <c r="H2195" t="s">
        <v>47</v>
      </c>
      <c r="I2195">
        <v>0</v>
      </c>
      <c r="J2195" t="s">
        <v>47</v>
      </c>
      <c r="K2195">
        <v>0</v>
      </c>
      <c r="L2195" t="s">
        <v>47</v>
      </c>
      <c r="M2195">
        <v>0</v>
      </c>
      <c r="N2195" t="s">
        <v>47</v>
      </c>
      <c r="O2195">
        <v>1</v>
      </c>
      <c r="P2195" t="s">
        <v>55</v>
      </c>
      <c r="Q2195">
        <v>0</v>
      </c>
      <c r="R2195" t="s">
        <v>47</v>
      </c>
      <c r="S2195">
        <v>0</v>
      </c>
      <c r="T2195" t="s">
        <v>47</v>
      </c>
    </row>
    <row r="2196" spans="1:20" x14ac:dyDescent="0.35">
      <c r="A2196" s="1" t="s">
        <v>4477</v>
      </c>
      <c r="B2196" t="s">
        <v>12</v>
      </c>
      <c r="C2196" t="s">
        <v>47</v>
      </c>
      <c r="D2196" t="s">
        <v>3924</v>
      </c>
      <c r="E2196">
        <v>0</v>
      </c>
      <c r="F2196" t="s">
        <v>47</v>
      </c>
      <c r="G2196">
        <v>0</v>
      </c>
      <c r="H2196" t="s">
        <v>47</v>
      </c>
      <c r="I2196">
        <v>0</v>
      </c>
      <c r="J2196" t="s">
        <v>47</v>
      </c>
      <c r="K2196">
        <v>0</v>
      </c>
      <c r="L2196" t="s">
        <v>47</v>
      </c>
      <c r="M2196">
        <v>0</v>
      </c>
      <c r="N2196" t="s">
        <v>47</v>
      </c>
      <c r="O2196">
        <v>0</v>
      </c>
      <c r="P2196" t="s">
        <v>47</v>
      </c>
      <c r="Q2196">
        <v>1</v>
      </c>
      <c r="R2196" t="s">
        <v>55</v>
      </c>
      <c r="S2196">
        <v>0</v>
      </c>
      <c r="T2196" t="s">
        <v>47</v>
      </c>
    </row>
    <row r="2197" spans="1:20" x14ac:dyDescent="0.35">
      <c r="A2197" s="1" t="s">
        <v>4478</v>
      </c>
      <c r="B2197" t="s">
        <v>12</v>
      </c>
      <c r="C2197" t="s">
        <v>47</v>
      </c>
      <c r="D2197" t="s">
        <v>3925</v>
      </c>
      <c r="E2197">
        <v>0</v>
      </c>
      <c r="F2197" t="s">
        <v>47</v>
      </c>
      <c r="G2197">
        <v>0</v>
      </c>
      <c r="H2197" t="s">
        <v>47</v>
      </c>
      <c r="I2197">
        <v>0</v>
      </c>
      <c r="J2197" t="s">
        <v>47</v>
      </c>
      <c r="K2197">
        <v>0</v>
      </c>
      <c r="L2197" t="s">
        <v>47</v>
      </c>
      <c r="M2197">
        <v>0</v>
      </c>
      <c r="N2197" t="s">
        <v>47</v>
      </c>
      <c r="O2197">
        <v>0</v>
      </c>
      <c r="P2197" t="s">
        <v>47</v>
      </c>
      <c r="Q2197">
        <v>0</v>
      </c>
      <c r="R2197" t="s">
        <v>47</v>
      </c>
      <c r="S2197">
        <v>1</v>
      </c>
      <c r="T2197" t="s">
        <v>55</v>
      </c>
    </row>
    <row r="2198" spans="1:20" x14ac:dyDescent="0.35">
      <c r="A2198" s="1" t="s">
        <v>4479</v>
      </c>
      <c r="B2198" t="s">
        <v>12</v>
      </c>
      <c r="C2198" t="s">
        <v>47</v>
      </c>
      <c r="D2198" t="s">
        <v>3926</v>
      </c>
      <c r="E2198">
        <v>1</v>
      </c>
      <c r="F2198" t="s">
        <v>55</v>
      </c>
      <c r="G2198">
        <v>1</v>
      </c>
      <c r="H2198" t="s">
        <v>55</v>
      </c>
      <c r="I2198">
        <v>1</v>
      </c>
      <c r="J2198" t="s">
        <v>55</v>
      </c>
      <c r="K2198">
        <v>1</v>
      </c>
      <c r="L2198" t="s">
        <v>55</v>
      </c>
      <c r="M2198">
        <v>0</v>
      </c>
      <c r="N2198" t="s">
        <v>47</v>
      </c>
      <c r="O2198">
        <v>0</v>
      </c>
      <c r="P2198" t="s">
        <v>47</v>
      </c>
      <c r="Q2198">
        <v>0</v>
      </c>
      <c r="R2198" t="s">
        <v>47</v>
      </c>
      <c r="S2198">
        <v>0</v>
      </c>
      <c r="T2198" t="s">
        <v>47</v>
      </c>
    </row>
    <row r="2199" spans="1:20" x14ac:dyDescent="0.35">
      <c r="A2199" s="1" t="s">
        <v>4480</v>
      </c>
      <c r="B2199" t="s">
        <v>14</v>
      </c>
      <c r="C2199" t="s">
        <v>47</v>
      </c>
      <c r="D2199" t="s">
        <v>3927</v>
      </c>
      <c r="E2199">
        <v>1</v>
      </c>
      <c r="F2199" t="s">
        <v>55</v>
      </c>
      <c r="G2199">
        <v>0</v>
      </c>
      <c r="H2199" t="s">
        <v>47</v>
      </c>
      <c r="I2199">
        <v>0</v>
      </c>
      <c r="J2199" t="s">
        <v>47</v>
      </c>
      <c r="K2199">
        <v>0</v>
      </c>
      <c r="L2199" t="s">
        <v>47</v>
      </c>
      <c r="M2199">
        <v>0</v>
      </c>
      <c r="N2199" t="s">
        <v>47</v>
      </c>
      <c r="O2199">
        <v>0</v>
      </c>
      <c r="P2199" t="s">
        <v>47</v>
      </c>
      <c r="Q2199">
        <v>0</v>
      </c>
      <c r="R2199" t="s">
        <v>47</v>
      </c>
      <c r="S2199">
        <v>0</v>
      </c>
      <c r="T2199" t="s">
        <v>47</v>
      </c>
    </row>
    <row r="2200" spans="1:20" x14ac:dyDescent="0.35">
      <c r="A2200" s="1" t="s">
        <v>4481</v>
      </c>
      <c r="B2200" t="s">
        <v>14</v>
      </c>
      <c r="C2200" t="s">
        <v>47</v>
      </c>
      <c r="D2200" t="s">
        <v>3928</v>
      </c>
      <c r="E2200">
        <v>0</v>
      </c>
      <c r="F2200" t="s">
        <v>47</v>
      </c>
      <c r="G2200">
        <v>1</v>
      </c>
      <c r="H2200" t="s">
        <v>55</v>
      </c>
      <c r="I2200">
        <v>0</v>
      </c>
      <c r="J2200" t="s">
        <v>47</v>
      </c>
      <c r="K2200">
        <v>0</v>
      </c>
      <c r="L2200" t="s">
        <v>47</v>
      </c>
      <c r="M2200">
        <v>0</v>
      </c>
      <c r="N2200" t="s">
        <v>47</v>
      </c>
      <c r="O2200">
        <v>0</v>
      </c>
      <c r="P2200" t="s">
        <v>47</v>
      </c>
      <c r="Q2200">
        <v>0</v>
      </c>
      <c r="R2200" t="s">
        <v>47</v>
      </c>
      <c r="S2200">
        <v>0</v>
      </c>
      <c r="T2200" t="s">
        <v>47</v>
      </c>
    </row>
    <row r="2201" spans="1:20" x14ac:dyDescent="0.35">
      <c r="A2201" s="1" t="s">
        <v>4482</v>
      </c>
      <c r="B2201" t="s">
        <v>14</v>
      </c>
      <c r="C2201" t="s">
        <v>47</v>
      </c>
      <c r="D2201" t="s">
        <v>3929</v>
      </c>
      <c r="E2201">
        <v>0</v>
      </c>
      <c r="F2201" t="s">
        <v>47</v>
      </c>
      <c r="G2201">
        <v>0</v>
      </c>
      <c r="H2201" t="s">
        <v>47</v>
      </c>
      <c r="I2201">
        <v>1</v>
      </c>
      <c r="J2201" t="s">
        <v>55</v>
      </c>
      <c r="K2201">
        <v>0</v>
      </c>
      <c r="L2201" t="s">
        <v>47</v>
      </c>
      <c r="M2201">
        <v>0</v>
      </c>
      <c r="N2201" t="s">
        <v>47</v>
      </c>
      <c r="O2201">
        <v>0</v>
      </c>
      <c r="P2201" t="s">
        <v>47</v>
      </c>
      <c r="Q2201">
        <v>0</v>
      </c>
      <c r="R2201" t="s">
        <v>47</v>
      </c>
      <c r="S2201">
        <v>0</v>
      </c>
      <c r="T2201" t="s">
        <v>47</v>
      </c>
    </row>
    <row r="2202" spans="1:20" x14ac:dyDescent="0.35">
      <c r="A2202" s="1" t="s">
        <v>4483</v>
      </c>
      <c r="B2202" t="s">
        <v>14</v>
      </c>
      <c r="C2202" t="s">
        <v>47</v>
      </c>
      <c r="D2202" t="s">
        <v>3930</v>
      </c>
      <c r="E2202">
        <v>0</v>
      </c>
      <c r="F2202" t="s">
        <v>47</v>
      </c>
      <c r="G2202">
        <v>0</v>
      </c>
      <c r="H2202" t="s">
        <v>47</v>
      </c>
      <c r="I2202">
        <v>0</v>
      </c>
      <c r="J2202" t="s">
        <v>47</v>
      </c>
      <c r="K2202">
        <v>1</v>
      </c>
      <c r="L2202" t="s">
        <v>55</v>
      </c>
      <c r="M2202">
        <v>0</v>
      </c>
      <c r="N2202" t="s">
        <v>47</v>
      </c>
      <c r="O2202">
        <v>0</v>
      </c>
      <c r="P2202" t="s">
        <v>47</v>
      </c>
      <c r="Q2202">
        <v>0</v>
      </c>
      <c r="R2202" t="s">
        <v>47</v>
      </c>
      <c r="S2202">
        <v>0</v>
      </c>
      <c r="T2202" t="s">
        <v>47</v>
      </c>
    </row>
    <row r="2203" spans="1:20" x14ac:dyDescent="0.35">
      <c r="A2203" s="1" t="s">
        <v>4484</v>
      </c>
      <c r="B2203" t="s">
        <v>14</v>
      </c>
      <c r="C2203" t="s">
        <v>47</v>
      </c>
      <c r="D2203" t="s">
        <v>3931</v>
      </c>
      <c r="E2203">
        <v>1</v>
      </c>
      <c r="F2203" t="s">
        <v>55</v>
      </c>
      <c r="G2203">
        <v>0</v>
      </c>
      <c r="H2203" t="s">
        <v>47</v>
      </c>
      <c r="I2203">
        <v>0</v>
      </c>
      <c r="J2203" t="s">
        <v>47</v>
      </c>
      <c r="K2203">
        <v>0</v>
      </c>
      <c r="L2203" t="s">
        <v>47</v>
      </c>
      <c r="M2203">
        <v>1</v>
      </c>
      <c r="N2203" t="s">
        <v>55</v>
      </c>
      <c r="O2203">
        <v>0</v>
      </c>
      <c r="P2203" t="s">
        <v>47</v>
      </c>
      <c r="Q2203">
        <v>0</v>
      </c>
      <c r="R2203" t="s">
        <v>47</v>
      </c>
      <c r="S2203">
        <v>0</v>
      </c>
      <c r="T2203" t="s">
        <v>47</v>
      </c>
    </row>
    <row r="2204" spans="1:20" x14ac:dyDescent="0.35">
      <c r="A2204" s="1" t="s">
        <v>4485</v>
      </c>
      <c r="B2204" t="s">
        <v>14</v>
      </c>
      <c r="C2204" t="s">
        <v>47</v>
      </c>
      <c r="D2204" t="s">
        <v>3932</v>
      </c>
      <c r="E2204">
        <v>0</v>
      </c>
      <c r="F2204" t="s">
        <v>47</v>
      </c>
      <c r="G2204">
        <v>0</v>
      </c>
      <c r="H2204" t="s">
        <v>47</v>
      </c>
      <c r="I2204">
        <v>0</v>
      </c>
      <c r="J2204" t="s">
        <v>47</v>
      </c>
      <c r="K2204">
        <v>0</v>
      </c>
      <c r="L2204" t="s">
        <v>47</v>
      </c>
      <c r="M2204">
        <v>0</v>
      </c>
      <c r="N2204" t="s">
        <v>47</v>
      </c>
      <c r="O2204">
        <v>1</v>
      </c>
      <c r="P2204" t="s">
        <v>55</v>
      </c>
      <c r="Q2204">
        <v>0</v>
      </c>
      <c r="R2204" t="s">
        <v>47</v>
      </c>
      <c r="S2204">
        <v>0</v>
      </c>
      <c r="T2204" t="s">
        <v>47</v>
      </c>
    </row>
    <row r="2205" spans="1:20" x14ac:dyDescent="0.35">
      <c r="A2205" s="1" t="s">
        <v>4486</v>
      </c>
      <c r="B2205" t="s">
        <v>14</v>
      </c>
      <c r="C2205" t="s">
        <v>47</v>
      </c>
      <c r="D2205" t="s">
        <v>3933</v>
      </c>
      <c r="E2205">
        <v>0</v>
      </c>
      <c r="F2205" t="s">
        <v>47</v>
      </c>
      <c r="G2205">
        <v>0</v>
      </c>
      <c r="H2205" t="s">
        <v>47</v>
      </c>
      <c r="I2205">
        <v>0</v>
      </c>
      <c r="J2205" t="s">
        <v>47</v>
      </c>
      <c r="K2205">
        <v>0</v>
      </c>
      <c r="L2205" t="s">
        <v>47</v>
      </c>
      <c r="M2205">
        <v>0</v>
      </c>
      <c r="N2205" t="s">
        <v>47</v>
      </c>
      <c r="O2205">
        <v>0</v>
      </c>
      <c r="P2205" t="s">
        <v>47</v>
      </c>
      <c r="Q2205">
        <v>1</v>
      </c>
      <c r="R2205" t="s">
        <v>55</v>
      </c>
      <c r="S2205">
        <v>0</v>
      </c>
      <c r="T2205" t="s">
        <v>47</v>
      </c>
    </row>
    <row r="2206" spans="1:20" x14ac:dyDescent="0.35">
      <c r="A2206" s="1" t="s">
        <v>4487</v>
      </c>
      <c r="B2206" t="s">
        <v>14</v>
      </c>
      <c r="C2206" t="s">
        <v>47</v>
      </c>
      <c r="D2206" t="s">
        <v>3934</v>
      </c>
      <c r="E2206">
        <v>0</v>
      </c>
      <c r="F2206" t="s">
        <v>47</v>
      </c>
      <c r="G2206">
        <v>0</v>
      </c>
      <c r="H2206" t="s">
        <v>47</v>
      </c>
      <c r="I2206">
        <v>0</v>
      </c>
      <c r="J2206" t="s">
        <v>47</v>
      </c>
      <c r="K2206">
        <v>0</v>
      </c>
      <c r="L2206" t="s">
        <v>47</v>
      </c>
      <c r="M2206">
        <v>0</v>
      </c>
      <c r="N2206" t="s">
        <v>47</v>
      </c>
      <c r="O2206">
        <v>0</v>
      </c>
      <c r="P2206" t="s">
        <v>47</v>
      </c>
      <c r="Q2206">
        <v>0</v>
      </c>
      <c r="R2206" t="s">
        <v>47</v>
      </c>
      <c r="S2206">
        <v>1</v>
      </c>
      <c r="T2206" t="s">
        <v>55</v>
      </c>
    </row>
    <row r="2207" spans="1:20" x14ac:dyDescent="0.35">
      <c r="A2207" s="1" t="s">
        <v>4488</v>
      </c>
      <c r="B2207" t="s">
        <v>14</v>
      </c>
      <c r="C2207" t="s">
        <v>47</v>
      </c>
      <c r="D2207" t="s">
        <v>3935</v>
      </c>
      <c r="E2207">
        <v>1</v>
      </c>
      <c r="F2207" t="s">
        <v>55</v>
      </c>
      <c r="G2207">
        <v>1</v>
      </c>
      <c r="H2207" t="s">
        <v>55</v>
      </c>
      <c r="I2207">
        <v>0</v>
      </c>
      <c r="J2207" t="s">
        <v>47</v>
      </c>
      <c r="K2207">
        <v>0</v>
      </c>
      <c r="L2207" t="s">
        <v>47</v>
      </c>
      <c r="M2207">
        <v>0</v>
      </c>
      <c r="N2207" t="s">
        <v>47</v>
      </c>
      <c r="O2207">
        <v>0</v>
      </c>
      <c r="P2207" t="s">
        <v>47</v>
      </c>
      <c r="Q2207">
        <v>0</v>
      </c>
      <c r="R2207" t="s">
        <v>47</v>
      </c>
      <c r="S2207">
        <v>0</v>
      </c>
      <c r="T2207" t="s">
        <v>47</v>
      </c>
    </row>
    <row r="2208" spans="1:20" x14ac:dyDescent="0.35">
      <c r="A2208" s="1" t="s">
        <v>4489</v>
      </c>
      <c r="B2208" t="s">
        <v>14</v>
      </c>
      <c r="C2208" t="s">
        <v>47</v>
      </c>
      <c r="D2208" t="s">
        <v>3936</v>
      </c>
      <c r="E2208">
        <v>0</v>
      </c>
      <c r="F2208" t="s">
        <v>47</v>
      </c>
      <c r="G2208">
        <v>0</v>
      </c>
      <c r="H2208" t="s">
        <v>47</v>
      </c>
      <c r="I2208">
        <v>1</v>
      </c>
      <c r="J2208" t="s">
        <v>55</v>
      </c>
      <c r="K2208">
        <v>1</v>
      </c>
      <c r="L2208" t="s">
        <v>55</v>
      </c>
      <c r="M2208">
        <v>0</v>
      </c>
      <c r="N2208" t="s">
        <v>47</v>
      </c>
      <c r="O2208">
        <v>0</v>
      </c>
      <c r="P2208" t="s">
        <v>47</v>
      </c>
      <c r="Q2208">
        <v>0</v>
      </c>
      <c r="R2208" t="s">
        <v>47</v>
      </c>
      <c r="S2208">
        <v>0</v>
      </c>
      <c r="T2208" t="s">
        <v>47</v>
      </c>
    </row>
    <row r="2209" spans="1:20" x14ac:dyDescent="0.35">
      <c r="A2209" s="1" t="s">
        <v>4490</v>
      </c>
      <c r="B2209" t="s">
        <v>14</v>
      </c>
      <c r="C2209" t="s">
        <v>47</v>
      </c>
      <c r="D2209" t="s">
        <v>3937</v>
      </c>
      <c r="E2209">
        <v>1</v>
      </c>
      <c r="F2209" t="s">
        <v>55</v>
      </c>
      <c r="G2209">
        <v>0</v>
      </c>
      <c r="H2209" t="s">
        <v>47</v>
      </c>
      <c r="I2209">
        <v>0</v>
      </c>
      <c r="J2209" t="s">
        <v>47</v>
      </c>
      <c r="K2209">
        <v>0</v>
      </c>
      <c r="L2209" t="s">
        <v>47</v>
      </c>
      <c r="M2209">
        <v>1</v>
      </c>
      <c r="N2209" t="s">
        <v>55</v>
      </c>
      <c r="O2209">
        <v>0</v>
      </c>
      <c r="P2209" t="s">
        <v>47</v>
      </c>
      <c r="Q2209">
        <v>0</v>
      </c>
      <c r="R2209" t="s">
        <v>47</v>
      </c>
      <c r="S2209">
        <v>0</v>
      </c>
      <c r="T2209" t="s">
        <v>47</v>
      </c>
    </row>
    <row r="2210" spans="1:20" x14ac:dyDescent="0.35">
      <c r="A2210" s="1" t="s">
        <v>4491</v>
      </c>
      <c r="B2210" t="s">
        <v>14</v>
      </c>
      <c r="C2210" t="s">
        <v>47</v>
      </c>
      <c r="D2210" t="s">
        <v>3938</v>
      </c>
      <c r="E2210">
        <v>0</v>
      </c>
      <c r="F2210" t="s">
        <v>47</v>
      </c>
      <c r="G2210">
        <v>1</v>
      </c>
      <c r="H2210" t="s">
        <v>55</v>
      </c>
      <c r="I2210">
        <v>0</v>
      </c>
      <c r="J2210" t="s">
        <v>47</v>
      </c>
      <c r="K2210">
        <v>0</v>
      </c>
      <c r="L2210" t="s">
        <v>47</v>
      </c>
      <c r="M2210">
        <v>0</v>
      </c>
      <c r="N2210" t="s">
        <v>47</v>
      </c>
      <c r="O2210">
        <v>0</v>
      </c>
      <c r="P2210" t="s">
        <v>47</v>
      </c>
      <c r="Q2210">
        <v>0</v>
      </c>
      <c r="R2210" t="s">
        <v>47</v>
      </c>
      <c r="S2210">
        <v>0</v>
      </c>
      <c r="T2210" t="s">
        <v>47</v>
      </c>
    </row>
    <row r="2211" spans="1:20" x14ac:dyDescent="0.35">
      <c r="A2211" s="1" t="s">
        <v>4492</v>
      </c>
      <c r="B2211" t="s">
        <v>14</v>
      </c>
      <c r="C2211" t="s">
        <v>47</v>
      </c>
      <c r="D2211" t="s">
        <v>3939</v>
      </c>
      <c r="E2211">
        <v>0</v>
      </c>
      <c r="F2211" t="s">
        <v>47</v>
      </c>
      <c r="G2211">
        <v>0</v>
      </c>
      <c r="H2211" t="s">
        <v>47</v>
      </c>
      <c r="I2211">
        <v>0</v>
      </c>
      <c r="J2211" t="s">
        <v>47</v>
      </c>
      <c r="K2211">
        <v>0</v>
      </c>
      <c r="L2211" t="s">
        <v>47</v>
      </c>
      <c r="M2211">
        <v>0</v>
      </c>
      <c r="N2211" t="s">
        <v>47</v>
      </c>
      <c r="O2211">
        <v>1</v>
      </c>
      <c r="P2211" t="s">
        <v>55</v>
      </c>
      <c r="Q2211">
        <v>0</v>
      </c>
      <c r="R2211" t="s">
        <v>47</v>
      </c>
      <c r="S2211">
        <v>0</v>
      </c>
      <c r="T2211" t="s">
        <v>47</v>
      </c>
    </row>
    <row r="2212" spans="1:20" x14ac:dyDescent="0.35">
      <c r="A2212" s="1" t="s">
        <v>4493</v>
      </c>
      <c r="B2212" t="s">
        <v>14</v>
      </c>
      <c r="C2212" t="s">
        <v>47</v>
      </c>
      <c r="D2212" t="s">
        <v>3940</v>
      </c>
      <c r="E2212">
        <v>0</v>
      </c>
      <c r="F2212" t="s">
        <v>47</v>
      </c>
      <c r="G2212">
        <v>0</v>
      </c>
      <c r="H2212" t="s">
        <v>47</v>
      </c>
      <c r="I2212">
        <v>0</v>
      </c>
      <c r="J2212" t="s">
        <v>47</v>
      </c>
      <c r="K2212">
        <v>0</v>
      </c>
      <c r="L2212" t="s">
        <v>47</v>
      </c>
      <c r="M2212">
        <v>0</v>
      </c>
      <c r="N2212" t="s">
        <v>47</v>
      </c>
      <c r="O2212">
        <v>0</v>
      </c>
      <c r="P2212" t="s">
        <v>47</v>
      </c>
      <c r="Q2212">
        <v>1</v>
      </c>
      <c r="R2212" t="s">
        <v>55</v>
      </c>
      <c r="S2212">
        <v>0</v>
      </c>
      <c r="T2212" t="s">
        <v>47</v>
      </c>
    </row>
    <row r="2213" spans="1:20" x14ac:dyDescent="0.35">
      <c r="A2213" s="1" t="s">
        <v>4494</v>
      </c>
      <c r="B2213" t="s">
        <v>14</v>
      </c>
      <c r="C2213" t="s">
        <v>47</v>
      </c>
      <c r="D2213" t="s">
        <v>3941</v>
      </c>
      <c r="E2213">
        <v>0</v>
      </c>
      <c r="F2213" t="s">
        <v>47</v>
      </c>
      <c r="G2213">
        <v>0</v>
      </c>
      <c r="H2213" t="s">
        <v>47</v>
      </c>
      <c r="I2213">
        <v>0</v>
      </c>
      <c r="J2213" t="s">
        <v>47</v>
      </c>
      <c r="K2213">
        <v>0</v>
      </c>
      <c r="L2213" t="s">
        <v>47</v>
      </c>
      <c r="M2213">
        <v>0</v>
      </c>
      <c r="N2213" t="s">
        <v>47</v>
      </c>
      <c r="O2213">
        <v>0</v>
      </c>
      <c r="P2213" t="s">
        <v>47</v>
      </c>
      <c r="Q2213">
        <v>0</v>
      </c>
      <c r="R2213" t="s">
        <v>47</v>
      </c>
      <c r="S2213">
        <v>1</v>
      </c>
      <c r="T2213" t="s">
        <v>55</v>
      </c>
    </row>
    <row r="2214" spans="1:20" x14ac:dyDescent="0.35">
      <c r="A2214" s="1" t="s">
        <v>4495</v>
      </c>
      <c r="B2214" t="s">
        <v>14</v>
      </c>
      <c r="C2214" t="s">
        <v>47</v>
      </c>
      <c r="D2214" t="s">
        <v>3942</v>
      </c>
      <c r="E2214">
        <v>1</v>
      </c>
      <c r="F2214" t="s">
        <v>55</v>
      </c>
      <c r="G2214">
        <v>0</v>
      </c>
      <c r="H2214" t="s">
        <v>47</v>
      </c>
      <c r="I2214">
        <v>0</v>
      </c>
      <c r="J2214" t="s">
        <v>47</v>
      </c>
      <c r="K2214">
        <v>0</v>
      </c>
      <c r="L2214" t="s">
        <v>47</v>
      </c>
      <c r="M2214">
        <v>1</v>
      </c>
      <c r="N2214" t="s">
        <v>55</v>
      </c>
      <c r="O2214">
        <v>0</v>
      </c>
      <c r="P2214" t="s">
        <v>47</v>
      </c>
      <c r="Q2214">
        <v>0</v>
      </c>
      <c r="R2214" t="s">
        <v>47</v>
      </c>
      <c r="S2214">
        <v>0</v>
      </c>
      <c r="T2214" t="s">
        <v>47</v>
      </c>
    </row>
    <row r="2215" spans="1:20" x14ac:dyDescent="0.35">
      <c r="A2215" s="1" t="s">
        <v>4496</v>
      </c>
      <c r="B2215" t="s">
        <v>14</v>
      </c>
      <c r="C2215" t="s">
        <v>47</v>
      </c>
      <c r="D2215" t="s">
        <v>3943</v>
      </c>
      <c r="E2215">
        <v>0</v>
      </c>
      <c r="F2215" t="s">
        <v>47</v>
      </c>
      <c r="G2215">
        <v>0</v>
      </c>
      <c r="H2215" t="s">
        <v>47</v>
      </c>
      <c r="I2215">
        <v>1</v>
      </c>
      <c r="J2215" t="s">
        <v>55</v>
      </c>
      <c r="K2215">
        <v>0</v>
      </c>
      <c r="L2215" t="s">
        <v>47</v>
      </c>
      <c r="M2215">
        <v>0</v>
      </c>
      <c r="N2215" t="s">
        <v>47</v>
      </c>
      <c r="O2215">
        <v>0</v>
      </c>
      <c r="P2215" t="s">
        <v>47</v>
      </c>
      <c r="Q2215">
        <v>0</v>
      </c>
      <c r="R2215" t="s">
        <v>47</v>
      </c>
      <c r="S2215">
        <v>0</v>
      </c>
      <c r="T2215" t="s">
        <v>47</v>
      </c>
    </row>
    <row r="2216" spans="1:20" x14ac:dyDescent="0.35">
      <c r="A2216" s="1" t="s">
        <v>4497</v>
      </c>
      <c r="B2216" t="s">
        <v>14</v>
      </c>
      <c r="C2216" t="s">
        <v>47</v>
      </c>
      <c r="D2216" t="s">
        <v>3944</v>
      </c>
      <c r="E2216">
        <v>0</v>
      </c>
      <c r="F2216" t="s">
        <v>47</v>
      </c>
      <c r="G2216">
        <v>0</v>
      </c>
      <c r="H2216" t="s">
        <v>47</v>
      </c>
      <c r="I2216">
        <v>0</v>
      </c>
      <c r="J2216" t="s">
        <v>47</v>
      </c>
      <c r="K2216">
        <v>1</v>
      </c>
      <c r="L2216" t="s">
        <v>55</v>
      </c>
      <c r="M2216">
        <v>0</v>
      </c>
      <c r="N2216" t="s">
        <v>47</v>
      </c>
      <c r="O2216">
        <v>0</v>
      </c>
      <c r="P2216" t="s">
        <v>47</v>
      </c>
      <c r="Q2216">
        <v>0</v>
      </c>
      <c r="R2216" t="s">
        <v>47</v>
      </c>
      <c r="S2216">
        <v>0</v>
      </c>
      <c r="T2216" t="s">
        <v>47</v>
      </c>
    </row>
    <row r="2217" spans="1:20" x14ac:dyDescent="0.35">
      <c r="A2217" s="1" t="s">
        <v>4498</v>
      </c>
      <c r="B2217" t="s">
        <v>14</v>
      </c>
      <c r="C2217" t="s">
        <v>47</v>
      </c>
      <c r="D2217" t="s">
        <v>3945</v>
      </c>
      <c r="E2217">
        <v>0</v>
      </c>
      <c r="F2217" t="s">
        <v>47</v>
      </c>
      <c r="G2217">
        <v>0</v>
      </c>
      <c r="H2217" t="s">
        <v>47</v>
      </c>
      <c r="I2217">
        <v>0</v>
      </c>
      <c r="J2217" t="s">
        <v>47</v>
      </c>
      <c r="K2217">
        <v>0</v>
      </c>
      <c r="L2217" t="s">
        <v>47</v>
      </c>
      <c r="M2217">
        <v>0</v>
      </c>
      <c r="N2217" t="s">
        <v>47</v>
      </c>
      <c r="O2217">
        <v>1</v>
      </c>
      <c r="P2217" t="s">
        <v>55</v>
      </c>
      <c r="Q2217">
        <v>0</v>
      </c>
      <c r="R2217" t="s">
        <v>47</v>
      </c>
      <c r="S2217">
        <v>0</v>
      </c>
      <c r="T2217" t="s">
        <v>47</v>
      </c>
    </row>
    <row r="2218" spans="1:20" x14ac:dyDescent="0.35">
      <c r="A2218" s="1" t="s">
        <v>4499</v>
      </c>
      <c r="B2218" t="s">
        <v>14</v>
      </c>
      <c r="C2218" t="s">
        <v>47</v>
      </c>
      <c r="D2218" t="s">
        <v>3946</v>
      </c>
      <c r="E2218">
        <v>1</v>
      </c>
      <c r="F2218" t="s">
        <v>55</v>
      </c>
      <c r="G2218">
        <v>0</v>
      </c>
      <c r="H2218" t="s">
        <v>47</v>
      </c>
      <c r="I2218">
        <v>0</v>
      </c>
      <c r="J2218" t="s">
        <v>47</v>
      </c>
      <c r="K2218">
        <v>1</v>
      </c>
      <c r="L2218" t="s">
        <v>55</v>
      </c>
      <c r="M2218">
        <v>1</v>
      </c>
      <c r="N2218" t="s">
        <v>55</v>
      </c>
      <c r="O2218">
        <v>0</v>
      </c>
      <c r="P2218" t="s">
        <v>47</v>
      </c>
      <c r="Q2218">
        <v>0</v>
      </c>
      <c r="R2218" t="s">
        <v>47</v>
      </c>
      <c r="S2218">
        <v>1</v>
      </c>
      <c r="T2218" t="s">
        <v>55</v>
      </c>
    </row>
    <row r="2219" spans="1:20" x14ac:dyDescent="0.35">
      <c r="A2219" s="1" t="s">
        <v>4500</v>
      </c>
      <c r="B2219" t="s">
        <v>12</v>
      </c>
      <c r="C2219" t="s">
        <v>47</v>
      </c>
      <c r="D2219" t="s">
        <v>3947</v>
      </c>
      <c r="E2219">
        <v>1</v>
      </c>
      <c r="F2219" t="s">
        <v>55</v>
      </c>
      <c r="G2219">
        <v>0</v>
      </c>
      <c r="H2219" t="s">
        <v>47</v>
      </c>
      <c r="I2219">
        <v>0</v>
      </c>
      <c r="J2219" t="s">
        <v>47</v>
      </c>
      <c r="K2219">
        <v>0</v>
      </c>
      <c r="L2219" t="s">
        <v>47</v>
      </c>
      <c r="M2219">
        <v>0</v>
      </c>
      <c r="N2219" t="s">
        <v>47</v>
      </c>
      <c r="O2219">
        <v>0</v>
      </c>
      <c r="P2219" t="s">
        <v>47</v>
      </c>
      <c r="Q2219">
        <v>0</v>
      </c>
      <c r="R2219" t="s">
        <v>47</v>
      </c>
      <c r="S2219">
        <v>0</v>
      </c>
      <c r="T2219" t="s">
        <v>47</v>
      </c>
    </row>
    <row r="2220" spans="1:20" x14ac:dyDescent="0.35">
      <c r="A2220" s="1" t="s">
        <v>4501</v>
      </c>
      <c r="B2220" t="s">
        <v>12</v>
      </c>
      <c r="C2220" t="s">
        <v>47</v>
      </c>
      <c r="D2220" t="s">
        <v>3948</v>
      </c>
      <c r="E2220">
        <v>0</v>
      </c>
      <c r="F2220" t="s">
        <v>47</v>
      </c>
      <c r="G2220">
        <v>1</v>
      </c>
      <c r="H2220" t="s">
        <v>55</v>
      </c>
      <c r="I2220">
        <v>0</v>
      </c>
      <c r="J2220" t="s">
        <v>47</v>
      </c>
      <c r="K2220">
        <v>0</v>
      </c>
      <c r="L2220" t="s">
        <v>47</v>
      </c>
      <c r="M2220">
        <v>0</v>
      </c>
      <c r="N2220" t="s">
        <v>47</v>
      </c>
      <c r="O2220">
        <v>0</v>
      </c>
      <c r="P2220" t="s">
        <v>47</v>
      </c>
      <c r="Q2220">
        <v>0</v>
      </c>
      <c r="R2220" t="s">
        <v>47</v>
      </c>
      <c r="S2220">
        <v>0</v>
      </c>
      <c r="T2220" t="s">
        <v>47</v>
      </c>
    </row>
    <row r="2221" spans="1:20" x14ac:dyDescent="0.35">
      <c r="A2221" s="1" t="s">
        <v>4502</v>
      </c>
      <c r="B2221" t="s">
        <v>12</v>
      </c>
      <c r="C2221" t="s">
        <v>47</v>
      </c>
      <c r="D2221" t="s">
        <v>3949</v>
      </c>
      <c r="E2221">
        <v>0</v>
      </c>
      <c r="F2221" t="s">
        <v>47</v>
      </c>
      <c r="G2221">
        <v>0</v>
      </c>
      <c r="H2221" t="s">
        <v>47</v>
      </c>
      <c r="I2221">
        <v>1</v>
      </c>
      <c r="J2221" t="s">
        <v>55</v>
      </c>
      <c r="K2221">
        <v>0</v>
      </c>
      <c r="L2221" t="s">
        <v>47</v>
      </c>
      <c r="M2221">
        <v>0</v>
      </c>
      <c r="N2221" t="s">
        <v>47</v>
      </c>
      <c r="O2221">
        <v>0</v>
      </c>
      <c r="P2221" t="s">
        <v>47</v>
      </c>
      <c r="Q2221">
        <v>0</v>
      </c>
      <c r="R2221" t="s">
        <v>47</v>
      </c>
      <c r="S2221">
        <v>0</v>
      </c>
      <c r="T2221" t="s">
        <v>47</v>
      </c>
    </row>
    <row r="2222" spans="1:20" x14ac:dyDescent="0.35">
      <c r="A2222" s="1" t="s">
        <v>4503</v>
      </c>
      <c r="B2222" t="s">
        <v>12</v>
      </c>
      <c r="C2222" t="s">
        <v>47</v>
      </c>
      <c r="D2222" t="s">
        <v>3950</v>
      </c>
      <c r="E2222">
        <v>0</v>
      </c>
      <c r="F2222" t="s">
        <v>47</v>
      </c>
      <c r="G2222">
        <v>0</v>
      </c>
      <c r="H2222" t="s">
        <v>47</v>
      </c>
      <c r="I2222">
        <v>0</v>
      </c>
      <c r="J2222" t="s">
        <v>47</v>
      </c>
      <c r="K2222">
        <v>1</v>
      </c>
      <c r="L2222" t="s">
        <v>55</v>
      </c>
      <c r="M2222">
        <v>0</v>
      </c>
      <c r="N2222" t="s">
        <v>47</v>
      </c>
      <c r="O2222">
        <v>0</v>
      </c>
      <c r="P2222" t="s">
        <v>47</v>
      </c>
      <c r="Q2222">
        <v>0</v>
      </c>
      <c r="R2222" t="s">
        <v>47</v>
      </c>
      <c r="S2222">
        <v>0</v>
      </c>
      <c r="T2222" t="s">
        <v>47</v>
      </c>
    </row>
    <row r="2223" spans="1:20" x14ac:dyDescent="0.35">
      <c r="A2223" s="1" t="s">
        <v>4504</v>
      </c>
      <c r="B2223" t="s">
        <v>12</v>
      </c>
      <c r="C2223" t="s">
        <v>47</v>
      </c>
      <c r="D2223" t="s">
        <v>3951</v>
      </c>
      <c r="E2223">
        <v>0</v>
      </c>
      <c r="F2223" t="s">
        <v>47</v>
      </c>
      <c r="G2223">
        <v>0</v>
      </c>
      <c r="H2223" t="s">
        <v>47</v>
      </c>
      <c r="I2223">
        <v>0</v>
      </c>
      <c r="J2223" t="s">
        <v>47</v>
      </c>
      <c r="K2223">
        <v>0</v>
      </c>
      <c r="L2223" t="s">
        <v>47</v>
      </c>
      <c r="M2223">
        <v>1</v>
      </c>
      <c r="N2223" t="s">
        <v>55</v>
      </c>
      <c r="O2223">
        <v>0</v>
      </c>
      <c r="P2223" t="s">
        <v>47</v>
      </c>
      <c r="Q2223">
        <v>0</v>
      </c>
      <c r="R2223" t="s">
        <v>47</v>
      </c>
      <c r="S2223">
        <v>0</v>
      </c>
      <c r="T2223" t="s">
        <v>47</v>
      </c>
    </row>
    <row r="2224" spans="1:20" x14ac:dyDescent="0.35">
      <c r="A2224" s="1" t="s">
        <v>4505</v>
      </c>
      <c r="B2224" t="s">
        <v>12</v>
      </c>
      <c r="C2224" t="s">
        <v>47</v>
      </c>
      <c r="D2224" t="s">
        <v>3952</v>
      </c>
      <c r="E2224">
        <v>0</v>
      </c>
      <c r="F2224" t="s">
        <v>47</v>
      </c>
      <c r="G2224">
        <v>0</v>
      </c>
      <c r="H2224" t="s">
        <v>47</v>
      </c>
      <c r="I2224">
        <v>0</v>
      </c>
      <c r="J2224" t="s">
        <v>47</v>
      </c>
      <c r="K2224">
        <v>0</v>
      </c>
      <c r="L2224" t="s">
        <v>47</v>
      </c>
      <c r="M2224">
        <v>0</v>
      </c>
      <c r="N2224" t="s">
        <v>47</v>
      </c>
      <c r="O2224">
        <v>1</v>
      </c>
      <c r="P2224" t="s">
        <v>55</v>
      </c>
      <c r="Q2224">
        <v>0</v>
      </c>
      <c r="R2224" t="s">
        <v>47</v>
      </c>
      <c r="S2224">
        <v>0</v>
      </c>
      <c r="T2224" t="s">
        <v>47</v>
      </c>
    </row>
    <row r="2225" spans="1:20" x14ac:dyDescent="0.35">
      <c r="A2225" s="1" t="s">
        <v>4506</v>
      </c>
      <c r="B2225" t="s">
        <v>12</v>
      </c>
      <c r="C2225" t="s">
        <v>47</v>
      </c>
      <c r="D2225" t="s">
        <v>3953</v>
      </c>
      <c r="E2225">
        <v>0</v>
      </c>
      <c r="F2225" t="s">
        <v>47</v>
      </c>
      <c r="G2225">
        <v>0</v>
      </c>
      <c r="H2225" t="s">
        <v>47</v>
      </c>
      <c r="I2225">
        <v>0</v>
      </c>
      <c r="J2225" t="s">
        <v>47</v>
      </c>
      <c r="K2225">
        <v>0</v>
      </c>
      <c r="L2225" t="s">
        <v>47</v>
      </c>
      <c r="M2225">
        <v>0</v>
      </c>
      <c r="N2225" t="s">
        <v>47</v>
      </c>
      <c r="O2225">
        <v>0</v>
      </c>
      <c r="P2225" t="s">
        <v>47</v>
      </c>
      <c r="Q2225">
        <v>1</v>
      </c>
      <c r="R2225" t="s">
        <v>55</v>
      </c>
      <c r="S2225">
        <v>0</v>
      </c>
      <c r="T2225" t="s">
        <v>47</v>
      </c>
    </row>
    <row r="2226" spans="1:20" x14ac:dyDescent="0.35">
      <c r="A2226" s="1" t="s">
        <v>4507</v>
      </c>
      <c r="B2226" t="s">
        <v>12</v>
      </c>
      <c r="C2226" t="s">
        <v>47</v>
      </c>
      <c r="D2226" t="s">
        <v>3954</v>
      </c>
      <c r="E2226">
        <v>0</v>
      </c>
      <c r="F2226" t="s">
        <v>47</v>
      </c>
      <c r="G2226">
        <v>0</v>
      </c>
      <c r="H2226" t="s">
        <v>47</v>
      </c>
      <c r="I2226">
        <v>0</v>
      </c>
      <c r="J2226" t="s">
        <v>47</v>
      </c>
      <c r="K2226">
        <v>0</v>
      </c>
      <c r="L2226" t="s">
        <v>47</v>
      </c>
      <c r="M2226">
        <v>0</v>
      </c>
      <c r="N2226" t="s">
        <v>47</v>
      </c>
      <c r="O2226">
        <v>0</v>
      </c>
      <c r="P2226" t="s">
        <v>47</v>
      </c>
      <c r="Q2226">
        <v>0</v>
      </c>
      <c r="R2226" t="s">
        <v>47</v>
      </c>
      <c r="S2226">
        <v>1</v>
      </c>
      <c r="T2226" t="s">
        <v>55</v>
      </c>
    </row>
    <row r="2227" spans="1:20" x14ac:dyDescent="0.35">
      <c r="A2227" s="1" t="s">
        <v>4508</v>
      </c>
      <c r="B2227" t="s">
        <v>12</v>
      </c>
      <c r="C2227" t="s">
        <v>47</v>
      </c>
      <c r="D2227" t="s">
        <v>3955</v>
      </c>
      <c r="E2227">
        <v>1</v>
      </c>
      <c r="F2227" t="s">
        <v>55</v>
      </c>
      <c r="G2227">
        <v>1</v>
      </c>
      <c r="H2227" t="s">
        <v>55</v>
      </c>
      <c r="I2227">
        <v>0</v>
      </c>
      <c r="J2227" t="s">
        <v>47</v>
      </c>
      <c r="K2227">
        <v>0</v>
      </c>
      <c r="L2227" t="s">
        <v>47</v>
      </c>
      <c r="M2227">
        <v>0</v>
      </c>
      <c r="N2227" t="s">
        <v>47</v>
      </c>
      <c r="O2227">
        <v>0</v>
      </c>
      <c r="P2227" t="s">
        <v>47</v>
      </c>
      <c r="Q2227">
        <v>0</v>
      </c>
      <c r="R2227" t="s">
        <v>47</v>
      </c>
      <c r="S2227">
        <v>0</v>
      </c>
      <c r="T2227" t="s">
        <v>47</v>
      </c>
    </row>
    <row r="2228" spans="1:20" x14ac:dyDescent="0.35">
      <c r="A2228" s="1" t="s">
        <v>4509</v>
      </c>
      <c r="B2228" t="s">
        <v>12</v>
      </c>
      <c r="C2228" t="s">
        <v>47</v>
      </c>
      <c r="D2228" t="s">
        <v>3956</v>
      </c>
      <c r="E2228">
        <v>0</v>
      </c>
      <c r="F2228" t="s">
        <v>47</v>
      </c>
      <c r="G2228">
        <v>0</v>
      </c>
      <c r="H2228" t="s">
        <v>47</v>
      </c>
      <c r="I2228">
        <v>1</v>
      </c>
      <c r="J2228" t="s">
        <v>55</v>
      </c>
      <c r="K2228">
        <v>1</v>
      </c>
      <c r="L2228" t="s">
        <v>55</v>
      </c>
      <c r="M2228">
        <v>0</v>
      </c>
      <c r="N2228" t="s">
        <v>47</v>
      </c>
      <c r="O2228">
        <v>0</v>
      </c>
      <c r="P2228" t="s">
        <v>47</v>
      </c>
      <c r="Q2228">
        <v>0</v>
      </c>
      <c r="R2228" t="s">
        <v>47</v>
      </c>
      <c r="S2228">
        <v>0</v>
      </c>
      <c r="T2228" t="s">
        <v>47</v>
      </c>
    </row>
    <row r="2229" spans="1:20" x14ac:dyDescent="0.35">
      <c r="A2229" s="1" t="s">
        <v>4510</v>
      </c>
      <c r="B2229" t="s">
        <v>12</v>
      </c>
      <c r="C2229" t="s">
        <v>47</v>
      </c>
      <c r="D2229" t="s">
        <v>3957</v>
      </c>
      <c r="E2229">
        <v>1</v>
      </c>
      <c r="F2229" t="s">
        <v>55</v>
      </c>
      <c r="G2229">
        <v>0</v>
      </c>
      <c r="H2229" t="s">
        <v>47</v>
      </c>
      <c r="I2229">
        <v>0</v>
      </c>
      <c r="J2229" t="s">
        <v>47</v>
      </c>
      <c r="K2229">
        <v>0</v>
      </c>
      <c r="L2229" t="s">
        <v>47</v>
      </c>
      <c r="M2229">
        <v>1</v>
      </c>
      <c r="N2229" t="s">
        <v>55</v>
      </c>
      <c r="O2229">
        <v>0</v>
      </c>
      <c r="P2229" t="s">
        <v>47</v>
      </c>
      <c r="Q2229">
        <v>0</v>
      </c>
      <c r="R2229" t="s">
        <v>47</v>
      </c>
      <c r="S2229">
        <v>0</v>
      </c>
      <c r="T2229" t="s">
        <v>47</v>
      </c>
    </row>
    <row r="2230" spans="1:20" x14ac:dyDescent="0.35">
      <c r="A2230" s="1" t="s">
        <v>4511</v>
      </c>
      <c r="B2230" t="s">
        <v>12</v>
      </c>
      <c r="C2230" t="s">
        <v>47</v>
      </c>
      <c r="D2230" t="s">
        <v>3958</v>
      </c>
      <c r="E2230">
        <v>0</v>
      </c>
      <c r="F2230" t="s">
        <v>47</v>
      </c>
      <c r="G2230">
        <v>1</v>
      </c>
      <c r="H2230" t="s">
        <v>55</v>
      </c>
      <c r="I2230">
        <v>0</v>
      </c>
      <c r="J2230" t="s">
        <v>47</v>
      </c>
      <c r="K2230">
        <v>0</v>
      </c>
      <c r="L2230" t="s">
        <v>47</v>
      </c>
      <c r="M2230">
        <v>0</v>
      </c>
      <c r="N2230" t="s">
        <v>47</v>
      </c>
      <c r="O2230">
        <v>0</v>
      </c>
      <c r="P2230" t="s">
        <v>47</v>
      </c>
      <c r="Q2230">
        <v>0</v>
      </c>
      <c r="R2230" t="s">
        <v>47</v>
      </c>
      <c r="S2230">
        <v>0</v>
      </c>
      <c r="T2230" t="s">
        <v>47</v>
      </c>
    </row>
    <row r="2231" spans="1:20" x14ac:dyDescent="0.35">
      <c r="A2231" s="1" t="s">
        <v>4512</v>
      </c>
      <c r="B2231" t="s">
        <v>12</v>
      </c>
      <c r="C2231" t="s">
        <v>47</v>
      </c>
      <c r="D2231" t="s">
        <v>3959</v>
      </c>
      <c r="E2231">
        <v>0</v>
      </c>
      <c r="F2231" t="s">
        <v>47</v>
      </c>
      <c r="G2231">
        <v>0</v>
      </c>
      <c r="H2231" t="s">
        <v>47</v>
      </c>
      <c r="I2231">
        <v>0</v>
      </c>
      <c r="J2231" t="s">
        <v>47</v>
      </c>
      <c r="K2231">
        <v>0</v>
      </c>
      <c r="L2231" t="s">
        <v>47</v>
      </c>
      <c r="M2231">
        <v>0</v>
      </c>
      <c r="N2231" t="s">
        <v>47</v>
      </c>
      <c r="O2231">
        <v>1</v>
      </c>
      <c r="P2231" t="s">
        <v>55</v>
      </c>
      <c r="Q2231">
        <v>0</v>
      </c>
      <c r="R2231" t="s">
        <v>47</v>
      </c>
      <c r="S2231">
        <v>0</v>
      </c>
      <c r="T2231" t="s">
        <v>47</v>
      </c>
    </row>
    <row r="2232" spans="1:20" x14ac:dyDescent="0.35">
      <c r="A2232" s="1" t="s">
        <v>4513</v>
      </c>
      <c r="B2232" t="s">
        <v>12</v>
      </c>
      <c r="C2232" t="s">
        <v>47</v>
      </c>
      <c r="D2232" t="s">
        <v>3960</v>
      </c>
      <c r="E2232">
        <v>0</v>
      </c>
      <c r="F2232" t="s">
        <v>47</v>
      </c>
      <c r="G2232">
        <v>0</v>
      </c>
      <c r="H2232" t="s">
        <v>47</v>
      </c>
      <c r="I2232">
        <v>0</v>
      </c>
      <c r="J2232" t="s">
        <v>47</v>
      </c>
      <c r="K2232">
        <v>0</v>
      </c>
      <c r="L2232" t="s">
        <v>47</v>
      </c>
      <c r="M2232">
        <v>0</v>
      </c>
      <c r="N2232" t="s">
        <v>47</v>
      </c>
      <c r="O2232">
        <v>0</v>
      </c>
      <c r="P2232" t="s">
        <v>47</v>
      </c>
      <c r="Q2232">
        <v>1</v>
      </c>
      <c r="R2232" t="s">
        <v>55</v>
      </c>
      <c r="S2232">
        <v>0</v>
      </c>
      <c r="T2232" t="s">
        <v>47</v>
      </c>
    </row>
    <row r="2233" spans="1:20" x14ac:dyDescent="0.35">
      <c r="A2233" s="1" t="s">
        <v>4514</v>
      </c>
      <c r="B2233" t="s">
        <v>12</v>
      </c>
      <c r="C2233" t="s">
        <v>47</v>
      </c>
      <c r="D2233" t="s">
        <v>3961</v>
      </c>
      <c r="E2233">
        <v>0</v>
      </c>
      <c r="F2233" t="s">
        <v>47</v>
      </c>
      <c r="G2233">
        <v>0</v>
      </c>
      <c r="H2233" t="s">
        <v>47</v>
      </c>
      <c r="I2233">
        <v>0</v>
      </c>
      <c r="J2233" t="s">
        <v>47</v>
      </c>
      <c r="K2233">
        <v>0</v>
      </c>
      <c r="L2233" t="s">
        <v>47</v>
      </c>
      <c r="M2233">
        <v>0</v>
      </c>
      <c r="N2233" t="s">
        <v>47</v>
      </c>
      <c r="O2233">
        <v>0</v>
      </c>
      <c r="P2233" t="s">
        <v>47</v>
      </c>
      <c r="Q2233">
        <v>0</v>
      </c>
      <c r="R2233" t="s">
        <v>47</v>
      </c>
      <c r="S2233">
        <v>1</v>
      </c>
      <c r="T2233" t="s">
        <v>55</v>
      </c>
    </row>
    <row r="2234" spans="1:20" x14ac:dyDescent="0.35">
      <c r="A2234" s="1" t="s">
        <v>4515</v>
      </c>
      <c r="B2234" t="s">
        <v>12</v>
      </c>
      <c r="C2234" t="s">
        <v>47</v>
      </c>
      <c r="D2234" t="s">
        <v>3962</v>
      </c>
      <c r="E2234">
        <v>1</v>
      </c>
      <c r="F2234" t="s">
        <v>55</v>
      </c>
      <c r="G2234">
        <v>1</v>
      </c>
      <c r="H2234" t="s">
        <v>55</v>
      </c>
      <c r="I2234">
        <v>0</v>
      </c>
      <c r="J2234" t="s">
        <v>47</v>
      </c>
      <c r="K2234">
        <v>0</v>
      </c>
      <c r="L2234" t="s">
        <v>47</v>
      </c>
      <c r="M2234">
        <v>0</v>
      </c>
      <c r="N2234" t="s">
        <v>47</v>
      </c>
      <c r="O2234">
        <v>0</v>
      </c>
      <c r="P2234" t="s">
        <v>47</v>
      </c>
      <c r="Q2234">
        <v>0</v>
      </c>
      <c r="R2234" t="s">
        <v>47</v>
      </c>
      <c r="S2234">
        <v>0</v>
      </c>
      <c r="T2234" t="s">
        <v>47</v>
      </c>
    </row>
    <row r="2235" spans="1:20" x14ac:dyDescent="0.35">
      <c r="A2235" s="1" t="s">
        <v>4516</v>
      </c>
      <c r="B2235" t="s">
        <v>12</v>
      </c>
      <c r="C2235" t="s">
        <v>47</v>
      </c>
      <c r="D2235" t="s">
        <v>3963</v>
      </c>
      <c r="E2235">
        <v>0</v>
      </c>
      <c r="F2235" t="s">
        <v>47</v>
      </c>
      <c r="G2235">
        <v>0</v>
      </c>
      <c r="H2235" t="s">
        <v>47</v>
      </c>
      <c r="I2235">
        <v>1</v>
      </c>
      <c r="J2235" t="s">
        <v>55</v>
      </c>
      <c r="K2235">
        <v>0</v>
      </c>
      <c r="L2235" t="s">
        <v>47</v>
      </c>
      <c r="M2235">
        <v>0</v>
      </c>
      <c r="N2235" t="s">
        <v>47</v>
      </c>
      <c r="O2235">
        <v>0</v>
      </c>
      <c r="P2235" t="s">
        <v>47</v>
      </c>
      <c r="Q2235">
        <v>0</v>
      </c>
      <c r="R2235" t="s">
        <v>47</v>
      </c>
      <c r="S2235">
        <v>0</v>
      </c>
      <c r="T2235" t="s">
        <v>47</v>
      </c>
    </row>
    <row r="2236" spans="1:20" x14ac:dyDescent="0.35">
      <c r="A2236" s="1" t="s">
        <v>4517</v>
      </c>
      <c r="B2236" t="s">
        <v>12</v>
      </c>
      <c r="C2236" t="s">
        <v>47</v>
      </c>
      <c r="D2236" t="s">
        <v>3964</v>
      </c>
      <c r="E2236">
        <v>0</v>
      </c>
      <c r="F2236" t="s">
        <v>47</v>
      </c>
      <c r="G2236">
        <v>0</v>
      </c>
      <c r="H2236" t="s">
        <v>47</v>
      </c>
      <c r="I2236">
        <v>0</v>
      </c>
      <c r="J2236" t="s">
        <v>47</v>
      </c>
      <c r="K2236">
        <v>1</v>
      </c>
      <c r="L2236" t="s">
        <v>55</v>
      </c>
      <c r="M2236">
        <v>0</v>
      </c>
      <c r="N2236" t="s">
        <v>47</v>
      </c>
      <c r="O2236">
        <v>0</v>
      </c>
      <c r="P2236" t="s">
        <v>47</v>
      </c>
      <c r="Q2236">
        <v>0</v>
      </c>
      <c r="R2236" t="s">
        <v>47</v>
      </c>
      <c r="S2236">
        <v>0</v>
      </c>
      <c r="T2236" t="s">
        <v>47</v>
      </c>
    </row>
    <row r="2237" spans="1:20" x14ac:dyDescent="0.35">
      <c r="A2237" s="1" t="s">
        <v>4518</v>
      </c>
      <c r="B2237" t="s">
        <v>12</v>
      </c>
      <c r="C2237" t="s">
        <v>47</v>
      </c>
      <c r="D2237" t="s">
        <v>3965</v>
      </c>
      <c r="E2237">
        <v>0</v>
      </c>
      <c r="F2237" t="s">
        <v>47</v>
      </c>
      <c r="G2237">
        <v>0</v>
      </c>
      <c r="H2237" t="s">
        <v>47</v>
      </c>
      <c r="I2237">
        <v>0</v>
      </c>
      <c r="J2237" t="s">
        <v>47</v>
      </c>
      <c r="K2237">
        <v>0</v>
      </c>
      <c r="L2237" t="s">
        <v>47</v>
      </c>
      <c r="M2237">
        <v>1</v>
      </c>
      <c r="N2237" t="s">
        <v>55</v>
      </c>
      <c r="O2237">
        <v>0</v>
      </c>
      <c r="P2237" t="s">
        <v>47</v>
      </c>
      <c r="Q2237">
        <v>0</v>
      </c>
      <c r="R2237" t="s">
        <v>47</v>
      </c>
      <c r="S2237">
        <v>0</v>
      </c>
      <c r="T2237" t="s">
        <v>47</v>
      </c>
    </row>
    <row r="2238" spans="1:20" x14ac:dyDescent="0.35">
      <c r="A2238" s="1" t="s">
        <v>4519</v>
      </c>
      <c r="B2238" t="s">
        <v>12</v>
      </c>
      <c r="C2238" t="s">
        <v>47</v>
      </c>
      <c r="D2238" t="s">
        <v>3966</v>
      </c>
      <c r="E2238">
        <v>1</v>
      </c>
      <c r="F2238" t="s">
        <v>55</v>
      </c>
      <c r="G2238">
        <v>0</v>
      </c>
      <c r="H2238" t="s">
        <v>47</v>
      </c>
      <c r="I2238">
        <v>0</v>
      </c>
      <c r="J2238" t="s">
        <v>47</v>
      </c>
      <c r="K2238">
        <v>1</v>
      </c>
      <c r="L2238" t="s">
        <v>55</v>
      </c>
      <c r="M2238">
        <v>0</v>
      </c>
      <c r="N2238" t="s">
        <v>47</v>
      </c>
      <c r="O2238">
        <v>1</v>
      </c>
      <c r="P2238" t="s">
        <v>55</v>
      </c>
      <c r="Q2238">
        <v>0</v>
      </c>
      <c r="R2238" t="s">
        <v>47</v>
      </c>
      <c r="S2238">
        <v>1</v>
      </c>
      <c r="T2238" t="s">
        <v>55</v>
      </c>
    </row>
    <row r="2239" spans="1:20" x14ac:dyDescent="0.35">
      <c r="A2239" s="1" t="s">
        <v>4520</v>
      </c>
      <c r="B2239" t="s">
        <v>14</v>
      </c>
      <c r="C2239" t="s">
        <v>47</v>
      </c>
      <c r="D2239" t="s">
        <v>3967</v>
      </c>
      <c r="E2239">
        <v>1</v>
      </c>
      <c r="F2239" t="s">
        <v>55</v>
      </c>
      <c r="G2239">
        <v>0</v>
      </c>
      <c r="H2239" t="s">
        <v>47</v>
      </c>
      <c r="I2239">
        <v>0</v>
      </c>
      <c r="J2239" t="s">
        <v>47</v>
      </c>
      <c r="K2239">
        <v>0</v>
      </c>
      <c r="L2239" t="s">
        <v>47</v>
      </c>
      <c r="M2239">
        <v>0</v>
      </c>
      <c r="N2239" t="s">
        <v>47</v>
      </c>
      <c r="O2239">
        <v>0</v>
      </c>
      <c r="P2239" t="s">
        <v>47</v>
      </c>
      <c r="Q2239">
        <v>0</v>
      </c>
      <c r="R2239" t="s">
        <v>47</v>
      </c>
      <c r="S2239">
        <v>0</v>
      </c>
      <c r="T2239" t="s">
        <v>47</v>
      </c>
    </row>
    <row r="2240" spans="1:20" x14ac:dyDescent="0.35">
      <c r="A2240" s="1" t="s">
        <v>4521</v>
      </c>
      <c r="B2240" t="s">
        <v>14</v>
      </c>
      <c r="C2240" t="s">
        <v>47</v>
      </c>
      <c r="D2240" t="s">
        <v>3968</v>
      </c>
      <c r="E2240">
        <v>0</v>
      </c>
      <c r="F2240" t="s">
        <v>47</v>
      </c>
      <c r="G2240">
        <v>1</v>
      </c>
      <c r="H2240" t="s">
        <v>55</v>
      </c>
      <c r="I2240">
        <v>0</v>
      </c>
      <c r="J2240" t="s">
        <v>47</v>
      </c>
      <c r="K2240">
        <v>0</v>
      </c>
      <c r="L2240" t="s">
        <v>47</v>
      </c>
      <c r="M2240">
        <v>0</v>
      </c>
      <c r="N2240" t="s">
        <v>47</v>
      </c>
      <c r="O2240">
        <v>0</v>
      </c>
      <c r="P2240" t="s">
        <v>47</v>
      </c>
      <c r="Q2240">
        <v>0</v>
      </c>
      <c r="R2240" t="s">
        <v>47</v>
      </c>
      <c r="S2240">
        <v>0</v>
      </c>
      <c r="T2240" t="s">
        <v>47</v>
      </c>
    </row>
    <row r="2241" spans="1:20" x14ac:dyDescent="0.35">
      <c r="A2241" s="1" t="s">
        <v>4522</v>
      </c>
      <c r="B2241" t="s">
        <v>14</v>
      </c>
      <c r="C2241" t="s">
        <v>47</v>
      </c>
      <c r="D2241" t="s">
        <v>3969</v>
      </c>
      <c r="E2241">
        <v>0</v>
      </c>
      <c r="F2241" t="s">
        <v>47</v>
      </c>
      <c r="G2241">
        <v>0</v>
      </c>
      <c r="H2241" t="s">
        <v>47</v>
      </c>
      <c r="I2241">
        <v>1</v>
      </c>
      <c r="J2241" t="s">
        <v>55</v>
      </c>
      <c r="K2241">
        <v>0</v>
      </c>
      <c r="L2241" t="s">
        <v>47</v>
      </c>
      <c r="M2241">
        <v>0</v>
      </c>
      <c r="N2241" t="s">
        <v>47</v>
      </c>
      <c r="O2241">
        <v>0</v>
      </c>
      <c r="P2241" t="s">
        <v>47</v>
      </c>
      <c r="Q2241">
        <v>0</v>
      </c>
      <c r="R2241" t="s">
        <v>47</v>
      </c>
      <c r="S2241">
        <v>0</v>
      </c>
      <c r="T2241" t="s">
        <v>47</v>
      </c>
    </row>
    <row r="2242" spans="1:20" x14ac:dyDescent="0.35">
      <c r="A2242" s="1" t="s">
        <v>4523</v>
      </c>
      <c r="B2242" t="s">
        <v>14</v>
      </c>
      <c r="C2242" t="s">
        <v>47</v>
      </c>
      <c r="D2242" t="s">
        <v>3970</v>
      </c>
      <c r="E2242">
        <v>0</v>
      </c>
      <c r="F2242" t="s">
        <v>47</v>
      </c>
      <c r="G2242">
        <v>0</v>
      </c>
      <c r="H2242" t="s">
        <v>47</v>
      </c>
      <c r="I2242">
        <v>0</v>
      </c>
      <c r="J2242" t="s">
        <v>47</v>
      </c>
      <c r="K2242">
        <v>1</v>
      </c>
      <c r="L2242" t="s">
        <v>55</v>
      </c>
      <c r="M2242">
        <v>0</v>
      </c>
      <c r="N2242" t="s">
        <v>47</v>
      </c>
      <c r="O2242">
        <v>0</v>
      </c>
      <c r="P2242" t="s">
        <v>47</v>
      </c>
      <c r="Q2242">
        <v>0</v>
      </c>
      <c r="R2242" t="s">
        <v>47</v>
      </c>
      <c r="S2242">
        <v>0</v>
      </c>
      <c r="T2242" t="s">
        <v>47</v>
      </c>
    </row>
    <row r="2243" spans="1:20" x14ac:dyDescent="0.35">
      <c r="A2243" s="1" t="s">
        <v>4524</v>
      </c>
      <c r="B2243" t="s">
        <v>14</v>
      </c>
      <c r="C2243" t="s">
        <v>47</v>
      </c>
      <c r="D2243" t="s">
        <v>3971</v>
      </c>
      <c r="E2243">
        <v>0</v>
      </c>
      <c r="F2243" t="s">
        <v>47</v>
      </c>
      <c r="G2243">
        <v>0</v>
      </c>
      <c r="H2243" t="s">
        <v>47</v>
      </c>
      <c r="I2243">
        <v>0</v>
      </c>
      <c r="J2243" t="s">
        <v>47</v>
      </c>
      <c r="K2243">
        <v>0</v>
      </c>
      <c r="L2243" t="s">
        <v>47</v>
      </c>
      <c r="M2243">
        <v>1</v>
      </c>
      <c r="N2243" t="s">
        <v>55</v>
      </c>
      <c r="O2243">
        <v>0</v>
      </c>
      <c r="P2243" t="s">
        <v>47</v>
      </c>
      <c r="Q2243">
        <v>0</v>
      </c>
      <c r="R2243" t="s">
        <v>47</v>
      </c>
      <c r="S2243">
        <v>0</v>
      </c>
      <c r="T2243" t="s">
        <v>47</v>
      </c>
    </row>
    <row r="2244" spans="1:20" x14ac:dyDescent="0.35">
      <c r="A2244" s="1" t="s">
        <v>4525</v>
      </c>
      <c r="B2244" t="s">
        <v>14</v>
      </c>
      <c r="C2244" t="s">
        <v>47</v>
      </c>
      <c r="D2244" t="s">
        <v>3972</v>
      </c>
      <c r="E2244">
        <v>0</v>
      </c>
      <c r="F2244" t="s">
        <v>47</v>
      </c>
      <c r="G2244">
        <v>0</v>
      </c>
      <c r="H2244" t="s">
        <v>47</v>
      </c>
      <c r="I2244">
        <v>0</v>
      </c>
      <c r="J2244" t="s">
        <v>47</v>
      </c>
      <c r="K2244">
        <v>0</v>
      </c>
      <c r="L2244" t="s">
        <v>47</v>
      </c>
      <c r="M2244">
        <v>0</v>
      </c>
      <c r="N2244" t="s">
        <v>47</v>
      </c>
      <c r="O2244">
        <v>1</v>
      </c>
      <c r="P2244" t="s">
        <v>55</v>
      </c>
      <c r="Q2244">
        <v>0</v>
      </c>
      <c r="R2244" t="s">
        <v>47</v>
      </c>
      <c r="S2244">
        <v>0</v>
      </c>
      <c r="T2244" t="s">
        <v>47</v>
      </c>
    </row>
    <row r="2245" spans="1:20" x14ac:dyDescent="0.35">
      <c r="A2245" s="1" t="s">
        <v>4526</v>
      </c>
      <c r="B2245" t="s">
        <v>14</v>
      </c>
      <c r="C2245" t="s">
        <v>47</v>
      </c>
      <c r="D2245" t="s">
        <v>3973</v>
      </c>
      <c r="E2245">
        <v>0</v>
      </c>
      <c r="F2245" t="s">
        <v>47</v>
      </c>
      <c r="G2245">
        <v>0</v>
      </c>
      <c r="H2245" t="s">
        <v>47</v>
      </c>
      <c r="I2245">
        <v>0</v>
      </c>
      <c r="J2245" t="s">
        <v>47</v>
      </c>
      <c r="K2245">
        <v>0</v>
      </c>
      <c r="L2245" t="s">
        <v>47</v>
      </c>
      <c r="M2245">
        <v>0</v>
      </c>
      <c r="N2245" t="s">
        <v>47</v>
      </c>
      <c r="O2245">
        <v>0</v>
      </c>
      <c r="P2245" t="s">
        <v>47</v>
      </c>
      <c r="Q2245">
        <v>1</v>
      </c>
      <c r="R2245" t="s">
        <v>55</v>
      </c>
      <c r="S2245">
        <v>0</v>
      </c>
      <c r="T2245" t="s">
        <v>47</v>
      </c>
    </row>
    <row r="2246" spans="1:20" x14ac:dyDescent="0.35">
      <c r="A2246" s="1" t="s">
        <v>4527</v>
      </c>
      <c r="B2246" t="s">
        <v>14</v>
      </c>
      <c r="C2246" t="s">
        <v>47</v>
      </c>
      <c r="D2246" t="s">
        <v>3974</v>
      </c>
      <c r="E2246">
        <v>0</v>
      </c>
      <c r="F2246" t="s">
        <v>47</v>
      </c>
      <c r="G2246">
        <v>0</v>
      </c>
      <c r="H2246" t="s">
        <v>47</v>
      </c>
      <c r="I2246">
        <v>0</v>
      </c>
      <c r="J2246" t="s">
        <v>47</v>
      </c>
      <c r="K2246">
        <v>0</v>
      </c>
      <c r="L2246" t="s">
        <v>47</v>
      </c>
      <c r="M2246">
        <v>0</v>
      </c>
      <c r="N2246" t="s">
        <v>47</v>
      </c>
      <c r="O2246">
        <v>0</v>
      </c>
      <c r="P2246" t="s">
        <v>47</v>
      </c>
      <c r="Q2246">
        <v>0</v>
      </c>
      <c r="R2246" t="s">
        <v>47</v>
      </c>
      <c r="S2246">
        <v>1</v>
      </c>
      <c r="T2246" t="s">
        <v>55</v>
      </c>
    </row>
    <row r="2247" spans="1:20" x14ac:dyDescent="0.35">
      <c r="A2247" s="1" t="s">
        <v>4528</v>
      </c>
      <c r="B2247" t="s">
        <v>14</v>
      </c>
      <c r="C2247" t="s">
        <v>47</v>
      </c>
      <c r="D2247" t="s">
        <v>3975</v>
      </c>
      <c r="E2247">
        <v>1</v>
      </c>
      <c r="F2247" t="s">
        <v>55</v>
      </c>
      <c r="G2247">
        <v>0</v>
      </c>
      <c r="H2247" t="s">
        <v>47</v>
      </c>
      <c r="I2247">
        <v>0</v>
      </c>
      <c r="J2247" t="s">
        <v>47</v>
      </c>
      <c r="K2247">
        <v>0</v>
      </c>
      <c r="L2247" t="s">
        <v>47</v>
      </c>
      <c r="M2247">
        <v>0</v>
      </c>
      <c r="N2247" t="s">
        <v>47</v>
      </c>
      <c r="O2247">
        <v>0</v>
      </c>
      <c r="P2247" t="s">
        <v>47</v>
      </c>
      <c r="Q2247">
        <v>0</v>
      </c>
      <c r="R2247" t="s">
        <v>47</v>
      </c>
      <c r="S2247">
        <v>0</v>
      </c>
      <c r="T2247" t="s">
        <v>47</v>
      </c>
    </row>
    <row r="2248" spans="1:20" x14ac:dyDescent="0.35">
      <c r="A2248" s="1" t="s">
        <v>4529</v>
      </c>
      <c r="B2248" t="s">
        <v>14</v>
      </c>
      <c r="C2248" t="s">
        <v>47</v>
      </c>
      <c r="D2248" t="s">
        <v>3976</v>
      </c>
      <c r="E2248">
        <v>0</v>
      </c>
      <c r="F2248" t="s">
        <v>47</v>
      </c>
      <c r="G2248">
        <v>1</v>
      </c>
      <c r="H2248" t="s">
        <v>55</v>
      </c>
      <c r="I2248">
        <v>0</v>
      </c>
      <c r="J2248" t="s">
        <v>47</v>
      </c>
      <c r="K2248">
        <v>0</v>
      </c>
      <c r="L2248" t="s">
        <v>47</v>
      </c>
      <c r="M2248">
        <v>0</v>
      </c>
      <c r="N2248" t="s">
        <v>47</v>
      </c>
      <c r="O2248">
        <v>0</v>
      </c>
      <c r="P2248" t="s">
        <v>47</v>
      </c>
      <c r="Q2248">
        <v>0</v>
      </c>
      <c r="R2248" t="s">
        <v>47</v>
      </c>
      <c r="S2248">
        <v>0</v>
      </c>
      <c r="T2248" t="s">
        <v>47</v>
      </c>
    </row>
    <row r="2249" spans="1:20" x14ac:dyDescent="0.35">
      <c r="A2249" s="1" t="s">
        <v>4530</v>
      </c>
      <c r="B2249" t="s">
        <v>14</v>
      </c>
      <c r="C2249" t="s">
        <v>47</v>
      </c>
      <c r="D2249" t="s">
        <v>3977</v>
      </c>
      <c r="E2249">
        <v>0</v>
      </c>
      <c r="F2249" t="s">
        <v>47</v>
      </c>
      <c r="G2249">
        <v>0</v>
      </c>
      <c r="H2249" t="s">
        <v>47</v>
      </c>
      <c r="I2249">
        <v>1</v>
      </c>
      <c r="J2249" t="s">
        <v>55</v>
      </c>
      <c r="K2249">
        <v>0</v>
      </c>
      <c r="L2249" t="s">
        <v>47</v>
      </c>
      <c r="M2249">
        <v>0</v>
      </c>
      <c r="N2249" t="s">
        <v>47</v>
      </c>
      <c r="O2249">
        <v>0</v>
      </c>
      <c r="P2249" t="s">
        <v>47</v>
      </c>
      <c r="Q2249">
        <v>0</v>
      </c>
      <c r="R2249" t="s">
        <v>47</v>
      </c>
      <c r="S2249">
        <v>0</v>
      </c>
      <c r="T2249" t="s">
        <v>47</v>
      </c>
    </row>
    <row r="2250" spans="1:20" x14ac:dyDescent="0.35">
      <c r="A2250" s="1" t="s">
        <v>4531</v>
      </c>
      <c r="B2250" t="s">
        <v>14</v>
      </c>
      <c r="C2250" t="s">
        <v>47</v>
      </c>
      <c r="D2250" t="s">
        <v>3978</v>
      </c>
      <c r="E2250">
        <v>0</v>
      </c>
      <c r="F2250" t="s">
        <v>47</v>
      </c>
      <c r="G2250">
        <v>0</v>
      </c>
      <c r="H2250" t="s">
        <v>47</v>
      </c>
      <c r="I2250">
        <v>0</v>
      </c>
      <c r="J2250" t="s">
        <v>47</v>
      </c>
      <c r="K2250">
        <v>1</v>
      </c>
      <c r="L2250" t="s">
        <v>55</v>
      </c>
      <c r="M2250">
        <v>0</v>
      </c>
      <c r="N2250" t="s">
        <v>47</v>
      </c>
      <c r="O2250">
        <v>0</v>
      </c>
      <c r="P2250" t="s">
        <v>47</v>
      </c>
      <c r="Q2250">
        <v>0</v>
      </c>
      <c r="R2250" t="s">
        <v>47</v>
      </c>
      <c r="S2250">
        <v>0</v>
      </c>
      <c r="T2250" t="s">
        <v>47</v>
      </c>
    </row>
    <row r="2251" spans="1:20" x14ac:dyDescent="0.35">
      <c r="A2251" s="1" t="s">
        <v>4532</v>
      </c>
      <c r="B2251" t="s">
        <v>14</v>
      </c>
      <c r="C2251" t="s">
        <v>47</v>
      </c>
      <c r="D2251" t="s">
        <v>3979</v>
      </c>
      <c r="E2251">
        <v>1</v>
      </c>
      <c r="F2251" t="s">
        <v>55</v>
      </c>
      <c r="G2251">
        <v>0</v>
      </c>
      <c r="H2251" t="s">
        <v>47</v>
      </c>
      <c r="I2251">
        <v>0</v>
      </c>
      <c r="J2251" t="s">
        <v>47</v>
      </c>
      <c r="K2251">
        <v>0</v>
      </c>
      <c r="L2251" t="s">
        <v>47</v>
      </c>
      <c r="M2251">
        <v>1</v>
      </c>
      <c r="N2251" t="s">
        <v>55</v>
      </c>
      <c r="O2251">
        <v>0</v>
      </c>
      <c r="P2251" t="s">
        <v>47</v>
      </c>
      <c r="Q2251">
        <v>0</v>
      </c>
      <c r="R2251" t="s">
        <v>47</v>
      </c>
      <c r="S2251">
        <v>0</v>
      </c>
      <c r="T2251" t="s">
        <v>47</v>
      </c>
    </row>
    <row r="2252" spans="1:20" x14ac:dyDescent="0.35">
      <c r="A2252" s="1" t="s">
        <v>4533</v>
      </c>
      <c r="B2252" t="s">
        <v>14</v>
      </c>
      <c r="C2252" t="s">
        <v>47</v>
      </c>
      <c r="D2252" t="s">
        <v>3980</v>
      </c>
      <c r="E2252">
        <v>0</v>
      </c>
      <c r="F2252" t="s">
        <v>47</v>
      </c>
      <c r="G2252">
        <v>0</v>
      </c>
      <c r="H2252" t="s">
        <v>47</v>
      </c>
      <c r="I2252">
        <v>0</v>
      </c>
      <c r="J2252" t="s">
        <v>47</v>
      </c>
      <c r="K2252">
        <v>0</v>
      </c>
      <c r="L2252" t="s">
        <v>47</v>
      </c>
      <c r="M2252">
        <v>0</v>
      </c>
      <c r="N2252" t="s">
        <v>47</v>
      </c>
      <c r="O2252">
        <v>1</v>
      </c>
      <c r="P2252" t="s">
        <v>55</v>
      </c>
      <c r="Q2252">
        <v>0</v>
      </c>
      <c r="R2252" t="s">
        <v>47</v>
      </c>
      <c r="S2252">
        <v>0</v>
      </c>
      <c r="T2252" t="s">
        <v>47</v>
      </c>
    </row>
    <row r="2253" spans="1:20" x14ac:dyDescent="0.35">
      <c r="A2253" s="1" t="s">
        <v>4534</v>
      </c>
      <c r="B2253" t="s">
        <v>14</v>
      </c>
      <c r="C2253" t="s">
        <v>47</v>
      </c>
      <c r="D2253" t="s">
        <v>3981</v>
      </c>
      <c r="E2253">
        <v>0</v>
      </c>
      <c r="F2253" t="s">
        <v>47</v>
      </c>
      <c r="G2253">
        <v>0</v>
      </c>
      <c r="H2253" t="s">
        <v>47</v>
      </c>
      <c r="I2253">
        <v>0</v>
      </c>
      <c r="J2253" t="s">
        <v>47</v>
      </c>
      <c r="K2253">
        <v>0</v>
      </c>
      <c r="L2253" t="s">
        <v>47</v>
      </c>
      <c r="M2253">
        <v>0</v>
      </c>
      <c r="N2253" t="s">
        <v>47</v>
      </c>
      <c r="O2253">
        <v>0</v>
      </c>
      <c r="P2253" t="s">
        <v>47</v>
      </c>
      <c r="Q2253">
        <v>1</v>
      </c>
      <c r="R2253" t="s">
        <v>55</v>
      </c>
      <c r="S2253">
        <v>0</v>
      </c>
      <c r="T2253" t="s">
        <v>47</v>
      </c>
    </row>
    <row r="2254" spans="1:20" x14ac:dyDescent="0.35">
      <c r="A2254" s="1" t="s">
        <v>4535</v>
      </c>
      <c r="B2254" t="s">
        <v>14</v>
      </c>
      <c r="C2254" t="s">
        <v>47</v>
      </c>
      <c r="D2254" t="s">
        <v>3982</v>
      </c>
      <c r="E2254">
        <v>0</v>
      </c>
      <c r="F2254" t="s">
        <v>47</v>
      </c>
      <c r="G2254">
        <v>0</v>
      </c>
      <c r="H2254" t="s">
        <v>47</v>
      </c>
      <c r="I2254">
        <v>0</v>
      </c>
      <c r="J2254" t="s">
        <v>47</v>
      </c>
      <c r="K2254">
        <v>0</v>
      </c>
      <c r="L2254" t="s">
        <v>47</v>
      </c>
      <c r="M2254">
        <v>0</v>
      </c>
      <c r="N2254" t="s">
        <v>47</v>
      </c>
      <c r="O2254">
        <v>0</v>
      </c>
      <c r="P2254" t="s">
        <v>47</v>
      </c>
      <c r="Q2254">
        <v>0</v>
      </c>
      <c r="R2254" t="s">
        <v>47</v>
      </c>
      <c r="S2254">
        <v>1</v>
      </c>
      <c r="T2254" t="s">
        <v>55</v>
      </c>
    </row>
    <row r="2255" spans="1:20" x14ac:dyDescent="0.35">
      <c r="A2255" s="1" t="s">
        <v>4536</v>
      </c>
      <c r="B2255" t="s">
        <v>14</v>
      </c>
      <c r="C2255" t="s">
        <v>47</v>
      </c>
      <c r="D2255" t="s">
        <v>3983</v>
      </c>
      <c r="E2255">
        <v>1</v>
      </c>
      <c r="F2255" t="s">
        <v>55</v>
      </c>
      <c r="G2255">
        <v>1</v>
      </c>
      <c r="H2255" t="s">
        <v>55</v>
      </c>
      <c r="I2255">
        <v>0</v>
      </c>
      <c r="J2255" t="s">
        <v>47</v>
      </c>
      <c r="K2255">
        <v>1</v>
      </c>
      <c r="L2255" t="s">
        <v>55</v>
      </c>
      <c r="M2255">
        <v>0</v>
      </c>
      <c r="N2255" t="s">
        <v>47</v>
      </c>
      <c r="O2255">
        <v>0</v>
      </c>
      <c r="P2255" t="s">
        <v>47</v>
      </c>
      <c r="Q2255">
        <v>0</v>
      </c>
      <c r="R2255" t="s">
        <v>47</v>
      </c>
      <c r="S2255">
        <v>0</v>
      </c>
      <c r="T2255" t="s">
        <v>47</v>
      </c>
    </row>
    <row r="2256" spans="1:20" x14ac:dyDescent="0.35">
      <c r="A2256" s="1" t="s">
        <v>4537</v>
      </c>
      <c r="B2256" t="s">
        <v>14</v>
      </c>
      <c r="C2256" t="s">
        <v>47</v>
      </c>
      <c r="D2256" t="s">
        <v>3984</v>
      </c>
      <c r="E2256">
        <v>0</v>
      </c>
      <c r="F2256" t="s">
        <v>47</v>
      </c>
      <c r="G2256">
        <v>0</v>
      </c>
      <c r="H2256" t="s">
        <v>47</v>
      </c>
      <c r="I2256">
        <v>1</v>
      </c>
      <c r="J2256" t="s">
        <v>55</v>
      </c>
      <c r="K2256">
        <v>0</v>
      </c>
      <c r="L2256" t="s">
        <v>47</v>
      </c>
      <c r="M2256">
        <v>0</v>
      </c>
      <c r="N2256" t="s">
        <v>47</v>
      </c>
      <c r="O2256">
        <v>1</v>
      </c>
      <c r="P2256" t="s">
        <v>55</v>
      </c>
      <c r="Q2256">
        <v>0</v>
      </c>
      <c r="R2256" t="s">
        <v>47</v>
      </c>
      <c r="S2256">
        <v>0</v>
      </c>
      <c r="T2256" t="s">
        <v>47</v>
      </c>
    </row>
    <row r="2257" spans="1:20" x14ac:dyDescent="0.35">
      <c r="A2257" s="1" t="s">
        <v>4538</v>
      </c>
      <c r="B2257" t="s">
        <v>14</v>
      </c>
      <c r="C2257" t="s">
        <v>47</v>
      </c>
      <c r="D2257" t="s">
        <v>3985</v>
      </c>
      <c r="E2257">
        <v>0</v>
      </c>
      <c r="F2257" t="s">
        <v>47</v>
      </c>
      <c r="G2257">
        <v>0</v>
      </c>
      <c r="H2257" t="s">
        <v>47</v>
      </c>
      <c r="I2257">
        <v>0</v>
      </c>
      <c r="J2257" t="s">
        <v>47</v>
      </c>
      <c r="K2257">
        <v>0</v>
      </c>
      <c r="L2257" t="s">
        <v>47</v>
      </c>
      <c r="M2257">
        <v>0</v>
      </c>
      <c r="N2257" t="s">
        <v>47</v>
      </c>
      <c r="O2257">
        <v>0</v>
      </c>
      <c r="P2257" t="s">
        <v>47</v>
      </c>
      <c r="Q2257">
        <v>1</v>
      </c>
      <c r="R2257" t="s">
        <v>55</v>
      </c>
      <c r="S2257">
        <v>0</v>
      </c>
      <c r="T2257" t="s">
        <v>47</v>
      </c>
    </row>
    <row r="2258" spans="1:20" x14ac:dyDescent="0.35">
      <c r="A2258" s="1" t="s">
        <v>4539</v>
      </c>
      <c r="B2258" t="s">
        <v>14</v>
      </c>
      <c r="C2258" t="s">
        <v>47</v>
      </c>
      <c r="D2258" t="s">
        <v>3986</v>
      </c>
      <c r="E2258">
        <v>0</v>
      </c>
      <c r="F2258" t="s">
        <v>47</v>
      </c>
      <c r="G2258">
        <v>1</v>
      </c>
      <c r="H2258" t="s">
        <v>55</v>
      </c>
      <c r="I2258">
        <v>0</v>
      </c>
      <c r="J2258" t="s">
        <v>47</v>
      </c>
      <c r="K2258">
        <v>0</v>
      </c>
      <c r="L2258" t="s">
        <v>47</v>
      </c>
      <c r="M2258">
        <v>1</v>
      </c>
      <c r="N2258" t="s">
        <v>55</v>
      </c>
      <c r="O2258">
        <v>0</v>
      </c>
      <c r="P2258" t="s">
        <v>47</v>
      </c>
      <c r="Q2258">
        <v>0</v>
      </c>
      <c r="R2258" t="s">
        <v>47</v>
      </c>
      <c r="S2258">
        <v>1</v>
      </c>
      <c r="T2258" t="s">
        <v>55</v>
      </c>
    </row>
    <row r="2259" spans="1:20" x14ac:dyDescent="0.35">
      <c r="A2259" s="1" t="s">
        <v>4540</v>
      </c>
      <c r="B2259" t="s">
        <v>12</v>
      </c>
      <c r="C2259" t="s">
        <v>47</v>
      </c>
      <c r="D2259" t="s">
        <v>3987</v>
      </c>
      <c r="E2259">
        <v>1</v>
      </c>
      <c r="F2259" t="s">
        <v>55</v>
      </c>
      <c r="G2259">
        <v>0</v>
      </c>
      <c r="H2259" t="s">
        <v>47</v>
      </c>
      <c r="I2259">
        <v>0</v>
      </c>
      <c r="J2259" t="s">
        <v>47</v>
      </c>
      <c r="K2259">
        <v>0</v>
      </c>
      <c r="L2259" t="s">
        <v>47</v>
      </c>
      <c r="M2259">
        <v>0</v>
      </c>
      <c r="N2259" t="s">
        <v>47</v>
      </c>
      <c r="O2259">
        <v>0</v>
      </c>
      <c r="P2259" t="s">
        <v>47</v>
      </c>
      <c r="Q2259">
        <v>0</v>
      </c>
      <c r="R2259" t="s">
        <v>47</v>
      </c>
      <c r="S2259">
        <v>0</v>
      </c>
      <c r="T2259" t="s">
        <v>47</v>
      </c>
    </row>
    <row r="2260" spans="1:20" x14ac:dyDescent="0.35">
      <c r="A2260" s="1" t="s">
        <v>4541</v>
      </c>
      <c r="B2260" t="s">
        <v>12</v>
      </c>
      <c r="C2260" t="s">
        <v>47</v>
      </c>
      <c r="D2260" t="s">
        <v>3988</v>
      </c>
      <c r="E2260">
        <v>0</v>
      </c>
      <c r="F2260" t="s">
        <v>47</v>
      </c>
      <c r="G2260">
        <v>1</v>
      </c>
      <c r="H2260" t="s">
        <v>55</v>
      </c>
      <c r="I2260">
        <v>0</v>
      </c>
      <c r="J2260" t="s">
        <v>47</v>
      </c>
      <c r="K2260">
        <v>0</v>
      </c>
      <c r="L2260" t="s">
        <v>47</v>
      </c>
      <c r="M2260">
        <v>0</v>
      </c>
      <c r="N2260" t="s">
        <v>47</v>
      </c>
      <c r="O2260">
        <v>0</v>
      </c>
      <c r="P2260" t="s">
        <v>47</v>
      </c>
      <c r="Q2260">
        <v>0</v>
      </c>
      <c r="R2260" t="s">
        <v>47</v>
      </c>
      <c r="S2260">
        <v>0</v>
      </c>
      <c r="T2260" t="s">
        <v>47</v>
      </c>
    </row>
    <row r="2261" spans="1:20" x14ac:dyDescent="0.35">
      <c r="A2261" s="1" t="s">
        <v>4542</v>
      </c>
      <c r="B2261" t="s">
        <v>12</v>
      </c>
      <c r="C2261" t="s">
        <v>47</v>
      </c>
      <c r="D2261" t="s">
        <v>3989</v>
      </c>
      <c r="E2261">
        <v>0</v>
      </c>
      <c r="F2261" t="s">
        <v>47</v>
      </c>
      <c r="G2261">
        <v>0</v>
      </c>
      <c r="H2261" t="s">
        <v>47</v>
      </c>
      <c r="I2261">
        <v>1</v>
      </c>
      <c r="J2261" t="s">
        <v>55</v>
      </c>
      <c r="K2261">
        <v>0</v>
      </c>
      <c r="L2261" t="s">
        <v>47</v>
      </c>
      <c r="M2261">
        <v>0</v>
      </c>
      <c r="N2261" t="s">
        <v>47</v>
      </c>
      <c r="O2261">
        <v>0</v>
      </c>
      <c r="P2261" t="s">
        <v>47</v>
      </c>
      <c r="Q2261">
        <v>0</v>
      </c>
      <c r="R2261" t="s">
        <v>47</v>
      </c>
      <c r="S2261">
        <v>0</v>
      </c>
      <c r="T2261" t="s">
        <v>47</v>
      </c>
    </row>
    <row r="2262" spans="1:20" x14ac:dyDescent="0.35">
      <c r="A2262" s="1" t="s">
        <v>4543</v>
      </c>
      <c r="B2262" t="s">
        <v>12</v>
      </c>
      <c r="C2262" t="s">
        <v>47</v>
      </c>
      <c r="D2262" t="s">
        <v>3990</v>
      </c>
      <c r="E2262">
        <v>0</v>
      </c>
      <c r="F2262" t="s">
        <v>47</v>
      </c>
      <c r="G2262">
        <v>0</v>
      </c>
      <c r="H2262" t="s">
        <v>47</v>
      </c>
      <c r="I2262">
        <v>0</v>
      </c>
      <c r="J2262" t="s">
        <v>47</v>
      </c>
      <c r="K2262">
        <v>1</v>
      </c>
      <c r="L2262" t="s">
        <v>55</v>
      </c>
      <c r="M2262">
        <v>0</v>
      </c>
      <c r="N2262" t="s">
        <v>47</v>
      </c>
      <c r="O2262">
        <v>0</v>
      </c>
      <c r="P2262" t="s">
        <v>47</v>
      </c>
      <c r="Q2262">
        <v>0</v>
      </c>
      <c r="R2262" t="s">
        <v>47</v>
      </c>
      <c r="S2262">
        <v>0</v>
      </c>
      <c r="T2262" t="s">
        <v>47</v>
      </c>
    </row>
    <row r="2263" spans="1:20" x14ac:dyDescent="0.35">
      <c r="A2263" s="1" t="s">
        <v>4544</v>
      </c>
      <c r="B2263" t="s">
        <v>12</v>
      </c>
      <c r="C2263" t="s">
        <v>47</v>
      </c>
      <c r="D2263" t="s">
        <v>3991</v>
      </c>
      <c r="E2263">
        <v>0</v>
      </c>
      <c r="F2263" t="s">
        <v>47</v>
      </c>
      <c r="G2263">
        <v>0</v>
      </c>
      <c r="H2263" t="s">
        <v>47</v>
      </c>
      <c r="I2263">
        <v>0</v>
      </c>
      <c r="J2263" t="s">
        <v>47</v>
      </c>
      <c r="K2263">
        <v>0</v>
      </c>
      <c r="L2263" t="s">
        <v>47</v>
      </c>
      <c r="M2263">
        <v>1</v>
      </c>
      <c r="N2263" t="s">
        <v>55</v>
      </c>
      <c r="O2263">
        <v>0</v>
      </c>
      <c r="P2263" t="s">
        <v>47</v>
      </c>
      <c r="Q2263">
        <v>0</v>
      </c>
      <c r="R2263" t="s">
        <v>47</v>
      </c>
      <c r="S2263">
        <v>0</v>
      </c>
      <c r="T2263" t="s">
        <v>47</v>
      </c>
    </row>
    <row r="2264" spans="1:20" x14ac:dyDescent="0.35">
      <c r="A2264" s="1" t="s">
        <v>4545</v>
      </c>
      <c r="B2264" t="s">
        <v>12</v>
      </c>
      <c r="C2264" t="s">
        <v>47</v>
      </c>
      <c r="D2264" t="s">
        <v>3992</v>
      </c>
      <c r="E2264">
        <v>0</v>
      </c>
      <c r="F2264" t="s">
        <v>47</v>
      </c>
      <c r="G2264">
        <v>0</v>
      </c>
      <c r="H2264" t="s">
        <v>47</v>
      </c>
      <c r="I2264">
        <v>0</v>
      </c>
      <c r="J2264" t="s">
        <v>47</v>
      </c>
      <c r="K2264">
        <v>0</v>
      </c>
      <c r="L2264" t="s">
        <v>47</v>
      </c>
      <c r="M2264">
        <v>0</v>
      </c>
      <c r="N2264" t="s">
        <v>47</v>
      </c>
      <c r="O2264">
        <v>1</v>
      </c>
      <c r="P2264" t="s">
        <v>55</v>
      </c>
      <c r="Q2264">
        <v>0</v>
      </c>
      <c r="R2264" t="s">
        <v>47</v>
      </c>
      <c r="S2264">
        <v>0</v>
      </c>
      <c r="T2264" t="s">
        <v>47</v>
      </c>
    </row>
    <row r="2265" spans="1:20" x14ac:dyDescent="0.35">
      <c r="A2265" s="1" t="s">
        <v>4546</v>
      </c>
      <c r="B2265" t="s">
        <v>12</v>
      </c>
      <c r="C2265" t="s">
        <v>47</v>
      </c>
      <c r="D2265" t="s">
        <v>3993</v>
      </c>
      <c r="E2265">
        <v>0</v>
      </c>
      <c r="F2265" t="s">
        <v>47</v>
      </c>
      <c r="G2265">
        <v>0</v>
      </c>
      <c r="H2265" t="s">
        <v>47</v>
      </c>
      <c r="I2265">
        <v>0</v>
      </c>
      <c r="J2265" t="s">
        <v>47</v>
      </c>
      <c r="K2265">
        <v>0</v>
      </c>
      <c r="L2265" t="s">
        <v>47</v>
      </c>
      <c r="M2265">
        <v>0</v>
      </c>
      <c r="N2265" t="s">
        <v>47</v>
      </c>
      <c r="O2265">
        <v>0</v>
      </c>
      <c r="P2265" t="s">
        <v>47</v>
      </c>
      <c r="Q2265">
        <v>1</v>
      </c>
      <c r="R2265" t="s">
        <v>55</v>
      </c>
      <c r="S2265">
        <v>0</v>
      </c>
      <c r="T2265" t="s">
        <v>47</v>
      </c>
    </row>
    <row r="2266" spans="1:20" x14ac:dyDescent="0.35">
      <c r="A2266" s="1" t="s">
        <v>4547</v>
      </c>
      <c r="B2266" t="s">
        <v>12</v>
      </c>
      <c r="C2266" t="s">
        <v>47</v>
      </c>
      <c r="D2266" t="s">
        <v>3994</v>
      </c>
      <c r="E2266">
        <v>0</v>
      </c>
      <c r="F2266" t="s">
        <v>47</v>
      </c>
      <c r="G2266">
        <v>0</v>
      </c>
      <c r="H2266" t="s">
        <v>47</v>
      </c>
      <c r="I2266">
        <v>0</v>
      </c>
      <c r="J2266" t="s">
        <v>47</v>
      </c>
      <c r="K2266">
        <v>0</v>
      </c>
      <c r="L2266" t="s">
        <v>47</v>
      </c>
      <c r="M2266">
        <v>0</v>
      </c>
      <c r="N2266" t="s">
        <v>47</v>
      </c>
      <c r="O2266">
        <v>0</v>
      </c>
      <c r="P2266" t="s">
        <v>47</v>
      </c>
      <c r="Q2266">
        <v>0</v>
      </c>
      <c r="R2266" t="s">
        <v>47</v>
      </c>
      <c r="S2266">
        <v>1</v>
      </c>
      <c r="T2266" t="s">
        <v>55</v>
      </c>
    </row>
    <row r="2267" spans="1:20" x14ac:dyDescent="0.35">
      <c r="A2267" s="1" t="s">
        <v>4548</v>
      </c>
      <c r="B2267" t="s">
        <v>12</v>
      </c>
      <c r="C2267" t="s">
        <v>47</v>
      </c>
      <c r="D2267" t="s">
        <v>3995</v>
      </c>
      <c r="E2267">
        <v>1</v>
      </c>
      <c r="F2267" t="s">
        <v>55</v>
      </c>
      <c r="G2267">
        <v>0</v>
      </c>
      <c r="H2267" t="s">
        <v>47</v>
      </c>
      <c r="I2267">
        <v>0</v>
      </c>
      <c r="J2267" t="s">
        <v>47</v>
      </c>
      <c r="K2267">
        <v>0</v>
      </c>
      <c r="L2267" t="s">
        <v>47</v>
      </c>
      <c r="M2267">
        <v>0</v>
      </c>
      <c r="N2267" t="s">
        <v>47</v>
      </c>
      <c r="O2267">
        <v>0</v>
      </c>
      <c r="P2267" t="s">
        <v>47</v>
      </c>
      <c r="Q2267">
        <v>0</v>
      </c>
      <c r="R2267" t="s">
        <v>47</v>
      </c>
      <c r="S2267">
        <v>0</v>
      </c>
      <c r="T2267" t="s">
        <v>47</v>
      </c>
    </row>
    <row r="2268" spans="1:20" x14ac:dyDescent="0.35">
      <c r="A2268" s="1" t="s">
        <v>4549</v>
      </c>
      <c r="B2268" t="s">
        <v>12</v>
      </c>
      <c r="C2268" t="s">
        <v>47</v>
      </c>
      <c r="D2268" t="s">
        <v>3996</v>
      </c>
      <c r="E2268">
        <v>0</v>
      </c>
      <c r="F2268" t="s">
        <v>47</v>
      </c>
      <c r="G2268">
        <v>1</v>
      </c>
      <c r="H2268" t="s">
        <v>55</v>
      </c>
      <c r="I2268">
        <v>0</v>
      </c>
      <c r="J2268" t="s">
        <v>47</v>
      </c>
      <c r="K2268">
        <v>0</v>
      </c>
      <c r="L2268" t="s">
        <v>47</v>
      </c>
      <c r="M2268">
        <v>0</v>
      </c>
      <c r="N2268" t="s">
        <v>47</v>
      </c>
      <c r="O2268">
        <v>0</v>
      </c>
      <c r="P2268" t="s">
        <v>47</v>
      </c>
      <c r="Q2268">
        <v>0</v>
      </c>
      <c r="R2268" t="s">
        <v>47</v>
      </c>
      <c r="S2268">
        <v>0</v>
      </c>
      <c r="T2268" t="s">
        <v>47</v>
      </c>
    </row>
    <row r="2269" spans="1:20" x14ac:dyDescent="0.35">
      <c r="A2269" s="1" t="s">
        <v>4550</v>
      </c>
      <c r="B2269" t="s">
        <v>12</v>
      </c>
      <c r="C2269" t="s">
        <v>47</v>
      </c>
      <c r="D2269" t="s">
        <v>3997</v>
      </c>
      <c r="E2269">
        <v>0</v>
      </c>
      <c r="F2269" t="s">
        <v>47</v>
      </c>
      <c r="G2269">
        <v>0</v>
      </c>
      <c r="H2269" t="s">
        <v>47</v>
      </c>
      <c r="I2269">
        <v>1</v>
      </c>
      <c r="J2269" t="s">
        <v>55</v>
      </c>
      <c r="K2269">
        <v>0</v>
      </c>
      <c r="L2269" t="s">
        <v>47</v>
      </c>
      <c r="M2269">
        <v>0</v>
      </c>
      <c r="N2269" t="s">
        <v>47</v>
      </c>
      <c r="O2269">
        <v>0</v>
      </c>
      <c r="P2269" t="s">
        <v>47</v>
      </c>
      <c r="Q2269">
        <v>0</v>
      </c>
      <c r="R2269" t="s">
        <v>47</v>
      </c>
      <c r="S2269">
        <v>0</v>
      </c>
      <c r="T2269" t="s">
        <v>47</v>
      </c>
    </row>
    <row r="2270" spans="1:20" x14ac:dyDescent="0.35">
      <c r="A2270" s="1" t="s">
        <v>4551</v>
      </c>
      <c r="B2270" t="s">
        <v>12</v>
      </c>
      <c r="C2270" t="s">
        <v>47</v>
      </c>
      <c r="D2270" t="s">
        <v>3998</v>
      </c>
      <c r="E2270">
        <v>0</v>
      </c>
      <c r="F2270" t="s">
        <v>47</v>
      </c>
      <c r="G2270">
        <v>0</v>
      </c>
      <c r="H2270" t="s">
        <v>47</v>
      </c>
      <c r="I2270">
        <v>0</v>
      </c>
      <c r="J2270" t="s">
        <v>47</v>
      </c>
      <c r="K2270">
        <v>1</v>
      </c>
      <c r="L2270" t="s">
        <v>55</v>
      </c>
      <c r="M2270">
        <v>0</v>
      </c>
      <c r="N2270" t="s">
        <v>47</v>
      </c>
      <c r="O2270">
        <v>0</v>
      </c>
      <c r="P2270" t="s">
        <v>47</v>
      </c>
      <c r="Q2270">
        <v>0</v>
      </c>
      <c r="R2270" t="s">
        <v>47</v>
      </c>
      <c r="S2270">
        <v>0</v>
      </c>
      <c r="T2270" t="s">
        <v>47</v>
      </c>
    </row>
    <row r="2271" spans="1:20" x14ac:dyDescent="0.35">
      <c r="A2271" s="1" t="s">
        <v>4552</v>
      </c>
      <c r="B2271" t="s">
        <v>12</v>
      </c>
      <c r="C2271" t="s">
        <v>47</v>
      </c>
      <c r="D2271" t="s">
        <v>3999</v>
      </c>
      <c r="E2271">
        <v>0</v>
      </c>
      <c r="F2271" t="s">
        <v>47</v>
      </c>
      <c r="G2271">
        <v>0</v>
      </c>
      <c r="H2271" t="s">
        <v>47</v>
      </c>
      <c r="I2271">
        <v>0</v>
      </c>
      <c r="J2271" t="s">
        <v>47</v>
      </c>
      <c r="K2271">
        <v>0</v>
      </c>
      <c r="L2271" t="s">
        <v>47</v>
      </c>
      <c r="M2271">
        <v>1</v>
      </c>
      <c r="N2271" t="s">
        <v>55</v>
      </c>
      <c r="O2271">
        <v>0</v>
      </c>
      <c r="P2271" t="s">
        <v>47</v>
      </c>
      <c r="Q2271">
        <v>0</v>
      </c>
      <c r="R2271" t="s">
        <v>47</v>
      </c>
      <c r="S2271">
        <v>0</v>
      </c>
      <c r="T2271" t="s">
        <v>47</v>
      </c>
    </row>
    <row r="2272" spans="1:20" x14ac:dyDescent="0.35">
      <c r="A2272" s="1" t="s">
        <v>4553</v>
      </c>
      <c r="B2272" t="s">
        <v>12</v>
      </c>
      <c r="C2272" t="s">
        <v>47</v>
      </c>
      <c r="D2272" t="s">
        <v>4000</v>
      </c>
      <c r="E2272">
        <v>0</v>
      </c>
      <c r="F2272" t="s">
        <v>47</v>
      </c>
      <c r="G2272">
        <v>0</v>
      </c>
      <c r="H2272" t="s">
        <v>47</v>
      </c>
      <c r="I2272">
        <v>0</v>
      </c>
      <c r="J2272" t="s">
        <v>47</v>
      </c>
      <c r="K2272">
        <v>0</v>
      </c>
      <c r="L2272" t="s">
        <v>47</v>
      </c>
      <c r="M2272">
        <v>0</v>
      </c>
      <c r="N2272" t="s">
        <v>47</v>
      </c>
      <c r="O2272">
        <v>1</v>
      </c>
      <c r="P2272" t="s">
        <v>55</v>
      </c>
      <c r="Q2272">
        <v>0</v>
      </c>
      <c r="R2272" t="s">
        <v>47</v>
      </c>
      <c r="S2272">
        <v>0</v>
      </c>
      <c r="T2272" t="s">
        <v>47</v>
      </c>
    </row>
    <row r="2273" spans="1:20" x14ac:dyDescent="0.35">
      <c r="A2273" s="1" t="s">
        <v>4554</v>
      </c>
      <c r="B2273" t="s">
        <v>12</v>
      </c>
      <c r="C2273" t="s">
        <v>47</v>
      </c>
      <c r="D2273" t="s">
        <v>4001</v>
      </c>
      <c r="E2273">
        <v>0</v>
      </c>
      <c r="F2273" t="s">
        <v>47</v>
      </c>
      <c r="G2273">
        <v>0</v>
      </c>
      <c r="H2273" t="s">
        <v>47</v>
      </c>
      <c r="I2273">
        <v>0</v>
      </c>
      <c r="J2273" t="s">
        <v>47</v>
      </c>
      <c r="K2273">
        <v>0</v>
      </c>
      <c r="L2273" t="s">
        <v>47</v>
      </c>
      <c r="M2273">
        <v>0</v>
      </c>
      <c r="N2273" t="s">
        <v>47</v>
      </c>
      <c r="O2273">
        <v>0</v>
      </c>
      <c r="P2273" t="s">
        <v>47</v>
      </c>
      <c r="Q2273">
        <v>1</v>
      </c>
      <c r="R2273" t="s">
        <v>55</v>
      </c>
      <c r="S2273">
        <v>0</v>
      </c>
      <c r="T2273" t="s">
        <v>47</v>
      </c>
    </row>
    <row r="2274" spans="1:20" x14ac:dyDescent="0.35">
      <c r="A2274" s="1" t="s">
        <v>4555</v>
      </c>
      <c r="B2274" t="s">
        <v>12</v>
      </c>
      <c r="C2274" t="s">
        <v>47</v>
      </c>
      <c r="D2274" t="s">
        <v>4002</v>
      </c>
      <c r="E2274">
        <v>0</v>
      </c>
      <c r="F2274" t="s">
        <v>47</v>
      </c>
      <c r="G2274">
        <v>0</v>
      </c>
      <c r="H2274" t="s">
        <v>47</v>
      </c>
      <c r="I2274">
        <v>0</v>
      </c>
      <c r="J2274" t="s">
        <v>47</v>
      </c>
      <c r="K2274">
        <v>0</v>
      </c>
      <c r="L2274" t="s">
        <v>47</v>
      </c>
      <c r="M2274">
        <v>0</v>
      </c>
      <c r="N2274" t="s">
        <v>47</v>
      </c>
      <c r="O2274">
        <v>0</v>
      </c>
      <c r="P2274" t="s">
        <v>47</v>
      </c>
      <c r="Q2274">
        <v>0</v>
      </c>
      <c r="R2274" t="s">
        <v>47</v>
      </c>
      <c r="S2274">
        <v>1</v>
      </c>
      <c r="T2274" t="s">
        <v>55</v>
      </c>
    </row>
    <row r="2275" spans="1:20" x14ac:dyDescent="0.35">
      <c r="A2275" s="1" t="s">
        <v>4556</v>
      </c>
      <c r="B2275" t="s">
        <v>12</v>
      </c>
      <c r="C2275" t="s">
        <v>47</v>
      </c>
      <c r="D2275" t="s">
        <v>4003</v>
      </c>
      <c r="E2275">
        <v>1</v>
      </c>
      <c r="F2275" t="s">
        <v>55</v>
      </c>
      <c r="G2275">
        <v>1</v>
      </c>
      <c r="H2275" t="s">
        <v>55</v>
      </c>
      <c r="I2275">
        <v>0</v>
      </c>
      <c r="J2275" t="s">
        <v>47</v>
      </c>
      <c r="K2275">
        <v>0</v>
      </c>
      <c r="L2275" t="s">
        <v>47</v>
      </c>
      <c r="M2275">
        <v>1</v>
      </c>
      <c r="N2275" t="s">
        <v>55</v>
      </c>
      <c r="O2275">
        <v>0</v>
      </c>
      <c r="P2275" t="s">
        <v>47</v>
      </c>
      <c r="Q2275">
        <v>0</v>
      </c>
      <c r="R2275" t="s">
        <v>47</v>
      </c>
      <c r="S2275">
        <v>0</v>
      </c>
      <c r="T2275" t="s">
        <v>47</v>
      </c>
    </row>
    <row r="2276" spans="1:20" x14ac:dyDescent="0.35">
      <c r="A2276" s="1" t="s">
        <v>4557</v>
      </c>
      <c r="B2276" t="s">
        <v>12</v>
      </c>
      <c r="C2276" t="s">
        <v>47</v>
      </c>
      <c r="D2276" t="s">
        <v>4004</v>
      </c>
      <c r="E2276">
        <v>0</v>
      </c>
      <c r="F2276" t="s">
        <v>47</v>
      </c>
      <c r="G2276">
        <v>0</v>
      </c>
      <c r="H2276" t="s">
        <v>47</v>
      </c>
      <c r="I2276">
        <v>1</v>
      </c>
      <c r="J2276" t="s">
        <v>55</v>
      </c>
      <c r="K2276">
        <v>0</v>
      </c>
      <c r="L2276" t="s">
        <v>47</v>
      </c>
      <c r="M2276">
        <v>0</v>
      </c>
      <c r="N2276" t="s">
        <v>47</v>
      </c>
      <c r="O2276">
        <v>1</v>
      </c>
      <c r="P2276" t="s">
        <v>55</v>
      </c>
      <c r="Q2276">
        <v>0</v>
      </c>
      <c r="R2276" t="s">
        <v>47</v>
      </c>
      <c r="S2276">
        <v>0</v>
      </c>
      <c r="T2276" t="s">
        <v>47</v>
      </c>
    </row>
    <row r="2277" spans="1:20" x14ac:dyDescent="0.35">
      <c r="A2277" s="1" t="s">
        <v>4558</v>
      </c>
      <c r="B2277" t="s">
        <v>12</v>
      </c>
      <c r="C2277" t="s">
        <v>47</v>
      </c>
      <c r="D2277" t="s">
        <v>4005</v>
      </c>
      <c r="E2277">
        <v>0</v>
      </c>
      <c r="F2277" t="s">
        <v>47</v>
      </c>
      <c r="G2277">
        <v>0</v>
      </c>
      <c r="H2277" t="s">
        <v>47</v>
      </c>
      <c r="I2277">
        <v>0</v>
      </c>
      <c r="J2277" t="s">
        <v>47</v>
      </c>
      <c r="K2277">
        <v>1</v>
      </c>
      <c r="L2277" t="s">
        <v>55</v>
      </c>
      <c r="M2277">
        <v>0</v>
      </c>
      <c r="N2277" t="s">
        <v>47</v>
      </c>
      <c r="O2277">
        <v>0</v>
      </c>
      <c r="P2277" t="s">
        <v>47</v>
      </c>
      <c r="Q2277">
        <v>1</v>
      </c>
      <c r="R2277" t="s">
        <v>55</v>
      </c>
      <c r="S2277">
        <v>0</v>
      </c>
      <c r="T2277" t="s">
        <v>47</v>
      </c>
    </row>
    <row r="2278" spans="1:20" x14ac:dyDescent="0.35">
      <c r="A2278" s="1" t="s">
        <v>4559</v>
      </c>
      <c r="B2278" t="s">
        <v>12</v>
      </c>
      <c r="C2278" t="s">
        <v>47</v>
      </c>
      <c r="D2278" t="s">
        <v>4006</v>
      </c>
      <c r="E2278">
        <v>1</v>
      </c>
      <c r="F2278" t="s">
        <v>55</v>
      </c>
      <c r="G2278">
        <v>1</v>
      </c>
      <c r="H2278" t="s">
        <v>55</v>
      </c>
      <c r="I2278">
        <v>0</v>
      </c>
      <c r="J2278" t="s">
        <v>47</v>
      </c>
      <c r="K2278">
        <v>0</v>
      </c>
      <c r="L2278" t="s">
        <v>47</v>
      </c>
      <c r="M2278">
        <v>0</v>
      </c>
      <c r="N2278" t="s">
        <v>47</v>
      </c>
      <c r="O2278">
        <v>0</v>
      </c>
      <c r="P2278" t="s">
        <v>47</v>
      </c>
      <c r="Q2278">
        <v>0</v>
      </c>
      <c r="R2278" t="s">
        <v>47</v>
      </c>
      <c r="S2278">
        <v>1</v>
      </c>
      <c r="T2278" t="s">
        <v>55</v>
      </c>
    </row>
    <row r="2279" spans="1:20" x14ac:dyDescent="0.35">
      <c r="A2279" s="1" t="s">
        <v>4660</v>
      </c>
      <c r="B2279" t="s">
        <v>14</v>
      </c>
      <c r="C2279" t="s">
        <v>47</v>
      </c>
      <c r="D2279" t="s">
        <v>4560</v>
      </c>
      <c r="E2279">
        <v>1</v>
      </c>
      <c r="F2279" t="s">
        <v>55</v>
      </c>
      <c r="G2279">
        <v>1</v>
      </c>
      <c r="H2279" t="s">
        <v>45</v>
      </c>
      <c r="I2279">
        <v>0</v>
      </c>
      <c r="J2279" t="s">
        <v>47</v>
      </c>
      <c r="K2279">
        <v>0</v>
      </c>
      <c r="L2279" t="s">
        <v>47</v>
      </c>
      <c r="M2279">
        <v>1</v>
      </c>
      <c r="N2279" t="s">
        <v>55</v>
      </c>
      <c r="O2279">
        <v>0</v>
      </c>
      <c r="P2279" t="s">
        <v>47</v>
      </c>
      <c r="Q2279">
        <v>1</v>
      </c>
      <c r="R2279" t="s">
        <v>55</v>
      </c>
      <c r="S2279">
        <v>1</v>
      </c>
      <c r="T2279" t="s">
        <v>45</v>
      </c>
    </row>
    <row r="2280" spans="1:20" x14ac:dyDescent="0.35">
      <c r="A2280" s="1" t="s">
        <v>4661</v>
      </c>
      <c r="B2280" t="s">
        <v>12</v>
      </c>
      <c r="C2280" t="s">
        <v>47</v>
      </c>
      <c r="D2280" t="s">
        <v>4561</v>
      </c>
      <c r="E2280">
        <v>1</v>
      </c>
      <c r="F2280" t="s">
        <v>55</v>
      </c>
      <c r="G2280">
        <v>1</v>
      </c>
      <c r="H2280" t="s">
        <v>45</v>
      </c>
      <c r="I2280">
        <v>0</v>
      </c>
      <c r="J2280" t="s">
        <v>47</v>
      </c>
      <c r="K2280">
        <v>0</v>
      </c>
      <c r="L2280" t="s">
        <v>47</v>
      </c>
      <c r="M2280">
        <v>0</v>
      </c>
      <c r="N2280" t="s">
        <v>47</v>
      </c>
      <c r="O2280">
        <v>0</v>
      </c>
      <c r="P2280" t="s">
        <v>47</v>
      </c>
      <c r="Q2280">
        <v>1</v>
      </c>
      <c r="R2280" t="s">
        <v>55</v>
      </c>
      <c r="S2280">
        <v>1</v>
      </c>
      <c r="T2280" t="s">
        <v>45</v>
      </c>
    </row>
    <row r="2281" spans="1:20" x14ac:dyDescent="0.35">
      <c r="A2281" s="1" t="s">
        <v>4662</v>
      </c>
      <c r="B2281" t="s">
        <v>14</v>
      </c>
      <c r="C2281" t="s">
        <v>47</v>
      </c>
      <c r="D2281" t="s">
        <v>4562</v>
      </c>
      <c r="E2281">
        <v>1</v>
      </c>
      <c r="F2281" t="s">
        <v>55</v>
      </c>
      <c r="G2281">
        <v>0</v>
      </c>
      <c r="H2281" t="s">
        <v>47</v>
      </c>
      <c r="I2281">
        <v>0</v>
      </c>
      <c r="J2281" t="s">
        <v>47</v>
      </c>
      <c r="K2281">
        <v>1</v>
      </c>
      <c r="L2281" t="s">
        <v>55</v>
      </c>
      <c r="M2281">
        <v>0</v>
      </c>
      <c r="N2281" t="s">
        <v>47</v>
      </c>
      <c r="O2281">
        <v>1</v>
      </c>
      <c r="P2281" t="s">
        <v>45</v>
      </c>
      <c r="Q2281">
        <v>0</v>
      </c>
      <c r="R2281" t="s">
        <v>47</v>
      </c>
      <c r="S2281">
        <v>1</v>
      </c>
      <c r="T2281" t="s">
        <v>55</v>
      </c>
    </row>
    <row r="2282" spans="1:20" x14ac:dyDescent="0.35">
      <c r="A2282" s="1" t="s">
        <v>4663</v>
      </c>
      <c r="B2282" t="s">
        <v>12</v>
      </c>
      <c r="C2282" t="s">
        <v>47</v>
      </c>
      <c r="D2282" t="s">
        <v>4563</v>
      </c>
      <c r="E2282">
        <v>1</v>
      </c>
      <c r="F2282" t="s">
        <v>45</v>
      </c>
      <c r="G2282">
        <v>0</v>
      </c>
      <c r="H2282" t="s">
        <v>47</v>
      </c>
      <c r="I2282">
        <v>0</v>
      </c>
      <c r="J2282" t="s">
        <v>47</v>
      </c>
      <c r="K2282">
        <v>1</v>
      </c>
      <c r="L2282" t="s">
        <v>55</v>
      </c>
      <c r="M2282">
        <v>1</v>
      </c>
      <c r="N2282" t="s">
        <v>45</v>
      </c>
      <c r="O2282">
        <v>1</v>
      </c>
      <c r="P2282" t="s">
        <v>45</v>
      </c>
      <c r="Q2282">
        <v>0</v>
      </c>
      <c r="R2282" t="s">
        <v>47</v>
      </c>
      <c r="S2282">
        <v>1</v>
      </c>
      <c r="T2282" t="s">
        <v>55</v>
      </c>
    </row>
    <row r="2283" spans="1:20" x14ac:dyDescent="0.35">
      <c r="A2283" s="1" t="s">
        <v>4664</v>
      </c>
      <c r="B2283" t="s">
        <v>14</v>
      </c>
      <c r="C2283" t="s">
        <v>47</v>
      </c>
      <c r="D2283" t="s">
        <v>4564</v>
      </c>
      <c r="E2283">
        <v>1</v>
      </c>
      <c r="F2283" t="s">
        <v>55</v>
      </c>
      <c r="G2283">
        <v>1</v>
      </c>
      <c r="H2283" t="s">
        <v>55</v>
      </c>
      <c r="I2283">
        <v>1</v>
      </c>
      <c r="J2283" t="s">
        <v>45</v>
      </c>
      <c r="K2283">
        <v>0</v>
      </c>
      <c r="L2283" t="s">
        <v>47</v>
      </c>
      <c r="M2283">
        <v>0</v>
      </c>
      <c r="N2283" t="s">
        <v>47</v>
      </c>
      <c r="O2283">
        <v>0</v>
      </c>
      <c r="P2283" t="s">
        <v>47</v>
      </c>
      <c r="Q2283">
        <v>0</v>
      </c>
      <c r="R2283" t="s">
        <v>47</v>
      </c>
      <c r="S2283">
        <v>0</v>
      </c>
      <c r="T2283" t="s">
        <v>47</v>
      </c>
    </row>
    <row r="2284" spans="1:20" x14ac:dyDescent="0.35">
      <c r="A2284" s="1" t="s">
        <v>4665</v>
      </c>
      <c r="B2284" t="s">
        <v>12</v>
      </c>
      <c r="C2284" t="s">
        <v>47</v>
      </c>
      <c r="D2284" t="s">
        <v>4565</v>
      </c>
      <c r="E2284">
        <v>1</v>
      </c>
      <c r="F2284" t="s">
        <v>55</v>
      </c>
      <c r="G2284">
        <v>1</v>
      </c>
      <c r="H2284" t="s">
        <v>45</v>
      </c>
      <c r="I2284">
        <v>1</v>
      </c>
      <c r="J2284" t="s">
        <v>45</v>
      </c>
      <c r="K2284">
        <v>0</v>
      </c>
      <c r="L2284" t="s">
        <v>47</v>
      </c>
      <c r="M2284">
        <v>0</v>
      </c>
      <c r="N2284" t="s">
        <v>47</v>
      </c>
      <c r="O2284">
        <v>1</v>
      </c>
      <c r="P2284" t="s">
        <v>45</v>
      </c>
      <c r="Q2284">
        <v>0</v>
      </c>
      <c r="R2284" t="s">
        <v>47</v>
      </c>
      <c r="S2284">
        <v>0</v>
      </c>
      <c r="T2284" t="s">
        <v>47</v>
      </c>
    </row>
    <row r="2285" spans="1:20" x14ac:dyDescent="0.35">
      <c r="A2285" s="1" t="s">
        <v>4666</v>
      </c>
      <c r="B2285" t="s">
        <v>14</v>
      </c>
      <c r="C2285" t="s">
        <v>47</v>
      </c>
      <c r="D2285" t="s">
        <v>4566</v>
      </c>
      <c r="E2285">
        <v>1</v>
      </c>
      <c r="F2285" t="s">
        <v>55</v>
      </c>
      <c r="G2285">
        <v>1</v>
      </c>
      <c r="H2285" t="s">
        <v>45</v>
      </c>
      <c r="I2285">
        <v>0</v>
      </c>
      <c r="J2285" t="s">
        <v>47</v>
      </c>
      <c r="K2285">
        <v>1</v>
      </c>
      <c r="L2285" t="s">
        <v>55</v>
      </c>
      <c r="M2285">
        <v>0</v>
      </c>
      <c r="N2285" t="s">
        <v>47</v>
      </c>
      <c r="O2285">
        <v>0</v>
      </c>
      <c r="P2285" t="s">
        <v>47</v>
      </c>
      <c r="Q2285">
        <v>0</v>
      </c>
      <c r="R2285" t="s">
        <v>47</v>
      </c>
      <c r="S2285">
        <v>0</v>
      </c>
      <c r="T2285" t="s">
        <v>47</v>
      </c>
    </row>
    <row r="2286" spans="1:20" x14ac:dyDescent="0.35">
      <c r="A2286" s="1" t="s">
        <v>4667</v>
      </c>
      <c r="B2286" t="s">
        <v>12</v>
      </c>
      <c r="C2286" t="s">
        <v>47</v>
      </c>
      <c r="D2286" t="s">
        <v>4567</v>
      </c>
      <c r="E2286">
        <v>1</v>
      </c>
      <c r="F2286" t="s">
        <v>55</v>
      </c>
      <c r="G2286">
        <v>1</v>
      </c>
      <c r="H2286" t="s">
        <v>45</v>
      </c>
      <c r="I2286">
        <v>0</v>
      </c>
      <c r="J2286" t="s">
        <v>47</v>
      </c>
      <c r="K2286">
        <v>1</v>
      </c>
      <c r="L2286" t="s">
        <v>55</v>
      </c>
      <c r="M2286">
        <v>1</v>
      </c>
      <c r="N2286" t="s">
        <v>45</v>
      </c>
      <c r="O2286">
        <v>0</v>
      </c>
      <c r="P2286" t="s">
        <v>47</v>
      </c>
      <c r="Q2286">
        <v>1</v>
      </c>
      <c r="R2286" t="s">
        <v>55</v>
      </c>
      <c r="S2286">
        <v>0</v>
      </c>
      <c r="T2286" t="s">
        <v>47</v>
      </c>
    </row>
    <row r="2287" spans="1:20" x14ac:dyDescent="0.35">
      <c r="A2287" s="1" t="s">
        <v>4668</v>
      </c>
      <c r="B2287" t="s">
        <v>14</v>
      </c>
      <c r="C2287" t="s">
        <v>47</v>
      </c>
      <c r="D2287" t="s">
        <v>4568</v>
      </c>
      <c r="E2287">
        <v>0</v>
      </c>
      <c r="F2287" t="s">
        <v>47</v>
      </c>
      <c r="G2287">
        <v>0</v>
      </c>
      <c r="H2287" t="s">
        <v>47</v>
      </c>
      <c r="I2287">
        <v>0</v>
      </c>
      <c r="J2287" t="s">
        <v>47</v>
      </c>
      <c r="K2287">
        <v>0</v>
      </c>
      <c r="L2287" t="s">
        <v>47</v>
      </c>
      <c r="M2287">
        <v>0</v>
      </c>
      <c r="N2287" t="s">
        <v>47</v>
      </c>
      <c r="O2287">
        <v>0</v>
      </c>
      <c r="P2287" t="s">
        <v>47</v>
      </c>
      <c r="Q2287">
        <v>1</v>
      </c>
      <c r="R2287" t="s">
        <v>55</v>
      </c>
      <c r="S2287">
        <v>0</v>
      </c>
      <c r="T2287" t="s">
        <v>47</v>
      </c>
    </row>
    <row r="2288" spans="1:20" x14ac:dyDescent="0.35">
      <c r="A2288" s="1" t="s">
        <v>4669</v>
      </c>
      <c r="B2288" t="s">
        <v>12</v>
      </c>
      <c r="C2288" t="s">
        <v>47</v>
      </c>
      <c r="D2288" t="s">
        <v>4569</v>
      </c>
      <c r="E2288">
        <v>1</v>
      </c>
      <c r="F2288" t="s">
        <v>55</v>
      </c>
      <c r="G2288">
        <v>0</v>
      </c>
      <c r="H2288" t="s">
        <v>47</v>
      </c>
      <c r="I2288">
        <v>0</v>
      </c>
      <c r="J2288" t="s">
        <v>47</v>
      </c>
      <c r="K2288">
        <v>0</v>
      </c>
      <c r="L2288" t="s">
        <v>47</v>
      </c>
      <c r="M2288">
        <v>0</v>
      </c>
      <c r="N2288" t="s">
        <v>47</v>
      </c>
      <c r="O2288">
        <v>0</v>
      </c>
      <c r="P2288" t="s">
        <v>47</v>
      </c>
      <c r="Q2288">
        <v>1</v>
      </c>
      <c r="R2288" t="s">
        <v>55</v>
      </c>
      <c r="S2288">
        <v>0</v>
      </c>
      <c r="T2288" t="s">
        <v>47</v>
      </c>
    </row>
    <row r="2289" spans="1:20" x14ac:dyDescent="0.35">
      <c r="A2289" s="1" t="s">
        <v>4670</v>
      </c>
      <c r="B2289" t="s">
        <v>14</v>
      </c>
      <c r="C2289" t="s">
        <v>47</v>
      </c>
      <c r="D2289" t="s">
        <v>4570</v>
      </c>
      <c r="E2289">
        <v>1</v>
      </c>
      <c r="F2289" t="s">
        <v>55</v>
      </c>
      <c r="G2289">
        <v>1</v>
      </c>
      <c r="H2289" t="s">
        <v>55</v>
      </c>
      <c r="I2289">
        <v>0</v>
      </c>
      <c r="J2289" t="s">
        <v>47</v>
      </c>
      <c r="K2289">
        <v>0</v>
      </c>
      <c r="L2289" t="s">
        <v>47</v>
      </c>
      <c r="M2289">
        <v>0</v>
      </c>
      <c r="N2289" t="s">
        <v>47</v>
      </c>
      <c r="O2289">
        <v>0</v>
      </c>
      <c r="P2289" t="s">
        <v>47</v>
      </c>
      <c r="Q2289">
        <v>0</v>
      </c>
      <c r="R2289" t="s">
        <v>47</v>
      </c>
      <c r="S2289">
        <v>1</v>
      </c>
      <c r="T2289" t="s">
        <v>45</v>
      </c>
    </row>
    <row r="2290" spans="1:20" x14ac:dyDescent="0.35">
      <c r="A2290" s="1" t="s">
        <v>4671</v>
      </c>
      <c r="B2290" t="s">
        <v>12</v>
      </c>
      <c r="C2290" t="s">
        <v>47</v>
      </c>
      <c r="D2290" t="s">
        <v>4571</v>
      </c>
      <c r="E2290">
        <v>1</v>
      </c>
      <c r="F2290" t="s">
        <v>55</v>
      </c>
      <c r="G2290">
        <v>1</v>
      </c>
      <c r="H2290" t="s">
        <v>55</v>
      </c>
      <c r="I2290">
        <v>0</v>
      </c>
      <c r="J2290" t="s">
        <v>47</v>
      </c>
      <c r="K2290">
        <v>0</v>
      </c>
      <c r="L2290" t="s">
        <v>47</v>
      </c>
      <c r="M2290">
        <v>1</v>
      </c>
      <c r="N2290" t="s">
        <v>55</v>
      </c>
      <c r="O2290">
        <v>1</v>
      </c>
      <c r="P2290" t="s">
        <v>48</v>
      </c>
      <c r="Q2290">
        <v>0</v>
      </c>
      <c r="R2290" t="s">
        <v>47</v>
      </c>
      <c r="S2290">
        <v>1</v>
      </c>
      <c r="T2290" t="s">
        <v>45</v>
      </c>
    </row>
    <row r="2291" spans="1:20" x14ac:dyDescent="0.35">
      <c r="A2291" s="1" t="s">
        <v>4672</v>
      </c>
      <c r="B2291" t="s">
        <v>14</v>
      </c>
      <c r="C2291" t="s">
        <v>47</v>
      </c>
      <c r="D2291" t="s">
        <v>4572</v>
      </c>
      <c r="E2291">
        <v>1</v>
      </c>
      <c r="F2291" t="s">
        <v>55</v>
      </c>
      <c r="G2291">
        <v>0</v>
      </c>
      <c r="H2291" t="s">
        <v>47</v>
      </c>
      <c r="I2291">
        <v>0</v>
      </c>
      <c r="J2291" t="s">
        <v>47</v>
      </c>
      <c r="K2291">
        <v>1</v>
      </c>
      <c r="L2291" t="s">
        <v>55</v>
      </c>
      <c r="M2291">
        <v>1</v>
      </c>
      <c r="N2291" t="s">
        <v>55</v>
      </c>
      <c r="O2291">
        <v>0</v>
      </c>
      <c r="P2291" t="s">
        <v>47</v>
      </c>
      <c r="Q2291">
        <v>0</v>
      </c>
      <c r="R2291" t="s">
        <v>47</v>
      </c>
      <c r="S2291">
        <v>0</v>
      </c>
      <c r="T2291" t="s">
        <v>47</v>
      </c>
    </row>
    <row r="2292" spans="1:20" x14ac:dyDescent="0.35">
      <c r="A2292" s="1" t="s">
        <v>4673</v>
      </c>
      <c r="B2292" t="s">
        <v>12</v>
      </c>
      <c r="C2292" t="s">
        <v>47</v>
      </c>
      <c r="D2292" t="s">
        <v>4573</v>
      </c>
      <c r="E2292">
        <v>1</v>
      </c>
      <c r="F2292" t="s">
        <v>55</v>
      </c>
      <c r="G2292">
        <v>1</v>
      </c>
      <c r="H2292" t="s">
        <v>45</v>
      </c>
      <c r="I2292">
        <v>0</v>
      </c>
      <c r="J2292" t="s">
        <v>47</v>
      </c>
      <c r="K2292">
        <v>1</v>
      </c>
      <c r="L2292" t="s">
        <v>55</v>
      </c>
      <c r="M2292">
        <v>1</v>
      </c>
      <c r="N2292" t="s">
        <v>55</v>
      </c>
      <c r="O2292">
        <v>0</v>
      </c>
      <c r="P2292" t="s">
        <v>47</v>
      </c>
      <c r="Q2292">
        <v>0</v>
      </c>
      <c r="R2292" t="s">
        <v>47</v>
      </c>
      <c r="S2292">
        <v>0</v>
      </c>
      <c r="T2292" t="s">
        <v>47</v>
      </c>
    </row>
    <row r="2293" spans="1:20" x14ac:dyDescent="0.35">
      <c r="A2293" s="1" t="s">
        <v>4674</v>
      </c>
      <c r="B2293" t="s">
        <v>14</v>
      </c>
      <c r="C2293" t="s">
        <v>47</v>
      </c>
      <c r="D2293" t="s">
        <v>4574</v>
      </c>
      <c r="E2293">
        <v>1</v>
      </c>
      <c r="F2293" t="s">
        <v>55</v>
      </c>
      <c r="G2293">
        <v>1</v>
      </c>
      <c r="H2293" t="s">
        <v>45</v>
      </c>
      <c r="I2293">
        <v>0</v>
      </c>
      <c r="J2293" t="s">
        <v>47</v>
      </c>
      <c r="K2293">
        <v>1</v>
      </c>
      <c r="L2293" t="s">
        <v>55</v>
      </c>
      <c r="M2293">
        <v>0</v>
      </c>
      <c r="N2293" t="s">
        <v>47</v>
      </c>
      <c r="O2293">
        <v>0</v>
      </c>
      <c r="P2293" t="s">
        <v>47</v>
      </c>
      <c r="Q2293">
        <v>0</v>
      </c>
      <c r="R2293" t="s">
        <v>47</v>
      </c>
      <c r="S2293">
        <v>1</v>
      </c>
      <c r="T2293" t="s">
        <v>45</v>
      </c>
    </row>
    <row r="2294" spans="1:20" x14ac:dyDescent="0.35">
      <c r="A2294" s="1" t="s">
        <v>4675</v>
      </c>
      <c r="B2294" t="s">
        <v>12</v>
      </c>
      <c r="C2294" t="s">
        <v>47</v>
      </c>
      <c r="D2294" t="s">
        <v>4575</v>
      </c>
      <c r="E2294">
        <v>1</v>
      </c>
      <c r="F2294" t="s">
        <v>55</v>
      </c>
      <c r="G2294">
        <v>1</v>
      </c>
      <c r="H2294" t="s">
        <v>55</v>
      </c>
      <c r="I2294">
        <v>0</v>
      </c>
      <c r="J2294" t="s">
        <v>47</v>
      </c>
      <c r="K2294">
        <v>1</v>
      </c>
      <c r="L2294" t="s">
        <v>55</v>
      </c>
      <c r="M2294">
        <v>1</v>
      </c>
      <c r="N2294" t="s">
        <v>45</v>
      </c>
      <c r="O2294">
        <v>0</v>
      </c>
      <c r="P2294" t="s">
        <v>47</v>
      </c>
      <c r="Q2294">
        <v>1</v>
      </c>
      <c r="R2294" t="s">
        <v>55</v>
      </c>
      <c r="S2294">
        <v>0</v>
      </c>
      <c r="T2294" t="s">
        <v>47</v>
      </c>
    </row>
    <row r="2295" spans="1:20" x14ac:dyDescent="0.35">
      <c r="A2295" s="1" t="s">
        <v>4676</v>
      </c>
      <c r="B2295" t="s">
        <v>14</v>
      </c>
      <c r="C2295" t="s">
        <v>47</v>
      </c>
      <c r="D2295" t="s">
        <v>4576</v>
      </c>
      <c r="E2295">
        <v>1</v>
      </c>
      <c r="F2295" t="s">
        <v>55</v>
      </c>
      <c r="G2295">
        <v>1</v>
      </c>
      <c r="H2295" t="s">
        <v>45</v>
      </c>
      <c r="I2295">
        <v>0</v>
      </c>
      <c r="J2295" t="s">
        <v>47</v>
      </c>
      <c r="K2295">
        <v>1</v>
      </c>
      <c r="L2295" t="s">
        <v>55</v>
      </c>
      <c r="M2295">
        <v>0</v>
      </c>
      <c r="N2295" t="s">
        <v>47</v>
      </c>
      <c r="O2295">
        <v>0</v>
      </c>
      <c r="P2295" t="s">
        <v>47</v>
      </c>
      <c r="Q2295">
        <v>0</v>
      </c>
      <c r="R2295" t="s">
        <v>47</v>
      </c>
      <c r="S2295">
        <v>1</v>
      </c>
      <c r="T2295" t="s">
        <v>45</v>
      </c>
    </row>
    <row r="2296" spans="1:20" x14ac:dyDescent="0.35">
      <c r="A2296" s="1" t="s">
        <v>4677</v>
      </c>
      <c r="B2296" t="s">
        <v>12</v>
      </c>
      <c r="C2296" t="s">
        <v>47</v>
      </c>
      <c r="D2296" t="s">
        <v>4577</v>
      </c>
      <c r="E2296">
        <v>1</v>
      </c>
      <c r="F2296" t="s">
        <v>55</v>
      </c>
      <c r="G2296">
        <v>1</v>
      </c>
      <c r="H2296" t="s">
        <v>45</v>
      </c>
      <c r="I2296">
        <v>0</v>
      </c>
      <c r="J2296" t="s">
        <v>47</v>
      </c>
      <c r="K2296">
        <v>0</v>
      </c>
      <c r="L2296" t="s">
        <v>47</v>
      </c>
      <c r="M2296">
        <v>1</v>
      </c>
      <c r="N2296" t="s">
        <v>45</v>
      </c>
      <c r="O2296">
        <v>1</v>
      </c>
      <c r="P2296" t="s">
        <v>45</v>
      </c>
      <c r="Q2296">
        <v>0</v>
      </c>
      <c r="R2296" t="s">
        <v>47</v>
      </c>
      <c r="S2296">
        <v>1</v>
      </c>
      <c r="T2296" t="s">
        <v>45</v>
      </c>
    </row>
    <row r="2297" spans="1:20" x14ac:dyDescent="0.35">
      <c r="A2297" s="1" t="s">
        <v>4678</v>
      </c>
      <c r="B2297" t="s">
        <v>14</v>
      </c>
      <c r="C2297" t="s">
        <v>47</v>
      </c>
      <c r="D2297" t="s">
        <v>4578</v>
      </c>
      <c r="E2297">
        <v>1</v>
      </c>
      <c r="F2297" t="s">
        <v>55</v>
      </c>
      <c r="G2297">
        <v>1</v>
      </c>
      <c r="H2297" t="s">
        <v>55</v>
      </c>
      <c r="I2297">
        <v>0</v>
      </c>
      <c r="J2297" t="s">
        <v>47</v>
      </c>
      <c r="K2297">
        <v>1</v>
      </c>
      <c r="L2297" t="s">
        <v>55</v>
      </c>
      <c r="M2297">
        <v>1</v>
      </c>
      <c r="N2297" t="s">
        <v>55</v>
      </c>
      <c r="O2297">
        <v>0</v>
      </c>
      <c r="P2297" t="s">
        <v>47</v>
      </c>
      <c r="Q2297">
        <v>0</v>
      </c>
      <c r="R2297" t="s">
        <v>47</v>
      </c>
      <c r="S2297">
        <v>0</v>
      </c>
      <c r="T2297" t="s">
        <v>47</v>
      </c>
    </row>
    <row r="2298" spans="1:20" x14ac:dyDescent="0.35">
      <c r="A2298" s="1" t="s">
        <v>4679</v>
      </c>
      <c r="B2298" t="s">
        <v>12</v>
      </c>
      <c r="C2298" t="s">
        <v>47</v>
      </c>
      <c r="D2298" t="s">
        <v>4579</v>
      </c>
      <c r="E2298">
        <v>1</v>
      </c>
      <c r="F2298" t="s">
        <v>55</v>
      </c>
      <c r="G2298">
        <v>1</v>
      </c>
      <c r="H2298" t="s">
        <v>55</v>
      </c>
      <c r="I2298">
        <v>0</v>
      </c>
      <c r="J2298" t="s">
        <v>47</v>
      </c>
      <c r="K2298">
        <v>1</v>
      </c>
      <c r="L2298" t="s">
        <v>55</v>
      </c>
      <c r="M2298">
        <v>1</v>
      </c>
      <c r="N2298" t="s">
        <v>45</v>
      </c>
      <c r="O2298">
        <v>0</v>
      </c>
      <c r="P2298" t="s">
        <v>47</v>
      </c>
      <c r="Q2298">
        <v>0</v>
      </c>
      <c r="R2298" t="s">
        <v>47</v>
      </c>
      <c r="S2298">
        <v>1</v>
      </c>
      <c r="T2298" t="s">
        <v>55</v>
      </c>
    </row>
    <row r="2299" spans="1:20" x14ac:dyDescent="0.35">
      <c r="A2299" s="1" t="s">
        <v>4680</v>
      </c>
      <c r="B2299" t="s">
        <v>14</v>
      </c>
      <c r="C2299" t="s">
        <v>47</v>
      </c>
      <c r="D2299" t="s">
        <v>4580</v>
      </c>
      <c r="E2299">
        <v>1</v>
      </c>
      <c r="F2299" t="s">
        <v>55</v>
      </c>
      <c r="G2299">
        <v>0</v>
      </c>
      <c r="H2299" t="s">
        <v>47</v>
      </c>
      <c r="I2299">
        <v>0</v>
      </c>
      <c r="J2299" t="s">
        <v>47</v>
      </c>
      <c r="K2299">
        <v>0</v>
      </c>
      <c r="L2299" t="s">
        <v>47</v>
      </c>
      <c r="M2299">
        <v>0</v>
      </c>
      <c r="N2299" t="s">
        <v>47</v>
      </c>
      <c r="O2299">
        <v>0</v>
      </c>
      <c r="P2299" t="s">
        <v>47</v>
      </c>
      <c r="Q2299">
        <v>0</v>
      </c>
      <c r="R2299" t="s">
        <v>47</v>
      </c>
      <c r="S2299">
        <v>0</v>
      </c>
      <c r="T2299" t="s">
        <v>47</v>
      </c>
    </row>
    <row r="2300" spans="1:20" x14ac:dyDescent="0.35">
      <c r="A2300" s="1" t="s">
        <v>4681</v>
      </c>
      <c r="B2300" t="s">
        <v>14</v>
      </c>
      <c r="C2300" t="s">
        <v>47</v>
      </c>
      <c r="D2300" t="s">
        <v>4581</v>
      </c>
      <c r="E2300">
        <v>1</v>
      </c>
      <c r="F2300" t="s">
        <v>55</v>
      </c>
      <c r="G2300">
        <v>0</v>
      </c>
      <c r="H2300" t="s">
        <v>47</v>
      </c>
      <c r="I2300">
        <v>0</v>
      </c>
      <c r="J2300" t="s">
        <v>47</v>
      </c>
      <c r="K2300">
        <v>0</v>
      </c>
      <c r="L2300" t="s">
        <v>47</v>
      </c>
      <c r="M2300">
        <v>0</v>
      </c>
      <c r="N2300" t="s">
        <v>47</v>
      </c>
      <c r="O2300">
        <v>0</v>
      </c>
      <c r="P2300" t="s">
        <v>47</v>
      </c>
      <c r="Q2300">
        <v>0</v>
      </c>
      <c r="R2300" t="s">
        <v>47</v>
      </c>
      <c r="S2300">
        <v>0</v>
      </c>
      <c r="T2300" t="s">
        <v>47</v>
      </c>
    </row>
    <row r="2301" spans="1:20" x14ac:dyDescent="0.35">
      <c r="A2301" s="1" t="s">
        <v>4682</v>
      </c>
      <c r="B2301" t="s">
        <v>14</v>
      </c>
      <c r="C2301" t="s">
        <v>47</v>
      </c>
      <c r="D2301" t="s">
        <v>4582</v>
      </c>
      <c r="E2301">
        <v>0</v>
      </c>
      <c r="F2301" t="s">
        <v>47</v>
      </c>
      <c r="G2301">
        <v>1</v>
      </c>
      <c r="H2301" t="s">
        <v>55</v>
      </c>
      <c r="I2301">
        <v>0</v>
      </c>
      <c r="J2301" t="s">
        <v>47</v>
      </c>
      <c r="K2301">
        <v>0</v>
      </c>
      <c r="L2301" t="s">
        <v>47</v>
      </c>
      <c r="M2301">
        <v>0</v>
      </c>
      <c r="N2301" t="s">
        <v>47</v>
      </c>
      <c r="O2301">
        <v>0</v>
      </c>
      <c r="P2301" t="s">
        <v>47</v>
      </c>
      <c r="Q2301">
        <v>0</v>
      </c>
      <c r="R2301" t="s">
        <v>47</v>
      </c>
      <c r="S2301">
        <v>0</v>
      </c>
      <c r="T2301" t="s">
        <v>47</v>
      </c>
    </row>
    <row r="2302" spans="1:20" x14ac:dyDescent="0.35">
      <c r="A2302" s="1" t="s">
        <v>4683</v>
      </c>
      <c r="B2302" t="s">
        <v>14</v>
      </c>
      <c r="C2302" t="s">
        <v>47</v>
      </c>
      <c r="D2302" t="s">
        <v>4583</v>
      </c>
      <c r="E2302">
        <v>0</v>
      </c>
      <c r="F2302" t="s">
        <v>47</v>
      </c>
      <c r="G2302">
        <v>1</v>
      </c>
      <c r="H2302" t="s">
        <v>55</v>
      </c>
      <c r="I2302">
        <v>0</v>
      </c>
      <c r="J2302" t="s">
        <v>47</v>
      </c>
      <c r="K2302">
        <v>0</v>
      </c>
      <c r="L2302" t="s">
        <v>47</v>
      </c>
      <c r="M2302">
        <v>0</v>
      </c>
      <c r="N2302" t="s">
        <v>47</v>
      </c>
      <c r="O2302">
        <v>0</v>
      </c>
      <c r="P2302" t="s">
        <v>47</v>
      </c>
      <c r="Q2302">
        <v>0</v>
      </c>
      <c r="R2302" t="s">
        <v>47</v>
      </c>
      <c r="S2302">
        <v>0</v>
      </c>
      <c r="T2302" t="s">
        <v>47</v>
      </c>
    </row>
    <row r="2303" spans="1:20" x14ac:dyDescent="0.35">
      <c r="A2303" s="1" t="s">
        <v>4684</v>
      </c>
      <c r="B2303" t="s">
        <v>14</v>
      </c>
      <c r="C2303" t="s">
        <v>47</v>
      </c>
      <c r="D2303" t="s">
        <v>4584</v>
      </c>
      <c r="E2303">
        <v>0</v>
      </c>
      <c r="F2303" t="s">
        <v>47</v>
      </c>
      <c r="G2303">
        <v>0</v>
      </c>
      <c r="H2303" t="s">
        <v>47</v>
      </c>
      <c r="I2303">
        <v>1</v>
      </c>
      <c r="J2303" t="s">
        <v>55</v>
      </c>
      <c r="K2303">
        <v>0</v>
      </c>
      <c r="L2303" t="s">
        <v>47</v>
      </c>
      <c r="M2303">
        <v>0</v>
      </c>
      <c r="N2303" t="s">
        <v>47</v>
      </c>
      <c r="O2303">
        <v>0</v>
      </c>
      <c r="P2303" t="s">
        <v>47</v>
      </c>
      <c r="Q2303">
        <v>0</v>
      </c>
      <c r="R2303" t="s">
        <v>47</v>
      </c>
      <c r="S2303">
        <v>0</v>
      </c>
      <c r="T2303" t="s">
        <v>47</v>
      </c>
    </row>
    <row r="2304" spans="1:20" x14ac:dyDescent="0.35">
      <c r="A2304" s="1" t="s">
        <v>4685</v>
      </c>
      <c r="B2304" t="s">
        <v>14</v>
      </c>
      <c r="C2304" t="s">
        <v>47</v>
      </c>
      <c r="D2304" t="s">
        <v>4585</v>
      </c>
      <c r="E2304">
        <v>0</v>
      </c>
      <c r="F2304" t="s">
        <v>47</v>
      </c>
      <c r="G2304">
        <v>0</v>
      </c>
      <c r="H2304" t="s">
        <v>47</v>
      </c>
      <c r="I2304">
        <v>1</v>
      </c>
      <c r="J2304" t="s">
        <v>55</v>
      </c>
      <c r="K2304">
        <v>0</v>
      </c>
      <c r="L2304" t="s">
        <v>47</v>
      </c>
      <c r="M2304">
        <v>0</v>
      </c>
      <c r="N2304" t="s">
        <v>47</v>
      </c>
      <c r="O2304">
        <v>0</v>
      </c>
      <c r="P2304" t="s">
        <v>47</v>
      </c>
      <c r="Q2304">
        <v>0</v>
      </c>
      <c r="R2304" t="s">
        <v>47</v>
      </c>
      <c r="S2304">
        <v>0</v>
      </c>
      <c r="T2304" t="s">
        <v>47</v>
      </c>
    </row>
    <row r="2305" spans="1:20" x14ac:dyDescent="0.35">
      <c r="A2305" s="1" t="s">
        <v>4686</v>
      </c>
      <c r="B2305" t="s">
        <v>14</v>
      </c>
      <c r="C2305" t="s">
        <v>47</v>
      </c>
      <c r="D2305" t="s">
        <v>4586</v>
      </c>
      <c r="E2305">
        <v>0</v>
      </c>
      <c r="F2305" t="s">
        <v>47</v>
      </c>
      <c r="G2305">
        <v>0</v>
      </c>
      <c r="H2305" t="s">
        <v>47</v>
      </c>
      <c r="I2305">
        <v>0</v>
      </c>
      <c r="J2305" t="s">
        <v>47</v>
      </c>
      <c r="K2305">
        <v>1</v>
      </c>
      <c r="L2305" t="s">
        <v>55</v>
      </c>
      <c r="M2305">
        <v>0</v>
      </c>
      <c r="N2305" t="s">
        <v>47</v>
      </c>
      <c r="O2305">
        <v>0</v>
      </c>
      <c r="P2305" t="s">
        <v>47</v>
      </c>
      <c r="Q2305">
        <v>0</v>
      </c>
      <c r="R2305" t="s">
        <v>47</v>
      </c>
      <c r="S2305">
        <v>0</v>
      </c>
      <c r="T2305" t="s">
        <v>47</v>
      </c>
    </row>
    <row r="2306" spans="1:20" x14ac:dyDescent="0.35">
      <c r="A2306" s="1" t="s">
        <v>4687</v>
      </c>
      <c r="B2306" t="s">
        <v>14</v>
      </c>
      <c r="C2306" t="s">
        <v>47</v>
      </c>
      <c r="D2306" t="s">
        <v>4587</v>
      </c>
      <c r="E2306">
        <v>0</v>
      </c>
      <c r="F2306" t="s">
        <v>47</v>
      </c>
      <c r="G2306">
        <v>0</v>
      </c>
      <c r="H2306" t="s">
        <v>47</v>
      </c>
      <c r="I2306">
        <v>0</v>
      </c>
      <c r="J2306" t="s">
        <v>47</v>
      </c>
      <c r="K2306">
        <v>1</v>
      </c>
      <c r="L2306" t="s">
        <v>55</v>
      </c>
      <c r="M2306">
        <v>0</v>
      </c>
      <c r="N2306" t="s">
        <v>47</v>
      </c>
      <c r="O2306">
        <v>0</v>
      </c>
      <c r="P2306" t="s">
        <v>47</v>
      </c>
      <c r="Q2306">
        <v>0</v>
      </c>
      <c r="R2306" t="s">
        <v>47</v>
      </c>
      <c r="S2306">
        <v>0</v>
      </c>
      <c r="T2306" t="s">
        <v>47</v>
      </c>
    </row>
    <row r="2307" spans="1:20" x14ac:dyDescent="0.35">
      <c r="A2307" s="1" t="s">
        <v>4688</v>
      </c>
      <c r="B2307" t="s">
        <v>14</v>
      </c>
      <c r="C2307" t="s">
        <v>47</v>
      </c>
      <c r="D2307" t="s">
        <v>4588</v>
      </c>
      <c r="E2307">
        <v>0</v>
      </c>
      <c r="F2307" t="s">
        <v>47</v>
      </c>
      <c r="G2307">
        <v>0</v>
      </c>
      <c r="H2307" t="s">
        <v>47</v>
      </c>
      <c r="I2307">
        <v>0</v>
      </c>
      <c r="J2307" t="s">
        <v>47</v>
      </c>
      <c r="K2307">
        <v>0</v>
      </c>
      <c r="L2307" t="s">
        <v>47</v>
      </c>
      <c r="M2307">
        <v>1</v>
      </c>
      <c r="N2307" t="s">
        <v>55</v>
      </c>
      <c r="O2307">
        <v>0</v>
      </c>
      <c r="P2307" t="s">
        <v>47</v>
      </c>
      <c r="Q2307">
        <v>0</v>
      </c>
      <c r="R2307" t="s">
        <v>47</v>
      </c>
      <c r="S2307">
        <v>0</v>
      </c>
      <c r="T2307" t="s">
        <v>47</v>
      </c>
    </row>
    <row r="2308" spans="1:20" x14ac:dyDescent="0.35">
      <c r="A2308" s="1" t="s">
        <v>4689</v>
      </c>
      <c r="B2308" t="s">
        <v>14</v>
      </c>
      <c r="C2308" t="s">
        <v>47</v>
      </c>
      <c r="D2308" t="s">
        <v>4589</v>
      </c>
      <c r="E2308">
        <v>0</v>
      </c>
      <c r="F2308" t="s">
        <v>47</v>
      </c>
      <c r="G2308">
        <v>0</v>
      </c>
      <c r="H2308" t="s">
        <v>47</v>
      </c>
      <c r="I2308">
        <v>0</v>
      </c>
      <c r="J2308" t="s">
        <v>47</v>
      </c>
      <c r="K2308">
        <v>0</v>
      </c>
      <c r="L2308" t="s">
        <v>47</v>
      </c>
      <c r="M2308">
        <v>1</v>
      </c>
      <c r="N2308" t="s">
        <v>55</v>
      </c>
      <c r="O2308">
        <v>0</v>
      </c>
      <c r="P2308" t="s">
        <v>47</v>
      </c>
      <c r="Q2308">
        <v>0</v>
      </c>
      <c r="R2308" t="s">
        <v>47</v>
      </c>
      <c r="S2308">
        <v>0</v>
      </c>
      <c r="T2308" t="s">
        <v>47</v>
      </c>
    </row>
    <row r="2309" spans="1:20" x14ac:dyDescent="0.35">
      <c r="A2309" s="1" t="s">
        <v>4690</v>
      </c>
      <c r="B2309" t="s">
        <v>14</v>
      </c>
      <c r="C2309" t="s">
        <v>47</v>
      </c>
      <c r="D2309" t="s">
        <v>4590</v>
      </c>
      <c r="E2309">
        <v>0</v>
      </c>
      <c r="F2309" t="s">
        <v>47</v>
      </c>
      <c r="G2309">
        <v>0</v>
      </c>
      <c r="H2309" t="s">
        <v>47</v>
      </c>
      <c r="I2309">
        <v>0</v>
      </c>
      <c r="J2309" t="s">
        <v>47</v>
      </c>
      <c r="K2309">
        <v>0</v>
      </c>
      <c r="L2309" t="s">
        <v>47</v>
      </c>
      <c r="M2309">
        <v>0</v>
      </c>
      <c r="N2309" t="s">
        <v>47</v>
      </c>
      <c r="O2309">
        <v>1</v>
      </c>
      <c r="P2309" t="s">
        <v>55</v>
      </c>
      <c r="Q2309">
        <v>0</v>
      </c>
      <c r="R2309" t="s">
        <v>47</v>
      </c>
      <c r="S2309">
        <v>0</v>
      </c>
      <c r="T2309" t="s">
        <v>47</v>
      </c>
    </row>
    <row r="2310" spans="1:20" x14ac:dyDescent="0.35">
      <c r="A2310" s="1" t="s">
        <v>4691</v>
      </c>
      <c r="B2310" t="s">
        <v>14</v>
      </c>
      <c r="C2310" t="s">
        <v>47</v>
      </c>
      <c r="D2310" t="s">
        <v>4591</v>
      </c>
      <c r="E2310">
        <v>0</v>
      </c>
      <c r="F2310" t="s">
        <v>47</v>
      </c>
      <c r="G2310">
        <v>0</v>
      </c>
      <c r="H2310" t="s">
        <v>47</v>
      </c>
      <c r="I2310">
        <v>0</v>
      </c>
      <c r="J2310" t="s">
        <v>47</v>
      </c>
      <c r="K2310">
        <v>0</v>
      </c>
      <c r="L2310" t="s">
        <v>47</v>
      </c>
      <c r="M2310">
        <v>0</v>
      </c>
      <c r="N2310" t="s">
        <v>47</v>
      </c>
      <c r="O2310">
        <v>1</v>
      </c>
      <c r="P2310" t="s">
        <v>55</v>
      </c>
      <c r="Q2310">
        <v>0</v>
      </c>
      <c r="R2310" t="s">
        <v>47</v>
      </c>
      <c r="S2310">
        <v>0</v>
      </c>
      <c r="T2310" t="s">
        <v>47</v>
      </c>
    </row>
    <row r="2311" spans="1:20" x14ac:dyDescent="0.35">
      <c r="A2311" s="1" t="s">
        <v>4692</v>
      </c>
      <c r="B2311" t="s">
        <v>14</v>
      </c>
      <c r="C2311" t="s">
        <v>47</v>
      </c>
      <c r="D2311" t="s">
        <v>4592</v>
      </c>
      <c r="E2311">
        <v>0</v>
      </c>
      <c r="F2311" t="s">
        <v>47</v>
      </c>
      <c r="G2311">
        <v>0</v>
      </c>
      <c r="H2311" t="s">
        <v>47</v>
      </c>
      <c r="I2311">
        <v>0</v>
      </c>
      <c r="J2311" t="s">
        <v>47</v>
      </c>
      <c r="K2311">
        <v>0</v>
      </c>
      <c r="L2311" t="s">
        <v>47</v>
      </c>
      <c r="M2311">
        <v>0</v>
      </c>
      <c r="N2311" t="s">
        <v>47</v>
      </c>
      <c r="O2311">
        <v>0</v>
      </c>
      <c r="P2311" t="s">
        <v>47</v>
      </c>
      <c r="Q2311">
        <v>1</v>
      </c>
      <c r="R2311" t="s">
        <v>55</v>
      </c>
      <c r="S2311">
        <v>0</v>
      </c>
      <c r="T2311" t="s">
        <v>47</v>
      </c>
    </row>
    <row r="2312" spans="1:20" x14ac:dyDescent="0.35">
      <c r="A2312" s="1" t="s">
        <v>4693</v>
      </c>
      <c r="B2312" t="s">
        <v>14</v>
      </c>
      <c r="C2312" t="s">
        <v>47</v>
      </c>
      <c r="D2312" t="s">
        <v>4593</v>
      </c>
      <c r="E2312">
        <v>0</v>
      </c>
      <c r="F2312" t="s">
        <v>47</v>
      </c>
      <c r="G2312">
        <v>0</v>
      </c>
      <c r="H2312" t="s">
        <v>47</v>
      </c>
      <c r="I2312">
        <v>0</v>
      </c>
      <c r="J2312" t="s">
        <v>47</v>
      </c>
      <c r="K2312">
        <v>0</v>
      </c>
      <c r="L2312" t="s">
        <v>47</v>
      </c>
      <c r="M2312">
        <v>0</v>
      </c>
      <c r="N2312" t="s">
        <v>47</v>
      </c>
      <c r="O2312">
        <v>0</v>
      </c>
      <c r="P2312" t="s">
        <v>47</v>
      </c>
      <c r="Q2312">
        <v>1</v>
      </c>
      <c r="R2312" t="s">
        <v>55</v>
      </c>
      <c r="S2312">
        <v>0</v>
      </c>
      <c r="T2312" t="s">
        <v>47</v>
      </c>
    </row>
    <row r="2313" spans="1:20" x14ac:dyDescent="0.35">
      <c r="A2313" s="1" t="s">
        <v>4694</v>
      </c>
      <c r="B2313" t="s">
        <v>14</v>
      </c>
      <c r="C2313" t="s">
        <v>47</v>
      </c>
      <c r="D2313" t="s">
        <v>4594</v>
      </c>
      <c r="E2313">
        <v>0</v>
      </c>
      <c r="F2313" t="s">
        <v>47</v>
      </c>
      <c r="G2313">
        <v>0</v>
      </c>
      <c r="H2313" t="s">
        <v>47</v>
      </c>
      <c r="I2313">
        <v>0</v>
      </c>
      <c r="J2313" t="s">
        <v>47</v>
      </c>
      <c r="K2313">
        <v>0</v>
      </c>
      <c r="L2313" t="s">
        <v>47</v>
      </c>
      <c r="M2313">
        <v>0</v>
      </c>
      <c r="N2313" t="s">
        <v>47</v>
      </c>
      <c r="O2313">
        <v>0</v>
      </c>
      <c r="P2313" t="s">
        <v>47</v>
      </c>
      <c r="Q2313">
        <v>0</v>
      </c>
      <c r="R2313" t="s">
        <v>47</v>
      </c>
      <c r="S2313">
        <v>1</v>
      </c>
      <c r="T2313" t="s">
        <v>55</v>
      </c>
    </row>
    <row r="2314" spans="1:20" x14ac:dyDescent="0.35">
      <c r="A2314" s="1" t="s">
        <v>4695</v>
      </c>
      <c r="B2314" t="s">
        <v>14</v>
      </c>
      <c r="C2314" t="s">
        <v>47</v>
      </c>
      <c r="D2314" t="s">
        <v>4595</v>
      </c>
      <c r="E2314">
        <v>0</v>
      </c>
      <c r="F2314" t="s">
        <v>47</v>
      </c>
      <c r="G2314">
        <v>0</v>
      </c>
      <c r="H2314" t="s">
        <v>47</v>
      </c>
      <c r="I2314">
        <v>0</v>
      </c>
      <c r="J2314" t="s">
        <v>47</v>
      </c>
      <c r="K2314">
        <v>0</v>
      </c>
      <c r="L2314" t="s">
        <v>47</v>
      </c>
      <c r="M2314">
        <v>0</v>
      </c>
      <c r="N2314" t="s">
        <v>47</v>
      </c>
      <c r="O2314">
        <v>0</v>
      </c>
      <c r="P2314" t="s">
        <v>47</v>
      </c>
      <c r="Q2314">
        <v>0</v>
      </c>
      <c r="R2314" t="s">
        <v>47</v>
      </c>
      <c r="S2314">
        <v>1</v>
      </c>
      <c r="T2314" t="s">
        <v>55</v>
      </c>
    </row>
    <row r="2315" spans="1:20" x14ac:dyDescent="0.35">
      <c r="A2315" s="1" t="s">
        <v>4696</v>
      </c>
      <c r="B2315" t="s">
        <v>12</v>
      </c>
      <c r="C2315" t="s">
        <v>47</v>
      </c>
      <c r="D2315" t="s">
        <v>4596</v>
      </c>
      <c r="E2315">
        <v>1</v>
      </c>
      <c r="F2315" t="s">
        <v>55</v>
      </c>
      <c r="G2315">
        <v>0</v>
      </c>
      <c r="H2315" t="s">
        <v>47</v>
      </c>
      <c r="I2315">
        <v>0</v>
      </c>
      <c r="J2315" t="s">
        <v>47</v>
      </c>
      <c r="K2315">
        <v>0</v>
      </c>
      <c r="L2315" t="s">
        <v>47</v>
      </c>
      <c r="M2315">
        <v>0</v>
      </c>
      <c r="N2315" t="s">
        <v>47</v>
      </c>
      <c r="O2315">
        <v>0</v>
      </c>
      <c r="P2315" t="s">
        <v>47</v>
      </c>
      <c r="Q2315">
        <v>0</v>
      </c>
      <c r="R2315" t="s">
        <v>47</v>
      </c>
      <c r="S2315">
        <v>0</v>
      </c>
      <c r="T2315" t="s">
        <v>47</v>
      </c>
    </row>
    <row r="2316" spans="1:20" x14ac:dyDescent="0.35">
      <c r="A2316" s="1" t="s">
        <v>4697</v>
      </c>
      <c r="B2316" t="s">
        <v>12</v>
      </c>
      <c r="C2316" t="s">
        <v>47</v>
      </c>
      <c r="D2316" t="s">
        <v>4597</v>
      </c>
      <c r="E2316">
        <v>1</v>
      </c>
      <c r="F2316" t="s">
        <v>55</v>
      </c>
      <c r="G2316">
        <v>0</v>
      </c>
      <c r="H2316" t="s">
        <v>47</v>
      </c>
      <c r="I2316">
        <v>0</v>
      </c>
      <c r="J2316" t="s">
        <v>47</v>
      </c>
      <c r="K2316">
        <v>0</v>
      </c>
      <c r="L2316" t="s">
        <v>47</v>
      </c>
      <c r="M2316">
        <v>0</v>
      </c>
      <c r="N2316" t="s">
        <v>47</v>
      </c>
      <c r="O2316">
        <v>0</v>
      </c>
      <c r="P2316" t="s">
        <v>47</v>
      </c>
      <c r="Q2316">
        <v>0</v>
      </c>
      <c r="R2316" t="s">
        <v>47</v>
      </c>
      <c r="S2316">
        <v>0</v>
      </c>
      <c r="T2316" t="s">
        <v>47</v>
      </c>
    </row>
    <row r="2317" spans="1:20" x14ac:dyDescent="0.35">
      <c r="A2317" s="1" t="s">
        <v>4698</v>
      </c>
      <c r="B2317" t="s">
        <v>12</v>
      </c>
      <c r="C2317" t="s">
        <v>47</v>
      </c>
      <c r="D2317" t="s">
        <v>4598</v>
      </c>
      <c r="E2317">
        <v>0</v>
      </c>
      <c r="F2317" t="s">
        <v>47</v>
      </c>
      <c r="G2317">
        <v>1</v>
      </c>
      <c r="H2317" t="s">
        <v>55</v>
      </c>
      <c r="I2317">
        <v>0</v>
      </c>
      <c r="J2317" t="s">
        <v>47</v>
      </c>
      <c r="K2317">
        <v>0</v>
      </c>
      <c r="L2317" t="s">
        <v>47</v>
      </c>
      <c r="M2317">
        <v>0</v>
      </c>
      <c r="N2317" t="s">
        <v>47</v>
      </c>
      <c r="O2317">
        <v>0</v>
      </c>
      <c r="P2317" t="s">
        <v>47</v>
      </c>
      <c r="Q2317">
        <v>0</v>
      </c>
      <c r="R2317" t="s">
        <v>47</v>
      </c>
      <c r="S2317">
        <v>0</v>
      </c>
      <c r="T2317" t="s">
        <v>47</v>
      </c>
    </row>
    <row r="2318" spans="1:20" x14ac:dyDescent="0.35">
      <c r="A2318" s="1" t="s">
        <v>4699</v>
      </c>
      <c r="B2318" t="s">
        <v>12</v>
      </c>
      <c r="C2318" t="s">
        <v>47</v>
      </c>
      <c r="D2318" t="s">
        <v>4599</v>
      </c>
      <c r="E2318">
        <v>0</v>
      </c>
      <c r="F2318" t="s">
        <v>47</v>
      </c>
      <c r="G2318">
        <v>1</v>
      </c>
      <c r="H2318" t="s">
        <v>55</v>
      </c>
      <c r="I2318">
        <v>0</v>
      </c>
      <c r="J2318" t="s">
        <v>47</v>
      </c>
      <c r="K2318">
        <v>0</v>
      </c>
      <c r="L2318" t="s">
        <v>47</v>
      </c>
      <c r="M2318">
        <v>0</v>
      </c>
      <c r="N2318" t="s">
        <v>47</v>
      </c>
      <c r="O2318">
        <v>0</v>
      </c>
      <c r="P2318" t="s">
        <v>47</v>
      </c>
      <c r="Q2318">
        <v>0</v>
      </c>
      <c r="R2318" t="s">
        <v>47</v>
      </c>
      <c r="S2318">
        <v>0</v>
      </c>
      <c r="T2318" t="s">
        <v>47</v>
      </c>
    </row>
    <row r="2319" spans="1:20" x14ac:dyDescent="0.35">
      <c r="A2319" s="1" t="s">
        <v>4700</v>
      </c>
      <c r="B2319" t="s">
        <v>12</v>
      </c>
      <c r="C2319" t="s">
        <v>47</v>
      </c>
      <c r="D2319" t="s">
        <v>4600</v>
      </c>
      <c r="E2319">
        <v>0</v>
      </c>
      <c r="F2319" t="s">
        <v>47</v>
      </c>
      <c r="G2319">
        <v>0</v>
      </c>
      <c r="H2319" t="s">
        <v>47</v>
      </c>
      <c r="I2319">
        <v>1</v>
      </c>
      <c r="J2319" t="s">
        <v>55</v>
      </c>
      <c r="K2319">
        <v>0</v>
      </c>
      <c r="L2319" t="s">
        <v>47</v>
      </c>
      <c r="M2319">
        <v>0</v>
      </c>
      <c r="N2319" t="s">
        <v>47</v>
      </c>
      <c r="O2319">
        <v>0</v>
      </c>
      <c r="P2319" t="s">
        <v>47</v>
      </c>
      <c r="Q2319">
        <v>0</v>
      </c>
      <c r="R2319" t="s">
        <v>47</v>
      </c>
      <c r="S2319">
        <v>0</v>
      </c>
      <c r="T2319" t="s">
        <v>47</v>
      </c>
    </row>
    <row r="2320" spans="1:20" x14ac:dyDescent="0.35">
      <c r="A2320" s="1" t="s">
        <v>4701</v>
      </c>
      <c r="B2320" t="s">
        <v>12</v>
      </c>
      <c r="C2320" t="s">
        <v>47</v>
      </c>
      <c r="D2320" t="s">
        <v>4601</v>
      </c>
      <c r="E2320">
        <v>0</v>
      </c>
      <c r="F2320" t="s">
        <v>47</v>
      </c>
      <c r="G2320">
        <v>0</v>
      </c>
      <c r="H2320" t="s">
        <v>47</v>
      </c>
      <c r="I2320">
        <v>1</v>
      </c>
      <c r="J2320" t="s">
        <v>55</v>
      </c>
      <c r="K2320">
        <v>0</v>
      </c>
      <c r="L2320" t="s">
        <v>47</v>
      </c>
      <c r="M2320">
        <v>0</v>
      </c>
      <c r="N2320" t="s">
        <v>47</v>
      </c>
      <c r="O2320">
        <v>0</v>
      </c>
      <c r="P2320" t="s">
        <v>47</v>
      </c>
      <c r="Q2320">
        <v>0</v>
      </c>
      <c r="R2320" t="s">
        <v>47</v>
      </c>
      <c r="S2320">
        <v>0</v>
      </c>
      <c r="T2320" t="s">
        <v>47</v>
      </c>
    </row>
    <row r="2321" spans="1:20" x14ac:dyDescent="0.35">
      <c r="A2321" s="1" t="s">
        <v>4702</v>
      </c>
      <c r="B2321" t="s">
        <v>12</v>
      </c>
      <c r="C2321" t="s">
        <v>47</v>
      </c>
      <c r="D2321" t="s">
        <v>4602</v>
      </c>
      <c r="E2321">
        <v>0</v>
      </c>
      <c r="F2321" t="s">
        <v>47</v>
      </c>
      <c r="G2321">
        <v>0</v>
      </c>
      <c r="H2321" t="s">
        <v>47</v>
      </c>
      <c r="I2321">
        <v>0</v>
      </c>
      <c r="J2321" t="s">
        <v>47</v>
      </c>
      <c r="K2321">
        <v>1</v>
      </c>
      <c r="L2321" t="s">
        <v>55</v>
      </c>
      <c r="M2321">
        <v>0</v>
      </c>
      <c r="N2321" t="s">
        <v>47</v>
      </c>
      <c r="O2321">
        <v>0</v>
      </c>
      <c r="P2321" t="s">
        <v>47</v>
      </c>
      <c r="Q2321">
        <v>0</v>
      </c>
      <c r="R2321" t="s">
        <v>47</v>
      </c>
      <c r="S2321">
        <v>0</v>
      </c>
      <c r="T2321" t="s">
        <v>47</v>
      </c>
    </row>
    <row r="2322" spans="1:20" x14ac:dyDescent="0.35">
      <c r="A2322" s="1" t="s">
        <v>4703</v>
      </c>
      <c r="B2322" t="s">
        <v>12</v>
      </c>
      <c r="C2322" t="s">
        <v>47</v>
      </c>
      <c r="D2322" t="s">
        <v>4603</v>
      </c>
      <c r="E2322">
        <v>0</v>
      </c>
      <c r="F2322" t="s">
        <v>47</v>
      </c>
      <c r="G2322">
        <v>0</v>
      </c>
      <c r="H2322" t="s">
        <v>47</v>
      </c>
      <c r="I2322">
        <v>0</v>
      </c>
      <c r="J2322" t="s">
        <v>47</v>
      </c>
      <c r="K2322">
        <v>1</v>
      </c>
      <c r="L2322" t="s">
        <v>55</v>
      </c>
      <c r="M2322">
        <v>0</v>
      </c>
      <c r="N2322" t="s">
        <v>47</v>
      </c>
      <c r="O2322">
        <v>0</v>
      </c>
      <c r="P2322" t="s">
        <v>47</v>
      </c>
      <c r="Q2322">
        <v>0</v>
      </c>
      <c r="R2322" t="s">
        <v>47</v>
      </c>
      <c r="S2322">
        <v>0</v>
      </c>
      <c r="T2322" t="s">
        <v>47</v>
      </c>
    </row>
    <row r="2323" spans="1:20" x14ac:dyDescent="0.35">
      <c r="A2323" s="1" t="s">
        <v>4704</v>
      </c>
      <c r="B2323" t="s">
        <v>12</v>
      </c>
      <c r="C2323" t="s">
        <v>47</v>
      </c>
      <c r="D2323" t="s">
        <v>4604</v>
      </c>
      <c r="E2323">
        <v>0</v>
      </c>
      <c r="F2323" t="s">
        <v>47</v>
      </c>
      <c r="G2323">
        <v>0</v>
      </c>
      <c r="H2323" t="s">
        <v>47</v>
      </c>
      <c r="I2323">
        <v>0</v>
      </c>
      <c r="J2323" t="s">
        <v>47</v>
      </c>
      <c r="K2323">
        <v>0</v>
      </c>
      <c r="L2323" t="s">
        <v>47</v>
      </c>
      <c r="M2323">
        <v>1</v>
      </c>
      <c r="N2323" t="s">
        <v>55</v>
      </c>
      <c r="O2323">
        <v>0</v>
      </c>
      <c r="P2323" t="s">
        <v>47</v>
      </c>
      <c r="Q2323">
        <v>0</v>
      </c>
      <c r="R2323" t="s">
        <v>47</v>
      </c>
      <c r="S2323">
        <v>0</v>
      </c>
      <c r="T2323" t="s">
        <v>47</v>
      </c>
    </row>
    <row r="2324" spans="1:20" x14ac:dyDescent="0.35">
      <c r="A2324" s="1" t="s">
        <v>4705</v>
      </c>
      <c r="B2324" t="s">
        <v>12</v>
      </c>
      <c r="C2324" t="s">
        <v>47</v>
      </c>
      <c r="D2324" t="s">
        <v>4605</v>
      </c>
      <c r="E2324">
        <v>0</v>
      </c>
      <c r="F2324" t="s">
        <v>47</v>
      </c>
      <c r="G2324">
        <v>0</v>
      </c>
      <c r="H2324" t="s">
        <v>47</v>
      </c>
      <c r="I2324">
        <v>0</v>
      </c>
      <c r="J2324" t="s">
        <v>47</v>
      </c>
      <c r="K2324">
        <v>0</v>
      </c>
      <c r="L2324" t="s">
        <v>47</v>
      </c>
      <c r="M2324">
        <v>1</v>
      </c>
      <c r="N2324" t="s">
        <v>55</v>
      </c>
      <c r="O2324">
        <v>0</v>
      </c>
      <c r="P2324" t="s">
        <v>47</v>
      </c>
      <c r="Q2324">
        <v>0</v>
      </c>
      <c r="R2324" t="s">
        <v>47</v>
      </c>
      <c r="S2324">
        <v>0</v>
      </c>
      <c r="T2324" t="s">
        <v>47</v>
      </c>
    </row>
    <row r="2325" spans="1:20" x14ac:dyDescent="0.35">
      <c r="A2325" s="1" t="s">
        <v>4706</v>
      </c>
      <c r="B2325" t="s">
        <v>12</v>
      </c>
      <c r="C2325" t="s">
        <v>47</v>
      </c>
      <c r="D2325" t="s">
        <v>4606</v>
      </c>
      <c r="E2325">
        <v>0</v>
      </c>
      <c r="F2325" t="s">
        <v>47</v>
      </c>
      <c r="G2325">
        <v>0</v>
      </c>
      <c r="H2325" t="s">
        <v>47</v>
      </c>
      <c r="I2325">
        <v>0</v>
      </c>
      <c r="J2325" t="s">
        <v>47</v>
      </c>
      <c r="K2325">
        <v>0</v>
      </c>
      <c r="L2325" t="s">
        <v>47</v>
      </c>
      <c r="M2325">
        <v>0</v>
      </c>
      <c r="N2325" t="s">
        <v>47</v>
      </c>
      <c r="O2325">
        <v>1</v>
      </c>
      <c r="P2325" t="s">
        <v>55</v>
      </c>
      <c r="Q2325">
        <v>0</v>
      </c>
      <c r="R2325" t="s">
        <v>47</v>
      </c>
      <c r="S2325">
        <v>0</v>
      </c>
      <c r="T2325" t="s">
        <v>47</v>
      </c>
    </row>
    <row r="2326" spans="1:20" x14ac:dyDescent="0.35">
      <c r="A2326" s="1" t="s">
        <v>4707</v>
      </c>
      <c r="B2326" t="s">
        <v>12</v>
      </c>
      <c r="C2326" t="s">
        <v>47</v>
      </c>
      <c r="D2326" t="s">
        <v>4607</v>
      </c>
      <c r="E2326">
        <v>0</v>
      </c>
      <c r="F2326" t="s">
        <v>47</v>
      </c>
      <c r="G2326">
        <v>0</v>
      </c>
      <c r="H2326" t="s">
        <v>47</v>
      </c>
      <c r="I2326">
        <v>0</v>
      </c>
      <c r="J2326" t="s">
        <v>47</v>
      </c>
      <c r="K2326">
        <v>0</v>
      </c>
      <c r="L2326" t="s">
        <v>47</v>
      </c>
      <c r="M2326">
        <v>0</v>
      </c>
      <c r="N2326" t="s">
        <v>47</v>
      </c>
      <c r="O2326">
        <v>1</v>
      </c>
      <c r="P2326" t="s">
        <v>55</v>
      </c>
      <c r="Q2326">
        <v>0</v>
      </c>
      <c r="R2326" t="s">
        <v>47</v>
      </c>
      <c r="S2326">
        <v>0</v>
      </c>
      <c r="T2326" t="s">
        <v>47</v>
      </c>
    </row>
    <row r="2327" spans="1:20" x14ac:dyDescent="0.35">
      <c r="A2327" s="1" t="s">
        <v>4708</v>
      </c>
      <c r="B2327" t="s">
        <v>12</v>
      </c>
      <c r="C2327" t="s">
        <v>47</v>
      </c>
      <c r="D2327" t="s">
        <v>4608</v>
      </c>
      <c r="E2327">
        <v>0</v>
      </c>
      <c r="F2327" t="s">
        <v>47</v>
      </c>
      <c r="G2327">
        <v>0</v>
      </c>
      <c r="H2327" t="s">
        <v>47</v>
      </c>
      <c r="I2327">
        <v>0</v>
      </c>
      <c r="J2327" t="s">
        <v>47</v>
      </c>
      <c r="K2327">
        <v>0</v>
      </c>
      <c r="L2327" t="s">
        <v>47</v>
      </c>
      <c r="M2327">
        <v>0</v>
      </c>
      <c r="N2327" t="s">
        <v>47</v>
      </c>
      <c r="O2327">
        <v>0</v>
      </c>
      <c r="P2327" t="s">
        <v>47</v>
      </c>
      <c r="Q2327">
        <v>1</v>
      </c>
      <c r="R2327" t="s">
        <v>55</v>
      </c>
      <c r="S2327">
        <v>0</v>
      </c>
      <c r="T2327" t="s">
        <v>47</v>
      </c>
    </row>
    <row r="2328" spans="1:20" x14ac:dyDescent="0.35">
      <c r="A2328" s="1" t="s">
        <v>4709</v>
      </c>
      <c r="B2328" t="s">
        <v>12</v>
      </c>
      <c r="C2328" t="s">
        <v>47</v>
      </c>
      <c r="D2328" t="s">
        <v>4609</v>
      </c>
      <c r="E2328">
        <v>0</v>
      </c>
      <c r="F2328" t="s">
        <v>47</v>
      </c>
      <c r="G2328">
        <v>0</v>
      </c>
      <c r="H2328" t="s">
        <v>47</v>
      </c>
      <c r="I2328">
        <v>0</v>
      </c>
      <c r="J2328" t="s">
        <v>47</v>
      </c>
      <c r="K2328">
        <v>0</v>
      </c>
      <c r="L2328" t="s">
        <v>47</v>
      </c>
      <c r="M2328">
        <v>0</v>
      </c>
      <c r="N2328" t="s">
        <v>47</v>
      </c>
      <c r="O2328">
        <v>0</v>
      </c>
      <c r="P2328" t="s">
        <v>47</v>
      </c>
      <c r="Q2328">
        <v>1</v>
      </c>
      <c r="R2328" t="s">
        <v>55</v>
      </c>
      <c r="S2328">
        <v>0</v>
      </c>
      <c r="T2328" t="s">
        <v>47</v>
      </c>
    </row>
    <row r="2329" spans="1:20" x14ac:dyDescent="0.35">
      <c r="A2329" s="1" t="s">
        <v>4710</v>
      </c>
      <c r="B2329" t="s">
        <v>12</v>
      </c>
      <c r="C2329" t="s">
        <v>47</v>
      </c>
      <c r="D2329" t="s">
        <v>4610</v>
      </c>
      <c r="E2329">
        <v>0</v>
      </c>
      <c r="F2329" t="s">
        <v>47</v>
      </c>
      <c r="G2329">
        <v>0</v>
      </c>
      <c r="H2329" t="s">
        <v>47</v>
      </c>
      <c r="I2329">
        <v>0</v>
      </c>
      <c r="J2329" t="s">
        <v>47</v>
      </c>
      <c r="K2329">
        <v>0</v>
      </c>
      <c r="L2329" t="s">
        <v>47</v>
      </c>
      <c r="M2329">
        <v>0</v>
      </c>
      <c r="N2329" t="s">
        <v>47</v>
      </c>
      <c r="O2329">
        <v>0</v>
      </c>
      <c r="P2329" t="s">
        <v>47</v>
      </c>
      <c r="Q2329">
        <v>0</v>
      </c>
      <c r="R2329" t="s">
        <v>47</v>
      </c>
      <c r="S2329">
        <v>1</v>
      </c>
      <c r="T2329" t="s">
        <v>55</v>
      </c>
    </row>
    <row r="2330" spans="1:20" x14ac:dyDescent="0.35">
      <c r="A2330" s="1" t="s">
        <v>4711</v>
      </c>
      <c r="B2330" t="s">
        <v>12</v>
      </c>
      <c r="C2330" t="s">
        <v>47</v>
      </c>
      <c r="D2330" t="s">
        <v>4611</v>
      </c>
      <c r="E2330">
        <v>0</v>
      </c>
      <c r="F2330" t="s">
        <v>47</v>
      </c>
      <c r="G2330">
        <v>0</v>
      </c>
      <c r="H2330" t="s">
        <v>47</v>
      </c>
      <c r="I2330">
        <v>0</v>
      </c>
      <c r="J2330" t="s">
        <v>47</v>
      </c>
      <c r="K2330">
        <v>0</v>
      </c>
      <c r="L2330" t="s">
        <v>47</v>
      </c>
      <c r="M2330">
        <v>0</v>
      </c>
      <c r="N2330" t="s">
        <v>47</v>
      </c>
      <c r="O2330">
        <v>0</v>
      </c>
      <c r="P2330" t="s">
        <v>47</v>
      </c>
      <c r="Q2330">
        <v>0</v>
      </c>
      <c r="R2330" t="s">
        <v>47</v>
      </c>
      <c r="S2330">
        <v>1</v>
      </c>
      <c r="T2330" t="s">
        <v>55</v>
      </c>
    </row>
    <row r="2331" spans="1:20" x14ac:dyDescent="0.35">
      <c r="A2331" s="1" t="s">
        <v>4712</v>
      </c>
      <c r="B2331" t="s">
        <v>14</v>
      </c>
      <c r="C2331" t="s">
        <v>47</v>
      </c>
      <c r="D2331" t="s">
        <v>4612</v>
      </c>
      <c r="E2331">
        <v>1</v>
      </c>
      <c r="F2331" t="s">
        <v>55</v>
      </c>
      <c r="G2331">
        <v>0</v>
      </c>
      <c r="H2331" t="s">
        <v>47</v>
      </c>
      <c r="I2331">
        <v>0</v>
      </c>
      <c r="J2331" t="s">
        <v>47</v>
      </c>
      <c r="K2331">
        <v>0</v>
      </c>
      <c r="L2331" t="s">
        <v>47</v>
      </c>
      <c r="M2331">
        <v>0</v>
      </c>
      <c r="N2331" t="s">
        <v>47</v>
      </c>
      <c r="O2331">
        <v>0</v>
      </c>
      <c r="P2331" t="s">
        <v>47</v>
      </c>
      <c r="Q2331">
        <v>0</v>
      </c>
      <c r="R2331" t="s">
        <v>47</v>
      </c>
      <c r="S2331">
        <v>0</v>
      </c>
      <c r="T2331" t="s">
        <v>47</v>
      </c>
    </row>
    <row r="2332" spans="1:20" x14ac:dyDescent="0.35">
      <c r="A2332" s="1" t="s">
        <v>4713</v>
      </c>
      <c r="B2332" t="s">
        <v>14</v>
      </c>
      <c r="C2332" t="s">
        <v>47</v>
      </c>
      <c r="D2332" t="s">
        <v>4613</v>
      </c>
      <c r="E2332">
        <v>1</v>
      </c>
      <c r="F2332" t="s">
        <v>55</v>
      </c>
      <c r="G2332">
        <v>0</v>
      </c>
      <c r="H2332" t="s">
        <v>47</v>
      </c>
      <c r="I2332">
        <v>0</v>
      </c>
      <c r="J2332" t="s">
        <v>47</v>
      </c>
      <c r="K2332">
        <v>0</v>
      </c>
      <c r="L2332" t="s">
        <v>47</v>
      </c>
      <c r="M2332">
        <v>0</v>
      </c>
      <c r="N2332" t="s">
        <v>47</v>
      </c>
      <c r="O2332">
        <v>0</v>
      </c>
      <c r="P2332" t="s">
        <v>47</v>
      </c>
      <c r="Q2332">
        <v>0</v>
      </c>
      <c r="R2332" t="s">
        <v>47</v>
      </c>
      <c r="S2332">
        <v>0</v>
      </c>
      <c r="T2332" t="s">
        <v>47</v>
      </c>
    </row>
    <row r="2333" spans="1:20" x14ac:dyDescent="0.35">
      <c r="A2333" s="1" t="s">
        <v>4714</v>
      </c>
      <c r="B2333" t="s">
        <v>14</v>
      </c>
      <c r="C2333" t="s">
        <v>47</v>
      </c>
      <c r="D2333" t="s">
        <v>4614</v>
      </c>
      <c r="E2333">
        <v>1</v>
      </c>
      <c r="F2333" t="s">
        <v>55</v>
      </c>
      <c r="G2333">
        <v>0</v>
      </c>
      <c r="H2333" t="s">
        <v>47</v>
      </c>
      <c r="I2333">
        <v>0</v>
      </c>
      <c r="J2333" t="s">
        <v>47</v>
      </c>
      <c r="K2333">
        <v>0</v>
      </c>
      <c r="L2333" t="s">
        <v>47</v>
      </c>
      <c r="M2333">
        <v>0</v>
      </c>
      <c r="N2333" t="s">
        <v>47</v>
      </c>
      <c r="O2333">
        <v>0</v>
      </c>
      <c r="P2333" t="s">
        <v>47</v>
      </c>
      <c r="Q2333">
        <v>0</v>
      </c>
      <c r="R2333" t="s">
        <v>47</v>
      </c>
      <c r="S2333">
        <v>0</v>
      </c>
      <c r="T2333" t="s">
        <v>47</v>
      </c>
    </row>
    <row r="2334" spans="1:20" x14ac:dyDescent="0.35">
      <c r="A2334" s="1" t="s">
        <v>4715</v>
      </c>
      <c r="B2334" t="s">
        <v>14</v>
      </c>
      <c r="C2334" t="s">
        <v>47</v>
      </c>
      <c r="D2334" t="s">
        <v>4615</v>
      </c>
      <c r="E2334">
        <v>0</v>
      </c>
      <c r="F2334" t="s">
        <v>47</v>
      </c>
      <c r="G2334">
        <v>1</v>
      </c>
      <c r="H2334" t="s">
        <v>55</v>
      </c>
      <c r="I2334">
        <v>0</v>
      </c>
      <c r="J2334" t="s">
        <v>47</v>
      </c>
      <c r="K2334">
        <v>0</v>
      </c>
      <c r="L2334" t="s">
        <v>47</v>
      </c>
      <c r="M2334">
        <v>0</v>
      </c>
      <c r="N2334" t="s">
        <v>47</v>
      </c>
      <c r="O2334">
        <v>0</v>
      </c>
      <c r="P2334" t="s">
        <v>47</v>
      </c>
      <c r="Q2334">
        <v>0</v>
      </c>
      <c r="R2334" t="s">
        <v>47</v>
      </c>
      <c r="S2334">
        <v>0</v>
      </c>
      <c r="T2334" t="s">
        <v>47</v>
      </c>
    </row>
    <row r="2335" spans="1:20" x14ac:dyDescent="0.35">
      <c r="A2335" s="1" t="s">
        <v>4716</v>
      </c>
      <c r="B2335" t="s">
        <v>14</v>
      </c>
      <c r="C2335" t="s">
        <v>47</v>
      </c>
      <c r="D2335" t="s">
        <v>4616</v>
      </c>
      <c r="E2335">
        <v>0</v>
      </c>
      <c r="F2335" t="s">
        <v>47</v>
      </c>
      <c r="G2335">
        <v>1</v>
      </c>
      <c r="H2335" t="s">
        <v>55</v>
      </c>
      <c r="I2335">
        <v>0</v>
      </c>
      <c r="J2335" t="s">
        <v>47</v>
      </c>
      <c r="K2335">
        <v>0</v>
      </c>
      <c r="L2335" t="s">
        <v>47</v>
      </c>
      <c r="M2335">
        <v>0</v>
      </c>
      <c r="N2335" t="s">
        <v>47</v>
      </c>
      <c r="O2335">
        <v>0</v>
      </c>
      <c r="P2335" t="s">
        <v>47</v>
      </c>
      <c r="Q2335">
        <v>0</v>
      </c>
      <c r="R2335" t="s">
        <v>47</v>
      </c>
      <c r="S2335">
        <v>0</v>
      </c>
      <c r="T2335" t="s">
        <v>47</v>
      </c>
    </row>
    <row r="2336" spans="1:20" x14ac:dyDescent="0.35">
      <c r="A2336" s="1" t="s">
        <v>4717</v>
      </c>
      <c r="B2336" t="s">
        <v>14</v>
      </c>
      <c r="C2336" t="s">
        <v>47</v>
      </c>
      <c r="D2336" t="s">
        <v>4617</v>
      </c>
      <c r="E2336">
        <v>0</v>
      </c>
      <c r="F2336" t="s">
        <v>47</v>
      </c>
      <c r="G2336">
        <v>1</v>
      </c>
      <c r="H2336" t="s">
        <v>55</v>
      </c>
      <c r="I2336">
        <v>0</v>
      </c>
      <c r="J2336" t="s">
        <v>47</v>
      </c>
      <c r="K2336">
        <v>0</v>
      </c>
      <c r="L2336" t="s">
        <v>47</v>
      </c>
      <c r="M2336">
        <v>0</v>
      </c>
      <c r="N2336" t="s">
        <v>47</v>
      </c>
      <c r="O2336">
        <v>0</v>
      </c>
      <c r="P2336" t="s">
        <v>47</v>
      </c>
      <c r="Q2336">
        <v>0</v>
      </c>
      <c r="R2336" t="s">
        <v>47</v>
      </c>
      <c r="S2336">
        <v>0</v>
      </c>
      <c r="T2336" t="s">
        <v>47</v>
      </c>
    </row>
    <row r="2337" spans="1:20" x14ac:dyDescent="0.35">
      <c r="A2337" s="1" t="s">
        <v>4718</v>
      </c>
      <c r="B2337" t="s">
        <v>14</v>
      </c>
      <c r="C2337" t="s">
        <v>47</v>
      </c>
      <c r="D2337" t="s">
        <v>4618</v>
      </c>
      <c r="E2337">
        <v>0</v>
      </c>
      <c r="F2337" t="s">
        <v>47</v>
      </c>
      <c r="G2337">
        <v>0</v>
      </c>
      <c r="H2337" t="s">
        <v>47</v>
      </c>
      <c r="I2337">
        <v>1</v>
      </c>
      <c r="J2337" t="s">
        <v>55</v>
      </c>
      <c r="K2337">
        <v>0</v>
      </c>
      <c r="L2337" t="s">
        <v>47</v>
      </c>
      <c r="M2337">
        <v>0</v>
      </c>
      <c r="N2337" t="s">
        <v>47</v>
      </c>
      <c r="O2337">
        <v>0</v>
      </c>
      <c r="P2337" t="s">
        <v>47</v>
      </c>
      <c r="Q2337">
        <v>0</v>
      </c>
      <c r="R2337" t="s">
        <v>47</v>
      </c>
      <c r="S2337">
        <v>0</v>
      </c>
      <c r="T2337" t="s">
        <v>47</v>
      </c>
    </row>
    <row r="2338" spans="1:20" x14ac:dyDescent="0.35">
      <c r="A2338" s="1" t="s">
        <v>4719</v>
      </c>
      <c r="B2338" t="s">
        <v>14</v>
      </c>
      <c r="C2338" t="s">
        <v>47</v>
      </c>
      <c r="D2338" t="s">
        <v>4619</v>
      </c>
      <c r="E2338">
        <v>0</v>
      </c>
      <c r="F2338" t="s">
        <v>47</v>
      </c>
      <c r="G2338">
        <v>0</v>
      </c>
      <c r="H2338" t="s">
        <v>47</v>
      </c>
      <c r="I2338">
        <v>1</v>
      </c>
      <c r="J2338" t="s">
        <v>55</v>
      </c>
      <c r="K2338">
        <v>0</v>
      </c>
      <c r="L2338" t="s">
        <v>47</v>
      </c>
      <c r="M2338">
        <v>0</v>
      </c>
      <c r="N2338" t="s">
        <v>47</v>
      </c>
      <c r="O2338">
        <v>0</v>
      </c>
      <c r="P2338" t="s">
        <v>47</v>
      </c>
      <c r="Q2338">
        <v>0</v>
      </c>
      <c r="R2338" t="s">
        <v>47</v>
      </c>
      <c r="S2338">
        <v>0</v>
      </c>
      <c r="T2338" t="s">
        <v>47</v>
      </c>
    </row>
    <row r="2339" spans="1:20" x14ac:dyDescent="0.35">
      <c r="A2339" s="1" t="s">
        <v>4720</v>
      </c>
      <c r="B2339" t="s">
        <v>14</v>
      </c>
      <c r="C2339" t="s">
        <v>47</v>
      </c>
      <c r="D2339" t="s">
        <v>4620</v>
      </c>
      <c r="E2339">
        <v>0</v>
      </c>
      <c r="F2339" t="s">
        <v>47</v>
      </c>
      <c r="G2339">
        <v>0</v>
      </c>
      <c r="H2339" t="s">
        <v>47</v>
      </c>
      <c r="I2339">
        <v>1</v>
      </c>
      <c r="J2339" t="s">
        <v>55</v>
      </c>
      <c r="K2339">
        <v>0</v>
      </c>
      <c r="L2339" t="s">
        <v>47</v>
      </c>
      <c r="M2339">
        <v>0</v>
      </c>
      <c r="N2339" t="s">
        <v>47</v>
      </c>
      <c r="O2339">
        <v>0</v>
      </c>
      <c r="P2339" t="s">
        <v>47</v>
      </c>
      <c r="Q2339">
        <v>0</v>
      </c>
      <c r="R2339" t="s">
        <v>47</v>
      </c>
      <c r="S2339">
        <v>0</v>
      </c>
      <c r="T2339" t="s">
        <v>47</v>
      </c>
    </row>
    <row r="2340" spans="1:20" x14ac:dyDescent="0.35">
      <c r="A2340" s="1" t="s">
        <v>4721</v>
      </c>
      <c r="B2340" t="s">
        <v>14</v>
      </c>
      <c r="C2340" t="s">
        <v>47</v>
      </c>
      <c r="D2340" t="s">
        <v>4621</v>
      </c>
      <c r="E2340">
        <v>0</v>
      </c>
      <c r="F2340" t="s">
        <v>47</v>
      </c>
      <c r="G2340">
        <v>0</v>
      </c>
      <c r="H2340" t="s">
        <v>47</v>
      </c>
      <c r="I2340">
        <v>0</v>
      </c>
      <c r="J2340" t="s">
        <v>47</v>
      </c>
      <c r="K2340">
        <v>1</v>
      </c>
      <c r="L2340" t="s">
        <v>55</v>
      </c>
      <c r="M2340">
        <v>0</v>
      </c>
      <c r="N2340" t="s">
        <v>47</v>
      </c>
      <c r="O2340">
        <v>0</v>
      </c>
      <c r="P2340" t="s">
        <v>47</v>
      </c>
      <c r="Q2340">
        <v>0</v>
      </c>
      <c r="R2340" t="s">
        <v>47</v>
      </c>
      <c r="S2340">
        <v>0</v>
      </c>
      <c r="T2340" t="s">
        <v>47</v>
      </c>
    </row>
    <row r="2341" spans="1:20" x14ac:dyDescent="0.35">
      <c r="A2341" s="1" t="s">
        <v>4722</v>
      </c>
      <c r="B2341" t="s">
        <v>14</v>
      </c>
      <c r="C2341" t="s">
        <v>47</v>
      </c>
      <c r="D2341" t="s">
        <v>4622</v>
      </c>
      <c r="E2341">
        <v>0</v>
      </c>
      <c r="F2341" t="s">
        <v>47</v>
      </c>
      <c r="G2341">
        <v>0</v>
      </c>
      <c r="H2341" t="s">
        <v>47</v>
      </c>
      <c r="I2341">
        <v>0</v>
      </c>
      <c r="J2341" t="s">
        <v>47</v>
      </c>
      <c r="K2341">
        <v>1</v>
      </c>
      <c r="L2341" t="s">
        <v>55</v>
      </c>
      <c r="M2341">
        <v>0</v>
      </c>
      <c r="N2341" t="s">
        <v>47</v>
      </c>
      <c r="O2341">
        <v>0</v>
      </c>
      <c r="P2341" t="s">
        <v>47</v>
      </c>
      <c r="Q2341">
        <v>0</v>
      </c>
      <c r="R2341" t="s">
        <v>47</v>
      </c>
      <c r="S2341">
        <v>0</v>
      </c>
      <c r="T2341" t="s">
        <v>47</v>
      </c>
    </row>
    <row r="2342" spans="1:20" x14ac:dyDescent="0.35">
      <c r="A2342" s="1" t="s">
        <v>4723</v>
      </c>
      <c r="B2342" t="s">
        <v>14</v>
      </c>
      <c r="C2342" t="s">
        <v>47</v>
      </c>
      <c r="D2342" t="s">
        <v>4623</v>
      </c>
      <c r="E2342">
        <v>0</v>
      </c>
      <c r="F2342" t="s">
        <v>47</v>
      </c>
      <c r="G2342">
        <v>0</v>
      </c>
      <c r="H2342" t="s">
        <v>47</v>
      </c>
      <c r="I2342">
        <v>0</v>
      </c>
      <c r="J2342" t="s">
        <v>47</v>
      </c>
      <c r="K2342">
        <v>1</v>
      </c>
      <c r="L2342" t="s">
        <v>55</v>
      </c>
      <c r="M2342">
        <v>0</v>
      </c>
      <c r="N2342" t="s">
        <v>47</v>
      </c>
      <c r="O2342">
        <v>0</v>
      </c>
      <c r="P2342" t="s">
        <v>47</v>
      </c>
      <c r="Q2342">
        <v>0</v>
      </c>
      <c r="R2342" t="s">
        <v>47</v>
      </c>
      <c r="S2342">
        <v>0</v>
      </c>
      <c r="T2342" t="s">
        <v>47</v>
      </c>
    </row>
    <row r="2343" spans="1:20" x14ac:dyDescent="0.35">
      <c r="A2343" s="1" t="s">
        <v>4724</v>
      </c>
      <c r="B2343" t="s">
        <v>14</v>
      </c>
      <c r="C2343" t="s">
        <v>47</v>
      </c>
      <c r="D2343" t="s">
        <v>4624</v>
      </c>
      <c r="E2343">
        <v>0</v>
      </c>
      <c r="F2343" t="s">
        <v>47</v>
      </c>
      <c r="G2343">
        <v>0</v>
      </c>
      <c r="H2343" t="s">
        <v>47</v>
      </c>
      <c r="I2343">
        <v>0</v>
      </c>
      <c r="J2343" t="s">
        <v>47</v>
      </c>
      <c r="K2343">
        <v>0</v>
      </c>
      <c r="L2343" t="s">
        <v>47</v>
      </c>
      <c r="M2343">
        <v>1</v>
      </c>
      <c r="N2343" t="s">
        <v>55</v>
      </c>
      <c r="O2343">
        <v>0</v>
      </c>
      <c r="P2343" t="s">
        <v>47</v>
      </c>
      <c r="Q2343">
        <v>0</v>
      </c>
      <c r="R2343" t="s">
        <v>47</v>
      </c>
      <c r="S2343">
        <v>0</v>
      </c>
      <c r="T2343" t="s">
        <v>47</v>
      </c>
    </row>
    <row r="2344" spans="1:20" x14ac:dyDescent="0.35">
      <c r="A2344" s="1" t="s">
        <v>4725</v>
      </c>
      <c r="B2344" t="s">
        <v>14</v>
      </c>
      <c r="C2344" t="s">
        <v>47</v>
      </c>
      <c r="D2344" t="s">
        <v>4625</v>
      </c>
      <c r="E2344">
        <v>0</v>
      </c>
      <c r="F2344" t="s">
        <v>47</v>
      </c>
      <c r="G2344">
        <v>0</v>
      </c>
      <c r="H2344" t="s">
        <v>47</v>
      </c>
      <c r="I2344">
        <v>0</v>
      </c>
      <c r="J2344" t="s">
        <v>47</v>
      </c>
      <c r="K2344">
        <v>0</v>
      </c>
      <c r="L2344" t="s">
        <v>47</v>
      </c>
      <c r="M2344">
        <v>1</v>
      </c>
      <c r="N2344" t="s">
        <v>55</v>
      </c>
      <c r="O2344">
        <v>0</v>
      </c>
      <c r="P2344" t="s">
        <v>47</v>
      </c>
      <c r="Q2344">
        <v>0</v>
      </c>
      <c r="R2344" t="s">
        <v>47</v>
      </c>
      <c r="S2344">
        <v>0</v>
      </c>
      <c r="T2344" t="s">
        <v>47</v>
      </c>
    </row>
    <row r="2345" spans="1:20" x14ac:dyDescent="0.35">
      <c r="A2345" s="1" t="s">
        <v>4726</v>
      </c>
      <c r="B2345" t="s">
        <v>14</v>
      </c>
      <c r="C2345" t="s">
        <v>47</v>
      </c>
      <c r="D2345" t="s">
        <v>4626</v>
      </c>
      <c r="E2345">
        <v>0</v>
      </c>
      <c r="F2345" t="s">
        <v>47</v>
      </c>
      <c r="G2345">
        <v>0</v>
      </c>
      <c r="H2345" t="s">
        <v>47</v>
      </c>
      <c r="I2345">
        <v>0</v>
      </c>
      <c r="J2345" t="s">
        <v>47</v>
      </c>
      <c r="K2345">
        <v>0</v>
      </c>
      <c r="L2345" t="s">
        <v>47</v>
      </c>
      <c r="M2345">
        <v>1</v>
      </c>
      <c r="N2345" t="s">
        <v>55</v>
      </c>
      <c r="O2345">
        <v>0</v>
      </c>
      <c r="P2345" t="s">
        <v>47</v>
      </c>
      <c r="Q2345">
        <v>0</v>
      </c>
      <c r="R2345" t="s">
        <v>47</v>
      </c>
      <c r="S2345">
        <v>0</v>
      </c>
      <c r="T2345" t="s">
        <v>47</v>
      </c>
    </row>
    <row r="2346" spans="1:20" x14ac:dyDescent="0.35">
      <c r="A2346" s="1" t="s">
        <v>4727</v>
      </c>
      <c r="B2346" t="s">
        <v>14</v>
      </c>
      <c r="C2346" t="s">
        <v>47</v>
      </c>
      <c r="D2346" t="s">
        <v>4627</v>
      </c>
      <c r="E2346">
        <v>0</v>
      </c>
      <c r="F2346" t="s">
        <v>47</v>
      </c>
      <c r="G2346">
        <v>0</v>
      </c>
      <c r="H2346" t="s">
        <v>47</v>
      </c>
      <c r="I2346">
        <v>0</v>
      </c>
      <c r="J2346" t="s">
        <v>47</v>
      </c>
      <c r="K2346">
        <v>0</v>
      </c>
      <c r="L2346" t="s">
        <v>47</v>
      </c>
      <c r="M2346">
        <v>0</v>
      </c>
      <c r="N2346" t="s">
        <v>47</v>
      </c>
      <c r="O2346">
        <v>1</v>
      </c>
      <c r="P2346" t="s">
        <v>55</v>
      </c>
      <c r="Q2346">
        <v>0</v>
      </c>
      <c r="R2346" t="s">
        <v>47</v>
      </c>
      <c r="S2346">
        <v>0</v>
      </c>
      <c r="T2346" t="s">
        <v>47</v>
      </c>
    </row>
    <row r="2347" spans="1:20" x14ac:dyDescent="0.35">
      <c r="A2347" s="1" t="s">
        <v>4728</v>
      </c>
      <c r="B2347" t="s">
        <v>14</v>
      </c>
      <c r="C2347" t="s">
        <v>47</v>
      </c>
      <c r="D2347" t="s">
        <v>4628</v>
      </c>
      <c r="E2347">
        <v>0</v>
      </c>
      <c r="F2347" t="s">
        <v>47</v>
      </c>
      <c r="G2347">
        <v>0</v>
      </c>
      <c r="H2347" t="s">
        <v>47</v>
      </c>
      <c r="I2347">
        <v>0</v>
      </c>
      <c r="J2347" t="s">
        <v>47</v>
      </c>
      <c r="K2347">
        <v>0</v>
      </c>
      <c r="L2347" t="s">
        <v>47</v>
      </c>
      <c r="M2347">
        <v>0</v>
      </c>
      <c r="N2347" t="s">
        <v>47</v>
      </c>
      <c r="O2347">
        <v>1</v>
      </c>
      <c r="P2347" t="s">
        <v>55</v>
      </c>
      <c r="Q2347">
        <v>0</v>
      </c>
      <c r="R2347" t="s">
        <v>47</v>
      </c>
      <c r="S2347">
        <v>0</v>
      </c>
      <c r="T2347" t="s">
        <v>47</v>
      </c>
    </row>
    <row r="2348" spans="1:20" x14ac:dyDescent="0.35">
      <c r="A2348" s="1" t="s">
        <v>4729</v>
      </c>
      <c r="B2348" t="s">
        <v>14</v>
      </c>
      <c r="C2348" t="s">
        <v>47</v>
      </c>
      <c r="D2348" t="s">
        <v>4629</v>
      </c>
      <c r="E2348">
        <v>0</v>
      </c>
      <c r="F2348" t="s">
        <v>47</v>
      </c>
      <c r="G2348">
        <v>0</v>
      </c>
      <c r="H2348" t="s">
        <v>47</v>
      </c>
      <c r="I2348">
        <v>0</v>
      </c>
      <c r="J2348" t="s">
        <v>47</v>
      </c>
      <c r="K2348">
        <v>0</v>
      </c>
      <c r="L2348" t="s">
        <v>47</v>
      </c>
      <c r="M2348">
        <v>0</v>
      </c>
      <c r="N2348" t="s">
        <v>47</v>
      </c>
      <c r="O2348">
        <v>1</v>
      </c>
      <c r="P2348" t="s">
        <v>55</v>
      </c>
      <c r="Q2348">
        <v>0</v>
      </c>
      <c r="R2348" t="s">
        <v>47</v>
      </c>
      <c r="S2348">
        <v>0</v>
      </c>
      <c r="T2348" t="s">
        <v>47</v>
      </c>
    </row>
    <row r="2349" spans="1:20" x14ac:dyDescent="0.35">
      <c r="A2349" s="1" t="s">
        <v>4730</v>
      </c>
      <c r="B2349" t="s">
        <v>14</v>
      </c>
      <c r="C2349" t="s">
        <v>47</v>
      </c>
      <c r="D2349" t="s">
        <v>4630</v>
      </c>
      <c r="E2349">
        <v>0</v>
      </c>
      <c r="F2349" t="s">
        <v>47</v>
      </c>
      <c r="G2349">
        <v>0</v>
      </c>
      <c r="H2349" t="s">
        <v>47</v>
      </c>
      <c r="I2349">
        <v>0</v>
      </c>
      <c r="J2349" t="s">
        <v>47</v>
      </c>
      <c r="K2349">
        <v>0</v>
      </c>
      <c r="L2349" t="s">
        <v>47</v>
      </c>
      <c r="M2349">
        <v>0</v>
      </c>
      <c r="N2349" t="s">
        <v>47</v>
      </c>
      <c r="O2349">
        <v>0</v>
      </c>
      <c r="P2349" t="s">
        <v>47</v>
      </c>
      <c r="Q2349">
        <v>1</v>
      </c>
      <c r="R2349" t="s">
        <v>55</v>
      </c>
      <c r="S2349">
        <v>0</v>
      </c>
      <c r="T2349" t="s">
        <v>47</v>
      </c>
    </row>
    <row r="2350" spans="1:20" x14ac:dyDescent="0.35">
      <c r="A2350" s="1" t="s">
        <v>4731</v>
      </c>
      <c r="B2350" t="s">
        <v>14</v>
      </c>
      <c r="C2350" t="s">
        <v>47</v>
      </c>
      <c r="D2350" t="s">
        <v>4631</v>
      </c>
      <c r="E2350">
        <v>0</v>
      </c>
      <c r="F2350" t="s">
        <v>47</v>
      </c>
      <c r="G2350">
        <v>0</v>
      </c>
      <c r="H2350" t="s">
        <v>47</v>
      </c>
      <c r="I2350">
        <v>0</v>
      </c>
      <c r="J2350" t="s">
        <v>47</v>
      </c>
      <c r="K2350">
        <v>0</v>
      </c>
      <c r="L2350" t="s">
        <v>47</v>
      </c>
      <c r="M2350">
        <v>0</v>
      </c>
      <c r="N2350" t="s">
        <v>47</v>
      </c>
      <c r="O2350">
        <v>0</v>
      </c>
      <c r="P2350" t="s">
        <v>47</v>
      </c>
      <c r="Q2350">
        <v>1</v>
      </c>
      <c r="R2350" t="s">
        <v>55</v>
      </c>
      <c r="S2350">
        <v>0</v>
      </c>
      <c r="T2350" t="s">
        <v>47</v>
      </c>
    </row>
    <row r="2351" spans="1:20" x14ac:dyDescent="0.35">
      <c r="A2351" s="1" t="s">
        <v>4732</v>
      </c>
      <c r="B2351" t="s">
        <v>14</v>
      </c>
      <c r="C2351" t="s">
        <v>47</v>
      </c>
      <c r="D2351" t="s">
        <v>4632</v>
      </c>
      <c r="E2351">
        <v>0</v>
      </c>
      <c r="F2351" t="s">
        <v>47</v>
      </c>
      <c r="G2351">
        <v>0</v>
      </c>
      <c r="H2351" t="s">
        <v>47</v>
      </c>
      <c r="I2351">
        <v>0</v>
      </c>
      <c r="J2351" t="s">
        <v>47</v>
      </c>
      <c r="K2351">
        <v>0</v>
      </c>
      <c r="L2351" t="s">
        <v>47</v>
      </c>
      <c r="M2351">
        <v>0</v>
      </c>
      <c r="N2351" t="s">
        <v>47</v>
      </c>
      <c r="O2351">
        <v>0</v>
      </c>
      <c r="P2351" t="s">
        <v>47</v>
      </c>
      <c r="Q2351">
        <v>1</v>
      </c>
      <c r="R2351" t="s">
        <v>55</v>
      </c>
      <c r="S2351">
        <v>0</v>
      </c>
      <c r="T2351" t="s">
        <v>47</v>
      </c>
    </row>
    <row r="2352" spans="1:20" x14ac:dyDescent="0.35">
      <c r="A2352" s="1" t="s">
        <v>4733</v>
      </c>
      <c r="B2352" t="s">
        <v>14</v>
      </c>
      <c r="C2352" t="s">
        <v>47</v>
      </c>
      <c r="D2352" t="s">
        <v>4633</v>
      </c>
      <c r="E2352">
        <v>0</v>
      </c>
      <c r="F2352" t="s">
        <v>47</v>
      </c>
      <c r="G2352">
        <v>0</v>
      </c>
      <c r="H2352" t="s">
        <v>47</v>
      </c>
      <c r="I2352">
        <v>0</v>
      </c>
      <c r="J2352" t="s">
        <v>47</v>
      </c>
      <c r="K2352">
        <v>0</v>
      </c>
      <c r="L2352" t="s">
        <v>47</v>
      </c>
      <c r="M2352">
        <v>0</v>
      </c>
      <c r="N2352" t="s">
        <v>47</v>
      </c>
      <c r="O2352">
        <v>0</v>
      </c>
      <c r="P2352" t="s">
        <v>47</v>
      </c>
      <c r="Q2352">
        <v>0</v>
      </c>
      <c r="R2352" t="s">
        <v>47</v>
      </c>
      <c r="S2352">
        <v>1</v>
      </c>
      <c r="T2352" t="s">
        <v>55</v>
      </c>
    </row>
    <row r="2353" spans="1:20" x14ac:dyDescent="0.35">
      <c r="A2353" s="1" t="s">
        <v>4734</v>
      </c>
      <c r="B2353" t="s">
        <v>14</v>
      </c>
      <c r="C2353" t="s">
        <v>47</v>
      </c>
      <c r="D2353" t="s">
        <v>4634</v>
      </c>
      <c r="E2353">
        <v>0</v>
      </c>
      <c r="F2353" t="s">
        <v>47</v>
      </c>
      <c r="G2353">
        <v>0</v>
      </c>
      <c r="H2353" t="s">
        <v>47</v>
      </c>
      <c r="I2353">
        <v>0</v>
      </c>
      <c r="J2353" t="s">
        <v>47</v>
      </c>
      <c r="K2353">
        <v>0</v>
      </c>
      <c r="L2353" t="s">
        <v>47</v>
      </c>
      <c r="M2353">
        <v>0</v>
      </c>
      <c r="N2353" t="s">
        <v>47</v>
      </c>
      <c r="O2353">
        <v>0</v>
      </c>
      <c r="P2353" t="s">
        <v>47</v>
      </c>
      <c r="Q2353">
        <v>0</v>
      </c>
      <c r="R2353" t="s">
        <v>47</v>
      </c>
      <c r="S2353">
        <v>1</v>
      </c>
      <c r="T2353" t="s">
        <v>55</v>
      </c>
    </row>
    <row r="2354" spans="1:20" x14ac:dyDescent="0.35">
      <c r="A2354" s="1" t="s">
        <v>4735</v>
      </c>
      <c r="B2354" t="s">
        <v>14</v>
      </c>
      <c r="C2354" t="s">
        <v>47</v>
      </c>
      <c r="D2354" t="s">
        <v>4635</v>
      </c>
      <c r="E2354">
        <v>0</v>
      </c>
      <c r="F2354" t="s">
        <v>47</v>
      </c>
      <c r="G2354">
        <v>0</v>
      </c>
      <c r="H2354" t="s">
        <v>47</v>
      </c>
      <c r="I2354">
        <v>0</v>
      </c>
      <c r="J2354" t="s">
        <v>47</v>
      </c>
      <c r="K2354">
        <v>0</v>
      </c>
      <c r="L2354" t="s">
        <v>47</v>
      </c>
      <c r="M2354">
        <v>0</v>
      </c>
      <c r="N2354" t="s">
        <v>47</v>
      </c>
      <c r="O2354">
        <v>0</v>
      </c>
      <c r="P2354" t="s">
        <v>47</v>
      </c>
      <c r="Q2354">
        <v>0</v>
      </c>
      <c r="R2354" t="s">
        <v>47</v>
      </c>
      <c r="S2354">
        <v>1</v>
      </c>
      <c r="T2354" t="s">
        <v>55</v>
      </c>
    </row>
    <row r="2355" spans="1:20" x14ac:dyDescent="0.35">
      <c r="A2355" s="1" t="s">
        <v>4736</v>
      </c>
      <c r="B2355" t="s">
        <v>12</v>
      </c>
      <c r="C2355" t="s">
        <v>47</v>
      </c>
      <c r="D2355" t="s">
        <v>4636</v>
      </c>
      <c r="E2355">
        <v>1</v>
      </c>
      <c r="F2355" t="s">
        <v>55</v>
      </c>
      <c r="G2355">
        <v>0</v>
      </c>
      <c r="H2355" t="s">
        <v>47</v>
      </c>
      <c r="I2355">
        <v>0</v>
      </c>
      <c r="J2355" t="s">
        <v>47</v>
      </c>
      <c r="K2355">
        <v>0</v>
      </c>
      <c r="L2355" t="s">
        <v>47</v>
      </c>
      <c r="M2355">
        <v>0</v>
      </c>
      <c r="N2355" t="s">
        <v>47</v>
      </c>
      <c r="O2355">
        <v>0</v>
      </c>
      <c r="P2355" t="s">
        <v>47</v>
      </c>
      <c r="Q2355">
        <v>0</v>
      </c>
      <c r="R2355" t="s">
        <v>47</v>
      </c>
      <c r="S2355">
        <v>0</v>
      </c>
      <c r="T2355" t="s">
        <v>47</v>
      </c>
    </row>
    <row r="2356" spans="1:20" x14ac:dyDescent="0.35">
      <c r="A2356" s="1" t="s">
        <v>4737</v>
      </c>
      <c r="B2356" t="s">
        <v>12</v>
      </c>
      <c r="C2356" t="s">
        <v>47</v>
      </c>
      <c r="D2356" t="s">
        <v>4637</v>
      </c>
      <c r="E2356">
        <v>1</v>
      </c>
      <c r="F2356" t="s">
        <v>55</v>
      </c>
      <c r="G2356">
        <v>0</v>
      </c>
      <c r="H2356" t="s">
        <v>47</v>
      </c>
      <c r="I2356">
        <v>0</v>
      </c>
      <c r="J2356" t="s">
        <v>47</v>
      </c>
      <c r="K2356">
        <v>0</v>
      </c>
      <c r="L2356" t="s">
        <v>47</v>
      </c>
      <c r="M2356">
        <v>0</v>
      </c>
      <c r="N2356" t="s">
        <v>47</v>
      </c>
      <c r="O2356">
        <v>0</v>
      </c>
      <c r="P2356" t="s">
        <v>47</v>
      </c>
      <c r="Q2356">
        <v>0</v>
      </c>
      <c r="R2356" t="s">
        <v>47</v>
      </c>
      <c r="S2356">
        <v>0</v>
      </c>
      <c r="T2356" t="s">
        <v>47</v>
      </c>
    </row>
    <row r="2357" spans="1:20" x14ac:dyDescent="0.35">
      <c r="A2357" s="1" t="s">
        <v>4738</v>
      </c>
      <c r="B2357" t="s">
        <v>12</v>
      </c>
      <c r="C2357" t="s">
        <v>47</v>
      </c>
      <c r="D2357" t="s">
        <v>4638</v>
      </c>
      <c r="E2357">
        <v>1</v>
      </c>
      <c r="F2357" t="s">
        <v>55</v>
      </c>
      <c r="G2357">
        <v>0</v>
      </c>
      <c r="H2357" t="s">
        <v>47</v>
      </c>
      <c r="I2357">
        <v>0</v>
      </c>
      <c r="J2357" t="s">
        <v>47</v>
      </c>
      <c r="K2357">
        <v>0</v>
      </c>
      <c r="L2357" t="s">
        <v>47</v>
      </c>
      <c r="M2357">
        <v>0</v>
      </c>
      <c r="N2357" t="s">
        <v>47</v>
      </c>
      <c r="O2357">
        <v>0</v>
      </c>
      <c r="P2357" t="s">
        <v>47</v>
      </c>
      <c r="Q2357">
        <v>0</v>
      </c>
      <c r="R2357" t="s">
        <v>47</v>
      </c>
      <c r="S2357">
        <v>0</v>
      </c>
      <c r="T2357" t="s">
        <v>47</v>
      </c>
    </row>
    <row r="2358" spans="1:20" x14ac:dyDescent="0.35">
      <c r="A2358" s="1" t="s">
        <v>4739</v>
      </c>
      <c r="B2358" t="s">
        <v>12</v>
      </c>
      <c r="C2358" t="s">
        <v>47</v>
      </c>
      <c r="D2358" t="s">
        <v>4639</v>
      </c>
      <c r="E2358">
        <v>0</v>
      </c>
      <c r="F2358" t="s">
        <v>47</v>
      </c>
      <c r="G2358">
        <v>1</v>
      </c>
      <c r="H2358" t="s">
        <v>55</v>
      </c>
      <c r="I2358">
        <v>0</v>
      </c>
      <c r="J2358" t="s">
        <v>47</v>
      </c>
      <c r="K2358">
        <v>0</v>
      </c>
      <c r="L2358" t="s">
        <v>47</v>
      </c>
      <c r="M2358">
        <v>0</v>
      </c>
      <c r="N2358" t="s">
        <v>47</v>
      </c>
      <c r="O2358">
        <v>0</v>
      </c>
      <c r="P2358" t="s">
        <v>47</v>
      </c>
      <c r="Q2358">
        <v>0</v>
      </c>
      <c r="R2358" t="s">
        <v>47</v>
      </c>
      <c r="S2358">
        <v>0</v>
      </c>
      <c r="T2358" t="s">
        <v>47</v>
      </c>
    </row>
    <row r="2359" spans="1:20" x14ac:dyDescent="0.35">
      <c r="A2359" s="1" t="s">
        <v>4740</v>
      </c>
      <c r="B2359" t="s">
        <v>12</v>
      </c>
      <c r="C2359" t="s">
        <v>47</v>
      </c>
      <c r="D2359" t="s">
        <v>4640</v>
      </c>
      <c r="E2359">
        <v>0</v>
      </c>
      <c r="F2359" t="s">
        <v>47</v>
      </c>
      <c r="G2359">
        <v>1</v>
      </c>
      <c r="H2359" t="s">
        <v>55</v>
      </c>
      <c r="I2359">
        <v>0</v>
      </c>
      <c r="J2359" t="s">
        <v>47</v>
      </c>
      <c r="K2359">
        <v>0</v>
      </c>
      <c r="L2359" t="s">
        <v>47</v>
      </c>
      <c r="M2359">
        <v>0</v>
      </c>
      <c r="N2359" t="s">
        <v>47</v>
      </c>
      <c r="O2359">
        <v>0</v>
      </c>
      <c r="P2359" t="s">
        <v>47</v>
      </c>
      <c r="Q2359">
        <v>0</v>
      </c>
      <c r="R2359" t="s">
        <v>47</v>
      </c>
      <c r="S2359">
        <v>0</v>
      </c>
      <c r="T2359" t="s">
        <v>47</v>
      </c>
    </row>
    <row r="2360" spans="1:20" x14ac:dyDescent="0.35">
      <c r="A2360" s="1" t="s">
        <v>4741</v>
      </c>
      <c r="B2360" t="s">
        <v>12</v>
      </c>
      <c r="C2360" t="s">
        <v>47</v>
      </c>
      <c r="D2360" t="s">
        <v>4641</v>
      </c>
      <c r="E2360">
        <v>0</v>
      </c>
      <c r="F2360" t="s">
        <v>47</v>
      </c>
      <c r="G2360">
        <v>1</v>
      </c>
      <c r="H2360" t="s">
        <v>55</v>
      </c>
      <c r="I2360">
        <v>0</v>
      </c>
      <c r="J2360" t="s">
        <v>47</v>
      </c>
      <c r="K2360">
        <v>0</v>
      </c>
      <c r="L2360" t="s">
        <v>47</v>
      </c>
      <c r="M2360">
        <v>0</v>
      </c>
      <c r="N2360" t="s">
        <v>47</v>
      </c>
      <c r="O2360">
        <v>0</v>
      </c>
      <c r="P2360" t="s">
        <v>47</v>
      </c>
      <c r="Q2360">
        <v>0</v>
      </c>
      <c r="R2360" t="s">
        <v>47</v>
      </c>
      <c r="S2360">
        <v>0</v>
      </c>
      <c r="T2360" t="s">
        <v>47</v>
      </c>
    </row>
    <row r="2361" spans="1:20" x14ac:dyDescent="0.35">
      <c r="A2361" s="1" t="s">
        <v>4742</v>
      </c>
      <c r="B2361" t="s">
        <v>12</v>
      </c>
      <c r="C2361" t="s">
        <v>47</v>
      </c>
      <c r="D2361" t="s">
        <v>4642</v>
      </c>
      <c r="E2361">
        <v>0</v>
      </c>
      <c r="F2361" t="s">
        <v>47</v>
      </c>
      <c r="G2361">
        <v>0</v>
      </c>
      <c r="H2361" t="s">
        <v>47</v>
      </c>
      <c r="I2361">
        <v>1</v>
      </c>
      <c r="J2361" t="s">
        <v>55</v>
      </c>
      <c r="K2361">
        <v>0</v>
      </c>
      <c r="L2361" t="s">
        <v>47</v>
      </c>
      <c r="M2361">
        <v>0</v>
      </c>
      <c r="N2361" t="s">
        <v>47</v>
      </c>
      <c r="O2361">
        <v>0</v>
      </c>
      <c r="P2361" t="s">
        <v>47</v>
      </c>
      <c r="Q2361">
        <v>0</v>
      </c>
      <c r="R2361" t="s">
        <v>47</v>
      </c>
      <c r="S2361">
        <v>0</v>
      </c>
      <c r="T2361" t="s">
        <v>47</v>
      </c>
    </row>
    <row r="2362" spans="1:20" x14ac:dyDescent="0.35">
      <c r="A2362" s="1" t="s">
        <v>4743</v>
      </c>
      <c r="B2362" t="s">
        <v>12</v>
      </c>
      <c r="C2362" t="s">
        <v>47</v>
      </c>
      <c r="D2362" t="s">
        <v>4643</v>
      </c>
      <c r="E2362">
        <v>0</v>
      </c>
      <c r="F2362" t="s">
        <v>47</v>
      </c>
      <c r="G2362">
        <v>0</v>
      </c>
      <c r="H2362" t="s">
        <v>47</v>
      </c>
      <c r="I2362">
        <v>1</v>
      </c>
      <c r="J2362" t="s">
        <v>55</v>
      </c>
      <c r="K2362">
        <v>0</v>
      </c>
      <c r="L2362" t="s">
        <v>47</v>
      </c>
      <c r="M2362">
        <v>0</v>
      </c>
      <c r="N2362" t="s">
        <v>47</v>
      </c>
      <c r="O2362">
        <v>0</v>
      </c>
      <c r="P2362" t="s">
        <v>47</v>
      </c>
      <c r="Q2362">
        <v>0</v>
      </c>
      <c r="R2362" t="s">
        <v>47</v>
      </c>
      <c r="S2362">
        <v>0</v>
      </c>
      <c r="T2362" t="s">
        <v>47</v>
      </c>
    </row>
    <row r="2363" spans="1:20" x14ac:dyDescent="0.35">
      <c r="A2363" s="1" t="s">
        <v>4744</v>
      </c>
      <c r="B2363" t="s">
        <v>12</v>
      </c>
      <c r="C2363" t="s">
        <v>47</v>
      </c>
      <c r="D2363" t="s">
        <v>4644</v>
      </c>
      <c r="E2363">
        <v>0</v>
      </c>
      <c r="F2363" t="s">
        <v>47</v>
      </c>
      <c r="G2363">
        <v>0</v>
      </c>
      <c r="H2363" t="s">
        <v>47</v>
      </c>
      <c r="I2363">
        <v>1</v>
      </c>
      <c r="J2363" t="s">
        <v>55</v>
      </c>
      <c r="K2363">
        <v>0</v>
      </c>
      <c r="L2363" t="s">
        <v>47</v>
      </c>
      <c r="M2363">
        <v>0</v>
      </c>
      <c r="N2363" t="s">
        <v>47</v>
      </c>
      <c r="O2363">
        <v>0</v>
      </c>
      <c r="P2363" t="s">
        <v>47</v>
      </c>
      <c r="Q2363">
        <v>0</v>
      </c>
      <c r="R2363" t="s">
        <v>47</v>
      </c>
      <c r="S2363">
        <v>0</v>
      </c>
      <c r="T2363" t="s">
        <v>47</v>
      </c>
    </row>
    <row r="2364" spans="1:20" x14ac:dyDescent="0.35">
      <c r="A2364" s="1" t="s">
        <v>4745</v>
      </c>
      <c r="B2364" t="s">
        <v>12</v>
      </c>
      <c r="C2364" t="s">
        <v>47</v>
      </c>
      <c r="D2364" t="s">
        <v>4645</v>
      </c>
      <c r="E2364">
        <v>0</v>
      </c>
      <c r="F2364" t="s">
        <v>47</v>
      </c>
      <c r="G2364">
        <v>0</v>
      </c>
      <c r="H2364" t="s">
        <v>47</v>
      </c>
      <c r="I2364">
        <v>0</v>
      </c>
      <c r="J2364" t="s">
        <v>47</v>
      </c>
      <c r="K2364">
        <v>1</v>
      </c>
      <c r="L2364" t="s">
        <v>55</v>
      </c>
      <c r="M2364">
        <v>0</v>
      </c>
      <c r="N2364" t="s">
        <v>47</v>
      </c>
      <c r="O2364">
        <v>0</v>
      </c>
      <c r="P2364" t="s">
        <v>47</v>
      </c>
      <c r="Q2364">
        <v>0</v>
      </c>
      <c r="R2364" t="s">
        <v>47</v>
      </c>
      <c r="S2364">
        <v>0</v>
      </c>
      <c r="T2364" t="s">
        <v>47</v>
      </c>
    </row>
    <row r="2365" spans="1:20" x14ac:dyDescent="0.35">
      <c r="A2365" s="1" t="s">
        <v>4746</v>
      </c>
      <c r="B2365" t="s">
        <v>12</v>
      </c>
      <c r="C2365" t="s">
        <v>47</v>
      </c>
      <c r="D2365" t="s">
        <v>4646</v>
      </c>
      <c r="E2365">
        <v>0</v>
      </c>
      <c r="F2365" t="s">
        <v>47</v>
      </c>
      <c r="G2365">
        <v>0</v>
      </c>
      <c r="H2365" t="s">
        <v>47</v>
      </c>
      <c r="I2365">
        <v>0</v>
      </c>
      <c r="J2365" t="s">
        <v>47</v>
      </c>
      <c r="K2365">
        <v>1</v>
      </c>
      <c r="L2365" t="s">
        <v>55</v>
      </c>
      <c r="M2365">
        <v>0</v>
      </c>
      <c r="N2365" t="s">
        <v>47</v>
      </c>
      <c r="O2365">
        <v>0</v>
      </c>
      <c r="P2365" t="s">
        <v>47</v>
      </c>
      <c r="Q2365">
        <v>0</v>
      </c>
      <c r="R2365" t="s">
        <v>47</v>
      </c>
      <c r="S2365">
        <v>0</v>
      </c>
      <c r="T2365" t="s">
        <v>47</v>
      </c>
    </row>
    <row r="2366" spans="1:20" x14ac:dyDescent="0.35">
      <c r="A2366" s="1" t="s">
        <v>4747</v>
      </c>
      <c r="B2366" t="s">
        <v>12</v>
      </c>
      <c r="C2366" t="s">
        <v>47</v>
      </c>
      <c r="D2366" t="s">
        <v>4647</v>
      </c>
      <c r="E2366">
        <v>0</v>
      </c>
      <c r="F2366" t="s">
        <v>47</v>
      </c>
      <c r="G2366">
        <v>0</v>
      </c>
      <c r="H2366" t="s">
        <v>47</v>
      </c>
      <c r="I2366">
        <v>0</v>
      </c>
      <c r="J2366" t="s">
        <v>47</v>
      </c>
      <c r="K2366">
        <v>1</v>
      </c>
      <c r="L2366" t="s">
        <v>55</v>
      </c>
      <c r="M2366">
        <v>0</v>
      </c>
      <c r="N2366" t="s">
        <v>47</v>
      </c>
      <c r="O2366">
        <v>0</v>
      </c>
      <c r="P2366" t="s">
        <v>47</v>
      </c>
      <c r="Q2366">
        <v>0</v>
      </c>
      <c r="R2366" t="s">
        <v>47</v>
      </c>
      <c r="S2366">
        <v>0</v>
      </c>
      <c r="T2366" t="s">
        <v>47</v>
      </c>
    </row>
    <row r="2367" spans="1:20" x14ac:dyDescent="0.35">
      <c r="A2367" s="1" t="s">
        <v>4748</v>
      </c>
      <c r="B2367" t="s">
        <v>12</v>
      </c>
      <c r="C2367" t="s">
        <v>47</v>
      </c>
      <c r="D2367" t="s">
        <v>4648</v>
      </c>
      <c r="E2367">
        <v>0</v>
      </c>
      <c r="F2367" t="s">
        <v>47</v>
      </c>
      <c r="G2367">
        <v>0</v>
      </c>
      <c r="H2367" t="s">
        <v>47</v>
      </c>
      <c r="I2367">
        <v>0</v>
      </c>
      <c r="J2367" t="s">
        <v>47</v>
      </c>
      <c r="K2367">
        <v>0</v>
      </c>
      <c r="L2367" t="s">
        <v>47</v>
      </c>
      <c r="M2367">
        <v>1</v>
      </c>
      <c r="N2367" t="s">
        <v>55</v>
      </c>
      <c r="O2367">
        <v>0</v>
      </c>
      <c r="P2367" t="s">
        <v>47</v>
      </c>
      <c r="Q2367">
        <v>0</v>
      </c>
      <c r="R2367" t="s">
        <v>47</v>
      </c>
      <c r="S2367">
        <v>0</v>
      </c>
      <c r="T2367" t="s">
        <v>47</v>
      </c>
    </row>
    <row r="2368" spans="1:20" x14ac:dyDescent="0.35">
      <c r="A2368" s="1" t="s">
        <v>4749</v>
      </c>
      <c r="B2368" t="s">
        <v>12</v>
      </c>
      <c r="C2368" t="s">
        <v>47</v>
      </c>
      <c r="D2368" t="s">
        <v>4649</v>
      </c>
      <c r="E2368">
        <v>0</v>
      </c>
      <c r="F2368" t="s">
        <v>47</v>
      </c>
      <c r="G2368">
        <v>0</v>
      </c>
      <c r="H2368" t="s">
        <v>47</v>
      </c>
      <c r="I2368">
        <v>0</v>
      </c>
      <c r="J2368" t="s">
        <v>47</v>
      </c>
      <c r="K2368">
        <v>0</v>
      </c>
      <c r="L2368" t="s">
        <v>47</v>
      </c>
      <c r="M2368">
        <v>1</v>
      </c>
      <c r="N2368" t="s">
        <v>55</v>
      </c>
      <c r="O2368">
        <v>0</v>
      </c>
      <c r="P2368" t="s">
        <v>47</v>
      </c>
      <c r="Q2368">
        <v>0</v>
      </c>
      <c r="R2368" t="s">
        <v>47</v>
      </c>
      <c r="S2368">
        <v>0</v>
      </c>
      <c r="T2368" t="s">
        <v>47</v>
      </c>
    </row>
    <row r="2369" spans="1:20" x14ac:dyDescent="0.35">
      <c r="A2369" s="1" t="s">
        <v>4750</v>
      </c>
      <c r="B2369" t="s">
        <v>12</v>
      </c>
      <c r="C2369" t="s">
        <v>47</v>
      </c>
      <c r="D2369" t="s">
        <v>4650</v>
      </c>
      <c r="E2369">
        <v>0</v>
      </c>
      <c r="F2369" t="s">
        <v>47</v>
      </c>
      <c r="G2369">
        <v>0</v>
      </c>
      <c r="H2369" t="s">
        <v>47</v>
      </c>
      <c r="I2369">
        <v>0</v>
      </c>
      <c r="J2369" t="s">
        <v>47</v>
      </c>
      <c r="K2369">
        <v>0</v>
      </c>
      <c r="L2369" t="s">
        <v>47</v>
      </c>
      <c r="M2369">
        <v>1</v>
      </c>
      <c r="N2369" t="s">
        <v>55</v>
      </c>
      <c r="O2369">
        <v>0</v>
      </c>
      <c r="P2369" t="s">
        <v>47</v>
      </c>
      <c r="Q2369">
        <v>0</v>
      </c>
      <c r="R2369" t="s">
        <v>47</v>
      </c>
      <c r="S2369">
        <v>0</v>
      </c>
      <c r="T2369" t="s">
        <v>47</v>
      </c>
    </row>
    <row r="2370" spans="1:20" x14ac:dyDescent="0.35">
      <c r="A2370" s="1" t="s">
        <v>4751</v>
      </c>
      <c r="B2370" t="s">
        <v>12</v>
      </c>
      <c r="C2370" t="s">
        <v>47</v>
      </c>
      <c r="D2370" t="s">
        <v>4651</v>
      </c>
      <c r="E2370">
        <v>0</v>
      </c>
      <c r="F2370" t="s">
        <v>47</v>
      </c>
      <c r="G2370">
        <v>0</v>
      </c>
      <c r="H2370" t="s">
        <v>47</v>
      </c>
      <c r="I2370">
        <v>0</v>
      </c>
      <c r="J2370" t="s">
        <v>47</v>
      </c>
      <c r="K2370">
        <v>0</v>
      </c>
      <c r="L2370" t="s">
        <v>47</v>
      </c>
      <c r="M2370">
        <v>0</v>
      </c>
      <c r="N2370" t="s">
        <v>47</v>
      </c>
      <c r="O2370">
        <v>1</v>
      </c>
      <c r="P2370" t="s">
        <v>55</v>
      </c>
      <c r="Q2370">
        <v>0</v>
      </c>
      <c r="R2370" t="s">
        <v>47</v>
      </c>
      <c r="S2370">
        <v>0</v>
      </c>
      <c r="T2370" t="s">
        <v>47</v>
      </c>
    </row>
    <row r="2371" spans="1:20" x14ac:dyDescent="0.35">
      <c r="A2371" s="1" t="s">
        <v>4752</v>
      </c>
      <c r="B2371" t="s">
        <v>12</v>
      </c>
      <c r="C2371" t="s">
        <v>47</v>
      </c>
      <c r="D2371" t="s">
        <v>4652</v>
      </c>
      <c r="E2371">
        <v>0</v>
      </c>
      <c r="F2371" t="s">
        <v>47</v>
      </c>
      <c r="G2371">
        <v>0</v>
      </c>
      <c r="H2371" t="s">
        <v>47</v>
      </c>
      <c r="I2371">
        <v>0</v>
      </c>
      <c r="J2371" t="s">
        <v>47</v>
      </c>
      <c r="K2371">
        <v>0</v>
      </c>
      <c r="L2371" t="s">
        <v>47</v>
      </c>
      <c r="M2371">
        <v>0</v>
      </c>
      <c r="N2371" t="s">
        <v>47</v>
      </c>
      <c r="O2371">
        <v>1</v>
      </c>
      <c r="P2371" t="s">
        <v>55</v>
      </c>
      <c r="Q2371">
        <v>0</v>
      </c>
      <c r="R2371" t="s">
        <v>47</v>
      </c>
      <c r="S2371">
        <v>0</v>
      </c>
      <c r="T2371" t="s">
        <v>47</v>
      </c>
    </row>
    <row r="2372" spans="1:20" x14ac:dyDescent="0.35">
      <c r="A2372" s="1" t="s">
        <v>4753</v>
      </c>
      <c r="B2372" t="s">
        <v>12</v>
      </c>
      <c r="C2372" t="s">
        <v>47</v>
      </c>
      <c r="D2372" t="s">
        <v>4653</v>
      </c>
      <c r="E2372">
        <v>0</v>
      </c>
      <c r="F2372" t="s">
        <v>47</v>
      </c>
      <c r="G2372">
        <v>0</v>
      </c>
      <c r="H2372" t="s">
        <v>47</v>
      </c>
      <c r="I2372">
        <v>0</v>
      </c>
      <c r="J2372" t="s">
        <v>47</v>
      </c>
      <c r="K2372">
        <v>0</v>
      </c>
      <c r="L2372" t="s">
        <v>47</v>
      </c>
      <c r="M2372">
        <v>0</v>
      </c>
      <c r="N2372" t="s">
        <v>47</v>
      </c>
      <c r="O2372">
        <v>1</v>
      </c>
      <c r="P2372" t="s">
        <v>55</v>
      </c>
      <c r="Q2372">
        <v>0</v>
      </c>
      <c r="R2372" t="s">
        <v>47</v>
      </c>
      <c r="S2372">
        <v>0</v>
      </c>
      <c r="T2372" t="s">
        <v>47</v>
      </c>
    </row>
    <row r="2373" spans="1:20" x14ac:dyDescent="0.35">
      <c r="A2373" s="1" t="s">
        <v>4754</v>
      </c>
      <c r="B2373" t="s">
        <v>12</v>
      </c>
      <c r="C2373" t="s">
        <v>47</v>
      </c>
      <c r="D2373" t="s">
        <v>4654</v>
      </c>
      <c r="E2373">
        <v>0</v>
      </c>
      <c r="F2373" t="s">
        <v>47</v>
      </c>
      <c r="G2373">
        <v>0</v>
      </c>
      <c r="H2373" t="s">
        <v>47</v>
      </c>
      <c r="I2373">
        <v>0</v>
      </c>
      <c r="J2373" t="s">
        <v>47</v>
      </c>
      <c r="K2373">
        <v>0</v>
      </c>
      <c r="L2373" t="s">
        <v>47</v>
      </c>
      <c r="M2373">
        <v>0</v>
      </c>
      <c r="N2373" t="s">
        <v>47</v>
      </c>
      <c r="O2373">
        <v>0</v>
      </c>
      <c r="P2373" t="s">
        <v>47</v>
      </c>
      <c r="Q2373">
        <v>1</v>
      </c>
      <c r="R2373" t="s">
        <v>55</v>
      </c>
      <c r="S2373">
        <v>0</v>
      </c>
      <c r="T2373" t="s">
        <v>47</v>
      </c>
    </row>
    <row r="2374" spans="1:20" x14ac:dyDescent="0.35">
      <c r="A2374" s="1" t="s">
        <v>4755</v>
      </c>
      <c r="B2374" t="s">
        <v>12</v>
      </c>
      <c r="C2374" t="s">
        <v>47</v>
      </c>
      <c r="D2374" t="s">
        <v>4655</v>
      </c>
      <c r="E2374">
        <v>0</v>
      </c>
      <c r="F2374" t="s">
        <v>47</v>
      </c>
      <c r="G2374">
        <v>0</v>
      </c>
      <c r="H2374" t="s">
        <v>47</v>
      </c>
      <c r="I2374">
        <v>0</v>
      </c>
      <c r="J2374" t="s">
        <v>47</v>
      </c>
      <c r="K2374">
        <v>0</v>
      </c>
      <c r="L2374" t="s">
        <v>47</v>
      </c>
      <c r="M2374">
        <v>0</v>
      </c>
      <c r="N2374" t="s">
        <v>47</v>
      </c>
      <c r="O2374">
        <v>0</v>
      </c>
      <c r="P2374" t="s">
        <v>47</v>
      </c>
      <c r="Q2374">
        <v>1</v>
      </c>
      <c r="R2374" t="s">
        <v>55</v>
      </c>
      <c r="S2374">
        <v>0</v>
      </c>
      <c r="T2374" t="s">
        <v>47</v>
      </c>
    </row>
    <row r="2375" spans="1:20" x14ac:dyDescent="0.35">
      <c r="A2375" s="1" t="s">
        <v>4756</v>
      </c>
      <c r="B2375" t="s">
        <v>12</v>
      </c>
      <c r="C2375" t="s">
        <v>47</v>
      </c>
      <c r="D2375" t="s">
        <v>4656</v>
      </c>
      <c r="E2375">
        <v>0</v>
      </c>
      <c r="F2375" t="s">
        <v>47</v>
      </c>
      <c r="G2375">
        <v>0</v>
      </c>
      <c r="H2375" t="s">
        <v>47</v>
      </c>
      <c r="I2375">
        <v>0</v>
      </c>
      <c r="J2375" t="s">
        <v>47</v>
      </c>
      <c r="K2375">
        <v>0</v>
      </c>
      <c r="L2375" t="s">
        <v>47</v>
      </c>
      <c r="M2375">
        <v>0</v>
      </c>
      <c r="N2375" t="s">
        <v>47</v>
      </c>
      <c r="O2375">
        <v>0</v>
      </c>
      <c r="P2375" t="s">
        <v>47</v>
      </c>
      <c r="Q2375">
        <v>1</v>
      </c>
      <c r="R2375" t="s">
        <v>55</v>
      </c>
      <c r="S2375">
        <v>0</v>
      </c>
      <c r="T2375" t="s">
        <v>47</v>
      </c>
    </row>
    <row r="2376" spans="1:20" x14ac:dyDescent="0.35">
      <c r="A2376" s="1" t="s">
        <v>4757</v>
      </c>
      <c r="B2376" t="s">
        <v>12</v>
      </c>
      <c r="C2376" t="s">
        <v>47</v>
      </c>
      <c r="D2376" t="s">
        <v>4657</v>
      </c>
      <c r="E2376">
        <v>0</v>
      </c>
      <c r="F2376" t="s">
        <v>47</v>
      </c>
      <c r="G2376">
        <v>0</v>
      </c>
      <c r="H2376" t="s">
        <v>47</v>
      </c>
      <c r="I2376">
        <v>0</v>
      </c>
      <c r="J2376" t="s">
        <v>47</v>
      </c>
      <c r="K2376">
        <v>0</v>
      </c>
      <c r="L2376" t="s">
        <v>47</v>
      </c>
      <c r="M2376">
        <v>0</v>
      </c>
      <c r="N2376" t="s">
        <v>47</v>
      </c>
      <c r="O2376">
        <v>0</v>
      </c>
      <c r="P2376" t="s">
        <v>47</v>
      </c>
      <c r="Q2376">
        <v>0</v>
      </c>
      <c r="R2376" t="s">
        <v>47</v>
      </c>
      <c r="S2376">
        <v>1</v>
      </c>
      <c r="T2376" t="s">
        <v>55</v>
      </c>
    </row>
    <row r="2377" spans="1:20" x14ac:dyDescent="0.35">
      <c r="A2377" s="1" t="s">
        <v>4758</v>
      </c>
      <c r="B2377" t="s">
        <v>12</v>
      </c>
      <c r="C2377" t="s">
        <v>47</v>
      </c>
      <c r="D2377" t="s">
        <v>4658</v>
      </c>
      <c r="E2377">
        <v>0</v>
      </c>
      <c r="F2377" t="s">
        <v>47</v>
      </c>
      <c r="G2377">
        <v>0</v>
      </c>
      <c r="H2377" t="s">
        <v>47</v>
      </c>
      <c r="I2377">
        <v>0</v>
      </c>
      <c r="J2377" t="s">
        <v>47</v>
      </c>
      <c r="K2377">
        <v>0</v>
      </c>
      <c r="L2377" t="s">
        <v>47</v>
      </c>
      <c r="M2377">
        <v>0</v>
      </c>
      <c r="N2377" t="s">
        <v>47</v>
      </c>
      <c r="O2377">
        <v>0</v>
      </c>
      <c r="P2377" t="s">
        <v>47</v>
      </c>
      <c r="Q2377">
        <v>0</v>
      </c>
      <c r="R2377" t="s">
        <v>47</v>
      </c>
      <c r="S2377">
        <v>1</v>
      </c>
      <c r="T2377" t="s">
        <v>55</v>
      </c>
    </row>
    <row r="2378" spans="1:20" x14ac:dyDescent="0.35">
      <c r="A2378" s="1" t="s">
        <v>4759</v>
      </c>
      <c r="B2378" t="s">
        <v>12</v>
      </c>
      <c r="C2378" t="s">
        <v>47</v>
      </c>
      <c r="D2378" t="s">
        <v>4659</v>
      </c>
      <c r="E2378">
        <v>0</v>
      </c>
      <c r="F2378" t="s">
        <v>47</v>
      </c>
      <c r="G2378">
        <v>0</v>
      </c>
      <c r="H2378" t="s">
        <v>47</v>
      </c>
      <c r="I2378">
        <v>0</v>
      </c>
      <c r="J2378" t="s">
        <v>47</v>
      </c>
      <c r="K2378">
        <v>0</v>
      </c>
      <c r="L2378" t="s">
        <v>47</v>
      </c>
      <c r="M2378">
        <v>0</v>
      </c>
      <c r="N2378" t="s">
        <v>47</v>
      </c>
      <c r="O2378">
        <v>0</v>
      </c>
      <c r="P2378" t="s">
        <v>47</v>
      </c>
      <c r="Q2378">
        <v>0</v>
      </c>
      <c r="R2378" t="s">
        <v>47</v>
      </c>
      <c r="S2378">
        <v>1</v>
      </c>
      <c r="T2378" t="s">
        <v>55</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workbookViewId="0">
      <selection sqref="A1:E1"/>
    </sheetView>
  </sheetViews>
  <sheetFormatPr defaultRowHeight="14.5" x14ac:dyDescent="0.35"/>
  <cols>
    <col min="1" max="1" width="16" customWidth="1"/>
    <col min="2" max="5" width="12" customWidth="1"/>
    <col min="6" max="6" width="4" customWidth="1"/>
  </cols>
  <sheetData>
    <row r="1" spans="1:5" ht="16" customHeight="1" x14ac:dyDescent="0.45">
      <c r="A1" s="26" t="s">
        <v>2633</v>
      </c>
      <c r="B1" s="24"/>
      <c r="C1" s="24"/>
      <c r="D1" s="24"/>
      <c r="E1" s="24"/>
    </row>
    <row r="3" spans="1:5" x14ac:dyDescent="0.35">
      <c r="A3" s="14" t="s">
        <v>258</v>
      </c>
      <c r="B3" s="14"/>
      <c r="C3" s="14"/>
      <c r="D3" s="14"/>
      <c r="E3" s="14"/>
    </row>
    <row r="5" spans="1:5" x14ac:dyDescent="0.35">
      <c r="A5" s="27" t="s">
        <v>259</v>
      </c>
      <c r="B5" s="27"/>
      <c r="C5" s="27"/>
      <c r="D5" s="27"/>
      <c r="E5" s="27"/>
    </row>
    <row r="6" spans="1:5" x14ac:dyDescent="0.35">
      <c r="A6" s="7" t="s">
        <v>6</v>
      </c>
      <c r="B6" s="7" t="s">
        <v>12</v>
      </c>
      <c r="C6" s="7" t="s">
        <v>14</v>
      </c>
      <c r="D6" s="7" t="s">
        <v>16</v>
      </c>
      <c r="E6" s="7" t="s">
        <v>7</v>
      </c>
    </row>
    <row r="7" spans="1:5" x14ac:dyDescent="0.35">
      <c r="A7" s="9" t="s">
        <v>13</v>
      </c>
      <c r="B7" s="10">
        <f>COUNTIFS(Data!$E:$E,1,Data!$B:$B,B$6)</f>
        <v>561</v>
      </c>
      <c r="C7" s="10">
        <f>COUNTIFS(Data!$E:$E,1,Data!$B:$B,C$6)</f>
        <v>409</v>
      </c>
      <c r="D7" s="10">
        <f>COUNTIFS(Data!$E:$E,1,Data!$B:$B,D$6)</f>
        <v>159</v>
      </c>
      <c r="E7" s="10">
        <f t="shared" ref="E7:E14" si="0">SUM(B7:D7)</f>
        <v>1129</v>
      </c>
    </row>
    <row r="8" spans="1:5" x14ac:dyDescent="0.35">
      <c r="A8" s="9" t="s">
        <v>15</v>
      </c>
      <c r="B8" s="10">
        <f>COUNTIFS(Data!$G:$G,1,Data!$B:$B,B$6)</f>
        <v>458</v>
      </c>
      <c r="C8" s="10">
        <f>COUNTIFS(Data!$G:$G,1,Data!$B:$B,C$6)</f>
        <v>426</v>
      </c>
      <c r="D8" s="10">
        <f>COUNTIFS(Data!$G:$G,1,Data!$B:$B,D$6)</f>
        <v>212</v>
      </c>
      <c r="E8" s="10">
        <f t="shared" si="0"/>
        <v>1096</v>
      </c>
    </row>
    <row r="9" spans="1:5" x14ac:dyDescent="0.35">
      <c r="A9" s="9" t="s">
        <v>17</v>
      </c>
      <c r="B9" s="10">
        <f>COUNTIFS(Data!$I:$I,1,Data!$B:$B,B$6)</f>
        <v>224</v>
      </c>
      <c r="C9" s="10">
        <f>COUNTIFS(Data!$I:$I,1,Data!$B:$B,C$6)</f>
        <v>113</v>
      </c>
      <c r="D9" s="10">
        <f>COUNTIFS(Data!$I:$I,1,Data!$B:$B,D$6)</f>
        <v>17</v>
      </c>
      <c r="E9" s="10">
        <f t="shared" si="0"/>
        <v>354</v>
      </c>
    </row>
    <row r="10" spans="1:5" x14ac:dyDescent="0.35">
      <c r="A10" s="9" t="s">
        <v>19</v>
      </c>
      <c r="B10" s="10">
        <f>COUNTIFS(Data!$K:$K,1,Data!$B:$B,B$6)</f>
        <v>212</v>
      </c>
      <c r="C10" s="10">
        <f>COUNTIFS(Data!$K:$K,1,Data!$B:$B,C$6)</f>
        <v>160</v>
      </c>
      <c r="D10" s="10">
        <f>COUNTIFS(Data!$K:$K,1,Data!$B:$B,D$6)</f>
        <v>26</v>
      </c>
      <c r="E10" s="10">
        <f t="shared" si="0"/>
        <v>398</v>
      </c>
    </row>
    <row r="11" spans="1:5" x14ac:dyDescent="0.35">
      <c r="A11" s="9" t="s">
        <v>20</v>
      </c>
      <c r="B11" s="10">
        <f>COUNTIFS(Data!$M:$M,1,Data!$B:$B,B$6)</f>
        <v>217</v>
      </c>
      <c r="C11" s="10">
        <f>COUNTIFS(Data!$M:$M,1,Data!$B:$B,C$6)</f>
        <v>59</v>
      </c>
      <c r="D11" s="10">
        <f>COUNTIFS(Data!$M:$M,1,Data!$B:$B,D$6)</f>
        <v>23</v>
      </c>
      <c r="E11" s="10">
        <f t="shared" si="0"/>
        <v>299</v>
      </c>
    </row>
    <row r="12" spans="1:5" x14ac:dyDescent="0.35">
      <c r="A12" s="9" t="s">
        <v>22</v>
      </c>
      <c r="B12" s="10">
        <f>COUNTIFS(Data!$O:$O,1,Data!$B:$B,B$6)</f>
        <v>223</v>
      </c>
      <c r="C12" s="10">
        <f>COUNTIFS(Data!$O:$O,1,Data!$B:$B,C$6)</f>
        <v>88</v>
      </c>
      <c r="D12" s="10">
        <f>COUNTIFS(Data!$O:$O,1,Data!$B:$B,D$6)</f>
        <v>46</v>
      </c>
      <c r="E12" s="10">
        <f t="shared" si="0"/>
        <v>357</v>
      </c>
    </row>
    <row r="13" spans="1:5" x14ac:dyDescent="0.35">
      <c r="A13" s="9" t="s">
        <v>24</v>
      </c>
      <c r="B13" s="10">
        <f>COUNTIFS(Data!$Q:$Q,1,Data!$B:$B,B$6)</f>
        <v>315</v>
      </c>
      <c r="C13" s="10">
        <f>COUNTIFS(Data!$Q:$Q,1,Data!$B:$B,C$6)</f>
        <v>191</v>
      </c>
      <c r="D13" s="10">
        <f>COUNTIFS(Data!$Q:$Q,1,Data!$B:$B,D$6)</f>
        <v>76</v>
      </c>
      <c r="E13" s="10">
        <f t="shared" si="0"/>
        <v>582</v>
      </c>
    </row>
    <row r="14" spans="1:5" x14ac:dyDescent="0.35">
      <c r="A14" s="9" t="s">
        <v>26</v>
      </c>
      <c r="B14" s="10">
        <f>COUNTIFS(Data!$S:$S,1,Data!$B:$B,B$6)</f>
        <v>171</v>
      </c>
      <c r="C14" s="10">
        <f>COUNTIFS(Data!$S:$S,1,Data!$B:$B,C$6)</f>
        <v>97</v>
      </c>
      <c r="D14" s="10">
        <f>COUNTIFS(Data!$S:$S,1,Data!$B:$B,D$6)</f>
        <v>6</v>
      </c>
      <c r="E14" s="10">
        <f t="shared" si="0"/>
        <v>274</v>
      </c>
    </row>
    <row r="15" spans="1:5" x14ac:dyDescent="0.35">
      <c r="A15" s="11" t="s">
        <v>260</v>
      </c>
      <c r="B15" s="12">
        <f>SUM(B7:B14)</f>
        <v>2381</v>
      </c>
      <c r="C15" s="12">
        <f>SUM(C7:C14)</f>
        <v>1543</v>
      </c>
      <c r="D15" s="12">
        <f>SUM(D7:D14)</f>
        <v>565</v>
      </c>
      <c r="E15" s="12">
        <f>SUM(E7:E14)</f>
        <v>4489</v>
      </c>
    </row>
    <row r="17" spans="1:5" x14ac:dyDescent="0.35">
      <c r="A17" s="14" t="s">
        <v>261</v>
      </c>
      <c r="B17" s="14"/>
      <c r="C17" s="14"/>
      <c r="D17" s="14"/>
      <c r="E17" s="14"/>
    </row>
  </sheetData>
  <mergeCells count="2">
    <mergeCell ref="A1:E1"/>
    <mergeCell ref="A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Summary</vt:lpstr>
      <vt:lpstr>Data</vt:lpstr>
      <vt:lpstr>Aspect by Language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erson</dc:creator>
  <cp:lastModifiedBy>s s</cp:lastModifiedBy>
  <dcterms:created xsi:type="dcterms:W3CDTF">2026-04-03T22:52:29Z</dcterms:created>
  <dcterms:modified xsi:type="dcterms:W3CDTF">2026-05-03T08:25:02Z</dcterms:modified>
</cp:coreProperties>
</file>